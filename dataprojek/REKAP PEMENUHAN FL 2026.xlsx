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NITORING FL\"/>
    </mc:Choice>
  </mc:AlternateContent>
  <xr:revisionPtr revIDLastSave="0" documentId="13_ncr:1_{1E627D76-8358-48EA-A074-5CAA18D242DC}" xr6:coauthVersionLast="47" xr6:coauthVersionMax="47" xr10:uidLastSave="{00000000-0000-0000-0000-000000000000}"/>
  <bookViews>
    <workbookView xWindow="-110" yWindow="-110" windowWidth="19420" windowHeight="11020" xr2:uid="{7AF822AB-BFFE-4870-BD76-39BC0FE1878F}"/>
  </bookViews>
  <sheets>
    <sheet name="MD" sheetId="1" r:id="rId1"/>
    <sheet name="REKAP ALL" sheetId="15" r:id="rId2"/>
    <sheet name="F KANCA" sheetId="7" r:id="rId3"/>
    <sheet name="REKAP KCP" sheetId="18" r:id="rId4"/>
    <sheet name="F KCP" sheetId="8" r:id="rId5"/>
    <sheet name="REKAP Unit" sheetId="20" r:id="rId6"/>
    <sheet name="F UNIT" sheetId="9" r:id="rId7"/>
    <sheet name="REKAP KK" sheetId="21" r:id="rId8"/>
    <sheet name="F KK" sheetId="10" r:id="rId9"/>
    <sheet name="Sheet11" sheetId="11" r:id="rId10"/>
    <sheet name="KC" sheetId="2" r:id="rId11"/>
    <sheet name="Sheet12" sheetId="12" r:id="rId12"/>
    <sheet name="KCP" sheetId="3" r:id="rId13"/>
    <sheet name="Sheet17" sheetId="17" r:id="rId14"/>
    <sheet name="KK" sheetId="4" r:id="rId15"/>
    <sheet name="Sheet14" sheetId="14" r:id="rId16"/>
    <sheet name="Sheet16" sheetId="16" r:id="rId17"/>
    <sheet name="UNIT" sheetId="5" r:id="rId18"/>
    <sheet name="Sheet13" sheetId="13" r:id="rId19"/>
    <sheet name="TERAS" sheetId="6" r:id="rId20"/>
  </sheets>
  <definedNames>
    <definedName name="_xlnm._FilterDatabase" localSheetId="2" hidden="1">'F KANCA'!$A$3:$L$25</definedName>
    <definedName name="_xlnm._FilterDatabase" localSheetId="4" hidden="1">'F KCP'!$A$3:$N$32</definedName>
    <definedName name="_xlnm._FilterDatabase" localSheetId="8" hidden="1">'F KK'!$A$3:$M$13</definedName>
    <definedName name="_xlnm._FilterDatabase" localSheetId="6" hidden="1">'F UNIT'!$A$3:$M$275</definedName>
    <definedName name="_xlnm._FilterDatabase" localSheetId="12" hidden="1">KCP!$A$1:$M$1</definedName>
    <definedName name="_xlnm._FilterDatabase" localSheetId="0" hidden="1">MD!$A$1:$K$895</definedName>
    <definedName name="_xlnm._FilterDatabase" localSheetId="1" hidden="1">'REKAP ALL'!$M$1:$Q$22</definedName>
  </definedNames>
  <calcPr calcId="191029"/>
  <pivotCaches>
    <pivotCache cacheId="48" r:id="rId21"/>
    <pivotCache cacheId="49" r:id="rId22"/>
    <pivotCache cacheId="50" r:id="rId23"/>
    <pivotCache cacheId="51" r:id="rId24"/>
    <pivotCache cacheId="52" r:id="rId25"/>
    <pivotCache cacheId="53" r:id="rId26"/>
    <pivotCache cacheId="54" r:id="rId27"/>
    <pivotCache cacheId="55" r:id="rId2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5" i="9" l="1"/>
  <c r="M135" i="9" s="1"/>
  <c r="P3" i="15"/>
  <c r="P4" i="15"/>
  <c r="P5" i="15"/>
  <c r="P6" i="15"/>
  <c r="P7" i="15"/>
  <c r="P8" i="15"/>
  <c r="P9" i="15"/>
  <c r="P10" i="15"/>
  <c r="P11" i="15"/>
  <c r="P12" i="15"/>
  <c r="P13" i="15"/>
  <c r="P14" i="15"/>
  <c r="P15" i="15"/>
  <c r="P16" i="15"/>
  <c r="P17" i="15"/>
  <c r="P18" i="15"/>
  <c r="P19" i="15"/>
  <c r="P20" i="15"/>
  <c r="P21" i="15"/>
  <c r="P22" i="15"/>
  <c r="P2" i="15"/>
  <c r="O2" i="15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Q20" i="15" s="1"/>
  <c r="O21" i="15"/>
  <c r="O22" i="15"/>
  <c r="J19" i="15"/>
  <c r="J17" i="15"/>
  <c r="J10" i="15"/>
  <c r="J8" i="15"/>
  <c r="I19" i="15"/>
  <c r="I17" i="15"/>
  <c r="I10" i="15"/>
  <c r="I8" i="15"/>
  <c r="J22" i="15"/>
  <c r="J21" i="15"/>
  <c r="J15" i="15"/>
  <c r="J13" i="15"/>
  <c r="K13" i="15" s="1"/>
  <c r="J11" i="15"/>
  <c r="J5" i="15"/>
  <c r="I22" i="15"/>
  <c r="I21" i="15"/>
  <c r="I15" i="15"/>
  <c r="I13" i="15"/>
  <c r="I11" i="15"/>
  <c r="I5" i="15"/>
  <c r="J3" i="15"/>
  <c r="J4" i="15"/>
  <c r="J6" i="15"/>
  <c r="J7" i="15"/>
  <c r="J9" i="15"/>
  <c r="J12" i="15"/>
  <c r="J14" i="15"/>
  <c r="J16" i="15"/>
  <c r="K16" i="15" s="1"/>
  <c r="J18" i="15"/>
  <c r="J20" i="15"/>
  <c r="J2" i="15"/>
  <c r="I2" i="15"/>
  <c r="I3" i="15"/>
  <c r="I4" i="15"/>
  <c r="I6" i="15"/>
  <c r="I7" i="15"/>
  <c r="K7" i="15" s="1"/>
  <c r="I9" i="15"/>
  <c r="I12" i="15"/>
  <c r="I14" i="15"/>
  <c r="I16" i="15"/>
  <c r="I18" i="15"/>
  <c r="I20" i="15"/>
  <c r="D21" i="15"/>
  <c r="D22" i="15"/>
  <c r="D20" i="15"/>
  <c r="D19" i="15"/>
  <c r="D18" i="15"/>
  <c r="D17" i="15"/>
  <c r="D16" i="15"/>
  <c r="D14" i="15"/>
  <c r="D12" i="15"/>
  <c r="D10" i="15"/>
  <c r="D9" i="15"/>
  <c r="D8" i="15"/>
  <c r="D15" i="15"/>
  <c r="D13" i="15"/>
  <c r="D11" i="15"/>
  <c r="D5" i="15"/>
  <c r="D6" i="15"/>
  <c r="D7" i="15"/>
  <c r="D3" i="15"/>
  <c r="D4" i="15"/>
  <c r="D2" i="15"/>
  <c r="C22" i="15"/>
  <c r="C21" i="15"/>
  <c r="C20" i="15"/>
  <c r="C18" i="15"/>
  <c r="C17" i="15"/>
  <c r="C15" i="15"/>
  <c r="C13" i="15"/>
  <c r="C11" i="15"/>
  <c r="C12" i="15"/>
  <c r="C14" i="15"/>
  <c r="C16" i="15"/>
  <c r="C10" i="15"/>
  <c r="C9" i="15"/>
  <c r="C8" i="15"/>
  <c r="C5" i="15"/>
  <c r="C6" i="15"/>
  <c r="C4" i="15"/>
  <c r="C7" i="15"/>
  <c r="C3" i="15"/>
  <c r="C2" i="15"/>
  <c r="C19" i="15"/>
  <c r="M45" i="9"/>
  <c r="M47" i="9"/>
  <c r="M48" i="9"/>
  <c r="M53" i="9"/>
  <c r="M55" i="9"/>
  <c r="L57" i="9"/>
  <c r="M57" i="9" s="1"/>
  <c r="L58" i="9"/>
  <c r="M58" i="9" s="1"/>
  <c r="L59" i="9"/>
  <c r="M59" i="9" s="1"/>
  <c r="L60" i="9"/>
  <c r="M60" i="9" s="1"/>
  <c r="L61" i="9"/>
  <c r="M61" i="9" s="1"/>
  <c r="L62" i="9"/>
  <c r="L63" i="9"/>
  <c r="M63" i="9" s="1"/>
  <c r="L64" i="9"/>
  <c r="M64" i="9" s="1"/>
  <c r="L65" i="9"/>
  <c r="L66" i="9"/>
  <c r="L67" i="9"/>
  <c r="M67" i="9" s="1"/>
  <c r="L68" i="9"/>
  <c r="M68" i="9" s="1"/>
  <c r="L69" i="9"/>
  <c r="M69" i="9" s="1"/>
  <c r="L70" i="9"/>
  <c r="L71" i="9"/>
  <c r="M71" i="9" s="1"/>
  <c r="L72" i="9"/>
  <c r="M72" i="9" s="1"/>
  <c r="L73" i="9"/>
  <c r="M73" i="9" s="1"/>
  <c r="L74" i="9"/>
  <c r="M74" i="9" s="1"/>
  <c r="L75" i="9"/>
  <c r="M75" i="9" s="1"/>
  <c r="L76" i="9"/>
  <c r="M76" i="9" s="1"/>
  <c r="L77" i="9"/>
  <c r="M77" i="9" s="1"/>
  <c r="L78" i="9"/>
  <c r="L79" i="9"/>
  <c r="M79" i="9" s="1"/>
  <c r="L80" i="9"/>
  <c r="M80" i="9" s="1"/>
  <c r="L81" i="9"/>
  <c r="L82" i="9"/>
  <c r="M82" i="9" s="1"/>
  <c r="L83" i="9"/>
  <c r="M83" i="9" s="1"/>
  <c r="L84" i="9"/>
  <c r="M84" i="9" s="1"/>
  <c r="L85" i="9"/>
  <c r="L86" i="9"/>
  <c r="L87" i="9"/>
  <c r="M87" i="9" s="1"/>
  <c r="L88" i="9"/>
  <c r="M88" i="9" s="1"/>
  <c r="L89" i="9"/>
  <c r="M89" i="9" s="1"/>
  <c r="L90" i="9"/>
  <c r="M90" i="9" s="1"/>
  <c r="L91" i="9"/>
  <c r="M91" i="9" s="1"/>
  <c r="L92" i="9"/>
  <c r="M92" i="9" s="1"/>
  <c r="L93" i="9"/>
  <c r="M93" i="9" s="1"/>
  <c r="L94" i="9"/>
  <c r="L95" i="9"/>
  <c r="M95" i="9" s="1"/>
  <c r="L96" i="9"/>
  <c r="M96" i="9" s="1"/>
  <c r="L97" i="9"/>
  <c r="M97" i="9" s="1"/>
  <c r="L98" i="9"/>
  <c r="M98" i="9" s="1"/>
  <c r="L99" i="9"/>
  <c r="M99" i="9" s="1"/>
  <c r="L100" i="9"/>
  <c r="M100" i="9" s="1"/>
  <c r="L101" i="9"/>
  <c r="M101" i="9" s="1"/>
  <c r="L102" i="9"/>
  <c r="L103" i="9"/>
  <c r="M103" i="9" s="1"/>
  <c r="L104" i="9"/>
  <c r="M104" i="9" s="1"/>
  <c r="L105" i="9"/>
  <c r="L106" i="9"/>
  <c r="M106" i="9" s="1"/>
  <c r="L107" i="9"/>
  <c r="M107" i="9" s="1"/>
  <c r="L108" i="9"/>
  <c r="M108" i="9" s="1"/>
  <c r="L109" i="9"/>
  <c r="M109" i="9" s="1"/>
  <c r="L110" i="9"/>
  <c r="L111" i="9"/>
  <c r="M111" i="9" s="1"/>
  <c r="L112" i="9"/>
  <c r="M112" i="9" s="1"/>
  <c r="L113" i="9"/>
  <c r="M113" i="9" s="1"/>
  <c r="L114" i="9"/>
  <c r="M114" i="9" s="1"/>
  <c r="L115" i="9"/>
  <c r="M115" i="9" s="1"/>
  <c r="L116" i="9"/>
  <c r="M116" i="9" s="1"/>
  <c r="L117" i="9"/>
  <c r="M117" i="9" s="1"/>
  <c r="L118" i="9"/>
  <c r="L119" i="9"/>
  <c r="M119" i="9" s="1"/>
  <c r="L120" i="9"/>
  <c r="M120" i="9" s="1"/>
  <c r="L121" i="9"/>
  <c r="L122" i="9"/>
  <c r="M122" i="9" s="1"/>
  <c r="L123" i="9"/>
  <c r="M123" i="9" s="1"/>
  <c r="L124" i="9"/>
  <c r="M124" i="9" s="1"/>
  <c r="L125" i="9"/>
  <c r="M125" i="9" s="1"/>
  <c r="L126" i="9"/>
  <c r="L127" i="9"/>
  <c r="M127" i="9" s="1"/>
  <c r="L128" i="9"/>
  <c r="M128" i="9" s="1"/>
  <c r="L129" i="9"/>
  <c r="M129" i="9" s="1"/>
  <c r="L130" i="9"/>
  <c r="M130" i="9" s="1"/>
  <c r="L131" i="9"/>
  <c r="M131" i="9" s="1"/>
  <c r="L132" i="9"/>
  <c r="M132" i="9" s="1"/>
  <c r="L133" i="9"/>
  <c r="L134" i="9"/>
  <c r="L136" i="9"/>
  <c r="M136" i="9" s="1"/>
  <c r="L137" i="9"/>
  <c r="L138" i="9"/>
  <c r="M138" i="9" s="1"/>
  <c r="L139" i="9"/>
  <c r="M139" i="9" s="1"/>
  <c r="L140" i="9"/>
  <c r="M140" i="9" s="1"/>
  <c r="L141" i="9"/>
  <c r="M141" i="9" s="1"/>
  <c r="L142" i="9"/>
  <c r="L143" i="9"/>
  <c r="M143" i="9" s="1"/>
  <c r="L144" i="9"/>
  <c r="M144" i="9" s="1"/>
  <c r="L145" i="9"/>
  <c r="M145" i="9" s="1"/>
  <c r="L146" i="9"/>
  <c r="L147" i="9"/>
  <c r="M147" i="9" s="1"/>
  <c r="L148" i="9"/>
  <c r="M148" i="9" s="1"/>
  <c r="L149" i="9"/>
  <c r="L150" i="9"/>
  <c r="L151" i="9"/>
  <c r="M151" i="9" s="1"/>
  <c r="L152" i="9"/>
  <c r="M152" i="9" s="1"/>
  <c r="L153" i="9"/>
  <c r="L154" i="9"/>
  <c r="L155" i="9"/>
  <c r="M155" i="9" s="1"/>
  <c r="L156" i="9"/>
  <c r="M156" i="9" s="1"/>
  <c r="L157" i="9"/>
  <c r="M157" i="9" s="1"/>
  <c r="L158" i="9"/>
  <c r="L159" i="9"/>
  <c r="M159" i="9" s="1"/>
  <c r="L160" i="9"/>
  <c r="M160" i="9" s="1"/>
  <c r="L161" i="9"/>
  <c r="M161" i="9" s="1"/>
  <c r="L162" i="9"/>
  <c r="L163" i="9"/>
  <c r="M163" i="9" s="1"/>
  <c r="L164" i="9"/>
  <c r="M164" i="9" s="1"/>
  <c r="L165" i="9"/>
  <c r="M165" i="9" s="1"/>
  <c r="L166" i="9"/>
  <c r="L167" i="9"/>
  <c r="M167" i="9" s="1"/>
  <c r="L168" i="9"/>
  <c r="M168" i="9" s="1"/>
  <c r="L169" i="9"/>
  <c r="L170" i="9"/>
  <c r="M170" i="9" s="1"/>
  <c r="L171" i="9"/>
  <c r="M171" i="9" s="1"/>
  <c r="L172" i="9"/>
  <c r="M172" i="9" s="1"/>
  <c r="L173" i="9"/>
  <c r="M173" i="9" s="1"/>
  <c r="L174" i="9"/>
  <c r="L175" i="9"/>
  <c r="M175" i="9" s="1"/>
  <c r="L176" i="9"/>
  <c r="M176" i="9" s="1"/>
  <c r="L177" i="9"/>
  <c r="M177" i="9" s="1"/>
  <c r="L178" i="9"/>
  <c r="M178" i="9" s="1"/>
  <c r="L179" i="9"/>
  <c r="M179" i="9" s="1"/>
  <c r="L180" i="9"/>
  <c r="M180" i="9" s="1"/>
  <c r="L181" i="9"/>
  <c r="M181" i="9" s="1"/>
  <c r="L182" i="9"/>
  <c r="L183" i="9"/>
  <c r="M183" i="9" s="1"/>
  <c r="L184" i="9"/>
  <c r="M184" i="9" s="1"/>
  <c r="L185" i="9"/>
  <c r="M185" i="9" s="1"/>
  <c r="L186" i="9"/>
  <c r="L187" i="9"/>
  <c r="M187" i="9" s="1"/>
  <c r="L188" i="9"/>
  <c r="M188" i="9" s="1"/>
  <c r="L189" i="9"/>
  <c r="L190" i="9"/>
  <c r="L191" i="9"/>
  <c r="M191" i="9" s="1"/>
  <c r="L192" i="9"/>
  <c r="M192" i="9" s="1"/>
  <c r="L193" i="9"/>
  <c r="M193" i="9" s="1"/>
  <c r="L194" i="9"/>
  <c r="M194" i="9" s="1"/>
  <c r="L195" i="9"/>
  <c r="M195" i="9" s="1"/>
  <c r="L196" i="9"/>
  <c r="M196" i="9" s="1"/>
  <c r="L197" i="9"/>
  <c r="M197" i="9" s="1"/>
  <c r="L198" i="9"/>
  <c r="L199" i="9"/>
  <c r="M199" i="9" s="1"/>
  <c r="L200" i="9"/>
  <c r="M200" i="9" s="1"/>
  <c r="L201" i="9"/>
  <c r="L202" i="9"/>
  <c r="M202" i="9" s="1"/>
  <c r="L203" i="9"/>
  <c r="M203" i="9" s="1"/>
  <c r="L204" i="9"/>
  <c r="M204" i="9" s="1"/>
  <c r="L205" i="9"/>
  <c r="M205" i="9" s="1"/>
  <c r="L206" i="9"/>
  <c r="L207" i="9"/>
  <c r="M207" i="9" s="1"/>
  <c r="L208" i="9"/>
  <c r="M208" i="9" s="1"/>
  <c r="L209" i="9"/>
  <c r="M209" i="9" s="1"/>
  <c r="L210" i="9"/>
  <c r="M210" i="9" s="1"/>
  <c r="L211" i="9"/>
  <c r="M211" i="9" s="1"/>
  <c r="L212" i="9"/>
  <c r="M212" i="9" s="1"/>
  <c r="L213" i="9"/>
  <c r="L214" i="9"/>
  <c r="L215" i="9"/>
  <c r="M215" i="9" s="1"/>
  <c r="L216" i="9"/>
  <c r="M216" i="9" s="1"/>
  <c r="L217" i="9"/>
  <c r="L218" i="9"/>
  <c r="M218" i="9" s="1"/>
  <c r="L219" i="9"/>
  <c r="M219" i="9" s="1"/>
  <c r="L220" i="9"/>
  <c r="M220" i="9" s="1"/>
  <c r="L221" i="9"/>
  <c r="M221" i="9" s="1"/>
  <c r="L222" i="9"/>
  <c r="L223" i="9"/>
  <c r="M223" i="9" s="1"/>
  <c r="L224" i="9"/>
  <c r="M224" i="9" s="1"/>
  <c r="L225" i="9"/>
  <c r="M225" i="9" s="1"/>
  <c r="L226" i="9"/>
  <c r="M226" i="9" s="1"/>
  <c r="L227" i="9"/>
  <c r="M227" i="9" s="1"/>
  <c r="L228" i="9"/>
  <c r="M228" i="9" s="1"/>
  <c r="L229" i="9"/>
  <c r="M229" i="9" s="1"/>
  <c r="L230" i="9"/>
  <c r="L231" i="9"/>
  <c r="M231" i="9" s="1"/>
  <c r="L232" i="9"/>
  <c r="M232" i="9" s="1"/>
  <c r="L233" i="9"/>
  <c r="M233" i="9" s="1"/>
  <c r="L234" i="9"/>
  <c r="M234" i="9" s="1"/>
  <c r="L235" i="9"/>
  <c r="M235" i="9" s="1"/>
  <c r="L236" i="9"/>
  <c r="M236" i="9" s="1"/>
  <c r="L237" i="9"/>
  <c r="M237" i="9" s="1"/>
  <c r="L238" i="9"/>
  <c r="L239" i="9"/>
  <c r="M239" i="9" s="1"/>
  <c r="L240" i="9"/>
  <c r="M240" i="9" s="1"/>
  <c r="L241" i="9"/>
  <c r="M241" i="9" s="1"/>
  <c r="L242" i="9"/>
  <c r="M242" i="9" s="1"/>
  <c r="L243" i="9"/>
  <c r="M243" i="9" s="1"/>
  <c r="L244" i="9"/>
  <c r="M244" i="9" s="1"/>
  <c r="L245" i="9"/>
  <c r="M245" i="9" s="1"/>
  <c r="L246" i="9"/>
  <c r="L247" i="9"/>
  <c r="M247" i="9" s="1"/>
  <c r="L248" i="9"/>
  <c r="M248" i="9" s="1"/>
  <c r="L249" i="9"/>
  <c r="M249" i="9" s="1"/>
  <c r="L250" i="9"/>
  <c r="L251" i="9"/>
  <c r="M251" i="9" s="1"/>
  <c r="L252" i="9"/>
  <c r="M252" i="9" s="1"/>
  <c r="L253" i="9"/>
  <c r="M253" i="9" s="1"/>
  <c r="L254" i="9"/>
  <c r="L255" i="9"/>
  <c r="M255" i="9" s="1"/>
  <c r="L256" i="9"/>
  <c r="M256" i="9" s="1"/>
  <c r="L257" i="9"/>
  <c r="L258" i="9"/>
  <c r="M258" i="9" s="1"/>
  <c r="L259" i="9"/>
  <c r="M259" i="9" s="1"/>
  <c r="L260" i="9"/>
  <c r="M260" i="9" s="1"/>
  <c r="L261" i="9"/>
  <c r="M261" i="9" s="1"/>
  <c r="L262" i="9"/>
  <c r="L263" i="9"/>
  <c r="M263" i="9" s="1"/>
  <c r="L264" i="9"/>
  <c r="M264" i="9" s="1"/>
  <c r="L265" i="9"/>
  <c r="M265" i="9" s="1"/>
  <c r="L266" i="9"/>
  <c r="M266" i="9" s="1"/>
  <c r="L267" i="9"/>
  <c r="M267" i="9" s="1"/>
  <c r="L268" i="9"/>
  <c r="M268" i="9" s="1"/>
  <c r="L269" i="9"/>
  <c r="M269" i="9" s="1"/>
  <c r="L270" i="9"/>
  <c r="L271" i="9"/>
  <c r="M271" i="9" s="1"/>
  <c r="L272" i="9"/>
  <c r="M272" i="9" s="1"/>
  <c r="L273" i="9"/>
  <c r="M273" i="9" s="1"/>
  <c r="J45" i="9"/>
  <c r="J48" i="9"/>
  <c r="J53" i="9"/>
  <c r="J54" i="9"/>
  <c r="J56" i="9"/>
  <c r="I57" i="9"/>
  <c r="J57" i="9" s="1"/>
  <c r="I58" i="9"/>
  <c r="J58" i="9" s="1"/>
  <c r="I59" i="9"/>
  <c r="J59" i="9" s="1"/>
  <c r="I60" i="9"/>
  <c r="I61" i="9"/>
  <c r="J61" i="9" s="1"/>
  <c r="I62" i="9"/>
  <c r="J62" i="9" s="1"/>
  <c r="I63" i="9"/>
  <c r="J63" i="9" s="1"/>
  <c r="I64" i="9"/>
  <c r="J64" i="9" s="1"/>
  <c r="I65" i="9"/>
  <c r="J65" i="9" s="1"/>
  <c r="I66" i="9"/>
  <c r="I67" i="9"/>
  <c r="J67" i="9" s="1"/>
  <c r="I68" i="9"/>
  <c r="J68" i="9" s="1"/>
  <c r="I69" i="9"/>
  <c r="J69" i="9" s="1"/>
  <c r="I70" i="9"/>
  <c r="J70" i="9" s="1"/>
  <c r="I71" i="9"/>
  <c r="J71" i="9" s="1"/>
  <c r="I72" i="9"/>
  <c r="J72" i="9" s="1"/>
  <c r="I73" i="9"/>
  <c r="J73" i="9" s="1"/>
  <c r="I74" i="9"/>
  <c r="I75" i="9"/>
  <c r="J75" i="9" s="1"/>
  <c r="I76" i="9"/>
  <c r="J76" i="9" s="1"/>
  <c r="I77" i="9"/>
  <c r="J77" i="9" s="1"/>
  <c r="I78" i="9"/>
  <c r="J78" i="9" s="1"/>
  <c r="I79" i="9"/>
  <c r="J79" i="9" s="1"/>
  <c r="I80" i="9"/>
  <c r="J80" i="9" s="1"/>
  <c r="I81" i="9"/>
  <c r="I82" i="9"/>
  <c r="I83" i="9"/>
  <c r="J83" i="9" s="1"/>
  <c r="I84" i="9"/>
  <c r="J84" i="9" s="1"/>
  <c r="I85" i="9"/>
  <c r="J85" i="9" s="1"/>
  <c r="I86" i="9"/>
  <c r="J86" i="9" s="1"/>
  <c r="I87" i="9"/>
  <c r="J87" i="9" s="1"/>
  <c r="I88" i="9"/>
  <c r="J88" i="9" s="1"/>
  <c r="I89" i="9"/>
  <c r="J89" i="9" s="1"/>
  <c r="I90" i="9"/>
  <c r="I91" i="9"/>
  <c r="J91" i="9" s="1"/>
  <c r="I92" i="9"/>
  <c r="I93" i="9"/>
  <c r="J93" i="9" s="1"/>
  <c r="I94" i="9"/>
  <c r="J94" i="9" s="1"/>
  <c r="I95" i="9"/>
  <c r="J95" i="9" s="1"/>
  <c r="I96" i="9"/>
  <c r="J96" i="9" s="1"/>
  <c r="I97" i="9"/>
  <c r="J97" i="9" s="1"/>
  <c r="I98" i="9"/>
  <c r="J98" i="9" s="1"/>
  <c r="I99" i="9"/>
  <c r="I100" i="9"/>
  <c r="J100" i="9" s="1"/>
  <c r="I101" i="9"/>
  <c r="J101" i="9" s="1"/>
  <c r="I102" i="9"/>
  <c r="J102" i="9" s="1"/>
  <c r="I103" i="9"/>
  <c r="J103" i="9" s="1"/>
  <c r="I104" i="9"/>
  <c r="J104" i="9" s="1"/>
  <c r="I105" i="9"/>
  <c r="J105" i="9" s="1"/>
  <c r="I106" i="9"/>
  <c r="J106" i="9" s="1"/>
  <c r="I107" i="9"/>
  <c r="J107" i="9" s="1"/>
  <c r="I108" i="9"/>
  <c r="J108" i="9" s="1"/>
  <c r="I109" i="9"/>
  <c r="J109" i="9" s="1"/>
  <c r="I110" i="9"/>
  <c r="J110" i="9" s="1"/>
  <c r="I111" i="9"/>
  <c r="J111" i="9" s="1"/>
  <c r="I112" i="9"/>
  <c r="J112" i="9" s="1"/>
  <c r="I113" i="9"/>
  <c r="J113" i="9" s="1"/>
  <c r="I114" i="9"/>
  <c r="I115" i="9"/>
  <c r="J115" i="9" s="1"/>
  <c r="I116" i="9"/>
  <c r="J116" i="9" s="1"/>
  <c r="I117" i="9"/>
  <c r="J117" i="9" s="1"/>
  <c r="I118" i="9"/>
  <c r="J118" i="9" s="1"/>
  <c r="I119" i="9"/>
  <c r="J119" i="9" s="1"/>
  <c r="I120" i="9"/>
  <c r="J120" i="9" s="1"/>
  <c r="I121" i="9"/>
  <c r="J121" i="9" s="1"/>
  <c r="I122" i="9"/>
  <c r="I123" i="9"/>
  <c r="J123" i="9" s="1"/>
  <c r="I124" i="9"/>
  <c r="J124" i="9" s="1"/>
  <c r="I125" i="9"/>
  <c r="J125" i="9" s="1"/>
  <c r="I126" i="9"/>
  <c r="J126" i="9" s="1"/>
  <c r="I127" i="9"/>
  <c r="J127" i="9" s="1"/>
  <c r="I128" i="9"/>
  <c r="J128" i="9" s="1"/>
  <c r="I129" i="9"/>
  <c r="J129" i="9" s="1"/>
  <c r="I130" i="9"/>
  <c r="I131" i="9"/>
  <c r="J131" i="9" s="1"/>
  <c r="I132" i="9"/>
  <c r="J132" i="9" s="1"/>
  <c r="I133" i="9"/>
  <c r="J133" i="9" s="1"/>
  <c r="I134" i="9"/>
  <c r="J134" i="9" s="1"/>
  <c r="I135" i="9"/>
  <c r="J135" i="9" s="1"/>
  <c r="I136" i="9"/>
  <c r="J136" i="9" s="1"/>
  <c r="I137" i="9"/>
  <c r="J137" i="9" s="1"/>
  <c r="I138" i="9"/>
  <c r="J138" i="9" s="1"/>
  <c r="I139" i="9"/>
  <c r="J139" i="9" s="1"/>
  <c r="I140" i="9"/>
  <c r="J140" i="9" s="1"/>
  <c r="I141" i="9"/>
  <c r="J141" i="9" s="1"/>
  <c r="I142" i="9"/>
  <c r="J142" i="9" s="1"/>
  <c r="I143" i="9"/>
  <c r="J143" i="9" s="1"/>
  <c r="I144" i="9"/>
  <c r="J144" i="9" s="1"/>
  <c r="I145" i="9"/>
  <c r="J145" i="9" s="1"/>
  <c r="I146" i="9"/>
  <c r="J146" i="9" s="1"/>
  <c r="I147" i="9"/>
  <c r="J147" i="9" s="1"/>
  <c r="I148" i="9"/>
  <c r="J148" i="9" s="1"/>
  <c r="I149" i="9"/>
  <c r="J149" i="9" s="1"/>
  <c r="I150" i="9"/>
  <c r="J150" i="9" s="1"/>
  <c r="I151" i="9"/>
  <c r="J151" i="9" s="1"/>
  <c r="I152" i="9"/>
  <c r="J152" i="9" s="1"/>
  <c r="I153" i="9"/>
  <c r="J153" i="9" s="1"/>
  <c r="I154" i="9"/>
  <c r="I155" i="9"/>
  <c r="J155" i="9" s="1"/>
  <c r="I156" i="9"/>
  <c r="J156" i="9" s="1"/>
  <c r="I157" i="9"/>
  <c r="J157" i="9" s="1"/>
  <c r="I158" i="9"/>
  <c r="J158" i="9" s="1"/>
  <c r="I159" i="9"/>
  <c r="J159" i="9" s="1"/>
  <c r="I160" i="9"/>
  <c r="J160" i="9" s="1"/>
  <c r="I161" i="9"/>
  <c r="I162" i="9"/>
  <c r="I163" i="9"/>
  <c r="J163" i="9" s="1"/>
  <c r="I164" i="9"/>
  <c r="J164" i="9" s="1"/>
  <c r="I165" i="9"/>
  <c r="J165" i="9" s="1"/>
  <c r="I166" i="9"/>
  <c r="J166" i="9" s="1"/>
  <c r="I167" i="9"/>
  <c r="J167" i="9" s="1"/>
  <c r="I168" i="9"/>
  <c r="J168" i="9" s="1"/>
  <c r="I169" i="9"/>
  <c r="J169" i="9" s="1"/>
  <c r="I170" i="9"/>
  <c r="I171" i="9"/>
  <c r="J171" i="9" s="1"/>
  <c r="I172" i="9"/>
  <c r="J172" i="9" s="1"/>
  <c r="I173" i="9"/>
  <c r="J173" i="9" s="1"/>
  <c r="I174" i="9"/>
  <c r="J174" i="9" s="1"/>
  <c r="I175" i="9"/>
  <c r="J175" i="9" s="1"/>
  <c r="I176" i="9"/>
  <c r="J176" i="9" s="1"/>
  <c r="I177" i="9"/>
  <c r="J177" i="9" s="1"/>
  <c r="I178" i="9"/>
  <c r="J178" i="9" s="1"/>
  <c r="I179" i="9"/>
  <c r="I180" i="9"/>
  <c r="J180" i="9" s="1"/>
  <c r="I181" i="9"/>
  <c r="J181" i="9" s="1"/>
  <c r="I182" i="9"/>
  <c r="J182" i="9" s="1"/>
  <c r="I183" i="9"/>
  <c r="J183" i="9" s="1"/>
  <c r="I184" i="9"/>
  <c r="J184" i="9" s="1"/>
  <c r="I185" i="9"/>
  <c r="J185" i="9" s="1"/>
  <c r="I186" i="9"/>
  <c r="J186" i="9" s="1"/>
  <c r="I187" i="9"/>
  <c r="J187" i="9" s="1"/>
  <c r="I188" i="9"/>
  <c r="J188" i="9" s="1"/>
  <c r="I189" i="9"/>
  <c r="J189" i="9" s="1"/>
  <c r="I190" i="9"/>
  <c r="J190" i="9" s="1"/>
  <c r="I191" i="9"/>
  <c r="J191" i="9" s="1"/>
  <c r="I192" i="9"/>
  <c r="J192" i="9" s="1"/>
  <c r="I193" i="9"/>
  <c r="J193" i="9" s="1"/>
  <c r="I194" i="9"/>
  <c r="J194" i="9" s="1"/>
  <c r="I195" i="9"/>
  <c r="J195" i="9" s="1"/>
  <c r="I196" i="9"/>
  <c r="J196" i="9" s="1"/>
  <c r="I197" i="9"/>
  <c r="J197" i="9" s="1"/>
  <c r="I198" i="9"/>
  <c r="J198" i="9" s="1"/>
  <c r="I199" i="9"/>
  <c r="J199" i="9" s="1"/>
  <c r="I200" i="9"/>
  <c r="J200" i="9" s="1"/>
  <c r="I201" i="9"/>
  <c r="J201" i="9" s="1"/>
  <c r="I202" i="9"/>
  <c r="J202" i="9" s="1"/>
  <c r="I203" i="9"/>
  <c r="J203" i="9" s="1"/>
  <c r="I204" i="9"/>
  <c r="J204" i="9" s="1"/>
  <c r="I205" i="9"/>
  <c r="J205" i="9" s="1"/>
  <c r="I206" i="9"/>
  <c r="J206" i="9" s="1"/>
  <c r="I207" i="9"/>
  <c r="J207" i="9" s="1"/>
  <c r="I208" i="9"/>
  <c r="J208" i="9" s="1"/>
  <c r="I209" i="9"/>
  <c r="J209" i="9" s="1"/>
  <c r="I210" i="9"/>
  <c r="I211" i="9"/>
  <c r="J211" i="9" s="1"/>
  <c r="I212" i="9"/>
  <c r="J212" i="9" s="1"/>
  <c r="I213" i="9"/>
  <c r="J213" i="9" s="1"/>
  <c r="I214" i="9"/>
  <c r="J214" i="9" s="1"/>
  <c r="I215" i="9"/>
  <c r="J215" i="9" s="1"/>
  <c r="I216" i="9"/>
  <c r="J216" i="9" s="1"/>
  <c r="I217" i="9"/>
  <c r="J217" i="9" s="1"/>
  <c r="I218" i="9"/>
  <c r="J218" i="9" s="1"/>
  <c r="I219" i="9"/>
  <c r="J219" i="9" s="1"/>
  <c r="I220" i="9"/>
  <c r="J220" i="9" s="1"/>
  <c r="I221" i="9"/>
  <c r="J221" i="9" s="1"/>
  <c r="I222" i="9"/>
  <c r="J222" i="9" s="1"/>
  <c r="I223" i="9"/>
  <c r="J223" i="9" s="1"/>
  <c r="I224" i="9"/>
  <c r="J224" i="9" s="1"/>
  <c r="I225" i="9"/>
  <c r="J225" i="9" s="1"/>
  <c r="I226" i="9"/>
  <c r="I227" i="9"/>
  <c r="J227" i="9" s="1"/>
  <c r="I228" i="9"/>
  <c r="J228" i="9" s="1"/>
  <c r="I229" i="9"/>
  <c r="J229" i="9" s="1"/>
  <c r="I230" i="9"/>
  <c r="J230" i="9" s="1"/>
  <c r="I231" i="9"/>
  <c r="J231" i="9" s="1"/>
  <c r="I232" i="9"/>
  <c r="J232" i="9" s="1"/>
  <c r="I233" i="9"/>
  <c r="J233" i="9" s="1"/>
  <c r="I234" i="9"/>
  <c r="J234" i="9" s="1"/>
  <c r="I235" i="9"/>
  <c r="J235" i="9" s="1"/>
  <c r="I236" i="9"/>
  <c r="J236" i="9" s="1"/>
  <c r="I237" i="9"/>
  <c r="J237" i="9" s="1"/>
  <c r="I238" i="9"/>
  <c r="J238" i="9" s="1"/>
  <c r="I239" i="9"/>
  <c r="J239" i="9" s="1"/>
  <c r="I240" i="9"/>
  <c r="J240" i="9" s="1"/>
  <c r="I241" i="9"/>
  <c r="J241" i="9" s="1"/>
  <c r="I242" i="9"/>
  <c r="J242" i="9" s="1"/>
  <c r="I243" i="9"/>
  <c r="J243" i="9" s="1"/>
  <c r="I244" i="9"/>
  <c r="J244" i="9" s="1"/>
  <c r="I245" i="9"/>
  <c r="J245" i="9" s="1"/>
  <c r="I246" i="9"/>
  <c r="J246" i="9" s="1"/>
  <c r="I247" i="9"/>
  <c r="J247" i="9" s="1"/>
  <c r="I248" i="9"/>
  <c r="J248" i="9" s="1"/>
  <c r="I249" i="9"/>
  <c r="J249" i="9" s="1"/>
  <c r="I250" i="9"/>
  <c r="J250" i="9" s="1"/>
  <c r="I251" i="9"/>
  <c r="J251" i="9" s="1"/>
  <c r="I252" i="9"/>
  <c r="J252" i="9" s="1"/>
  <c r="I253" i="9"/>
  <c r="J253" i="9" s="1"/>
  <c r="I254" i="9"/>
  <c r="J254" i="9" s="1"/>
  <c r="I255" i="9"/>
  <c r="J255" i="9" s="1"/>
  <c r="I256" i="9"/>
  <c r="J256" i="9" s="1"/>
  <c r="I257" i="9"/>
  <c r="J257" i="9" s="1"/>
  <c r="I258" i="9"/>
  <c r="J258" i="9" s="1"/>
  <c r="I259" i="9"/>
  <c r="J259" i="9" s="1"/>
  <c r="I260" i="9"/>
  <c r="J260" i="9" s="1"/>
  <c r="I261" i="9"/>
  <c r="J261" i="9" s="1"/>
  <c r="I262" i="9"/>
  <c r="J262" i="9" s="1"/>
  <c r="I263" i="9"/>
  <c r="J263" i="9" s="1"/>
  <c r="I264" i="9"/>
  <c r="J264" i="9" s="1"/>
  <c r="I265" i="9"/>
  <c r="J265" i="9" s="1"/>
  <c r="I266" i="9"/>
  <c r="J266" i="9" s="1"/>
  <c r="I267" i="9"/>
  <c r="J267" i="9" s="1"/>
  <c r="I268" i="9"/>
  <c r="J268" i="9" s="1"/>
  <c r="I269" i="9"/>
  <c r="J269" i="9" s="1"/>
  <c r="I270" i="9"/>
  <c r="J270" i="9" s="1"/>
  <c r="I271" i="9"/>
  <c r="J271" i="9" s="1"/>
  <c r="I272" i="9"/>
  <c r="J272" i="9" s="1"/>
  <c r="I273" i="9"/>
  <c r="J273" i="9" s="1"/>
  <c r="J40" i="9"/>
  <c r="L5" i="9"/>
  <c r="M5" i="9" s="1"/>
  <c r="L6" i="9"/>
  <c r="M6" i="9" s="1"/>
  <c r="L7" i="9"/>
  <c r="M7" i="9" s="1"/>
  <c r="L8" i="9"/>
  <c r="M8" i="9" s="1"/>
  <c r="L9" i="9"/>
  <c r="M9" i="9" s="1"/>
  <c r="L10" i="9"/>
  <c r="M10" i="9" s="1"/>
  <c r="L11" i="9"/>
  <c r="M11" i="9" s="1"/>
  <c r="L12" i="9"/>
  <c r="M12" i="9" s="1"/>
  <c r="L13" i="9"/>
  <c r="M13" i="9" s="1"/>
  <c r="L14" i="9"/>
  <c r="M14" i="9" s="1"/>
  <c r="L15" i="9"/>
  <c r="M15" i="9" s="1"/>
  <c r="L16" i="9"/>
  <c r="M16" i="9" s="1"/>
  <c r="L17" i="9"/>
  <c r="M17" i="9" s="1"/>
  <c r="L18" i="9"/>
  <c r="M18" i="9" s="1"/>
  <c r="L19" i="9"/>
  <c r="M19" i="9" s="1"/>
  <c r="M21" i="9"/>
  <c r="L22" i="9"/>
  <c r="M22" i="9" s="1"/>
  <c r="M23" i="9"/>
  <c r="M24" i="9"/>
  <c r="L25" i="9"/>
  <c r="M25" i="9" s="1"/>
  <c r="L26" i="9"/>
  <c r="M26" i="9" s="1"/>
  <c r="L27" i="9"/>
  <c r="M27" i="9" s="1"/>
  <c r="L28" i="9"/>
  <c r="M28" i="9" s="1"/>
  <c r="L29" i="9"/>
  <c r="M29" i="9" s="1"/>
  <c r="M30" i="9"/>
  <c r="M31" i="9"/>
  <c r="L32" i="9"/>
  <c r="M32" i="9" s="1"/>
  <c r="L33" i="9"/>
  <c r="M33" i="9" s="1"/>
  <c r="L34" i="9"/>
  <c r="M34" i="9" s="1"/>
  <c r="L35" i="9"/>
  <c r="M35" i="9" s="1"/>
  <c r="L36" i="9"/>
  <c r="M36" i="9" s="1"/>
  <c r="L37" i="9"/>
  <c r="M37" i="9" s="1"/>
  <c r="L38" i="9"/>
  <c r="M38" i="9" s="1"/>
  <c r="L39" i="9"/>
  <c r="M39" i="9" s="1"/>
  <c r="L4" i="9"/>
  <c r="M4" i="9" s="1"/>
  <c r="I5" i="9"/>
  <c r="J5" i="9" s="1"/>
  <c r="I6" i="9"/>
  <c r="J6" i="9" s="1"/>
  <c r="I7" i="9"/>
  <c r="J7" i="9" s="1"/>
  <c r="I8" i="9"/>
  <c r="J8" i="9" s="1"/>
  <c r="I9" i="9"/>
  <c r="J9" i="9" s="1"/>
  <c r="I10" i="9"/>
  <c r="J10" i="9" s="1"/>
  <c r="I11" i="9"/>
  <c r="J11" i="9" s="1"/>
  <c r="I12" i="9"/>
  <c r="J12" i="9" s="1"/>
  <c r="I13" i="9"/>
  <c r="J13" i="9" s="1"/>
  <c r="I14" i="9"/>
  <c r="J14" i="9" s="1"/>
  <c r="I15" i="9"/>
  <c r="J15" i="9" s="1"/>
  <c r="I16" i="9"/>
  <c r="J16" i="9" s="1"/>
  <c r="I17" i="9"/>
  <c r="J17" i="9" s="1"/>
  <c r="I18" i="9"/>
  <c r="I19" i="9"/>
  <c r="J19" i="9" s="1"/>
  <c r="J20" i="9"/>
  <c r="I22" i="9"/>
  <c r="J22" i="9" s="1"/>
  <c r="J23" i="9"/>
  <c r="I25" i="9"/>
  <c r="J25" i="9" s="1"/>
  <c r="I26" i="9"/>
  <c r="I27" i="9"/>
  <c r="J27" i="9" s="1"/>
  <c r="I28" i="9"/>
  <c r="J28" i="9" s="1"/>
  <c r="I29" i="9"/>
  <c r="J29" i="9" s="1"/>
  <c r="J30" i="9"/>
  <c r="J31" i="9"/>
  <c r="I32" i="9"/>
  <c r="J32" i="9" s="1"/>
  <c r="I33" i="9"/>
  <c r="J33" i="9" s="1"/>
  <c r="I34" i="9"/>
  <c r="J34" i="9" s="1"/>
  <c r="I35" i="9"/>
  <c r="J35" i="9" s="1"/>
  <c r="I36" i="9"/>
  <c r="J36" i="9" s="1"/>
  <c r="I37" i="9"/>
  <c r="J37" i="9" s="1"/>
  <c r="I38" i="9"/>
  <c r="J38" i="9" s="1"/>
  <c r="I39" i="9"/>
  <c r="J39" i="9" s="1"/>
  <c r="I4" i="9"/>
  <c r="J4" i="9" s="1"/>
  <c r="M5" i="8"/>
  <c r="M6" i="8"/>
  <c r="M7" i="8"/>
  <c r="N7" i="8" s="1"/>
  <c r="M8" i="8"/>
  <c r="M9" i="8"/>
  <c r="N9" i="8" s="1"/>
  <c r="M10" i="8"/>
  <c r="N10" i="8" s="1"/>
  <c r="M11" i="8"/>
  <c r="M12" i="8"/>
  <c r="M13" i="8"/>
  <c r="N13" i="8" s="1"/>
  <c r="M14" i="8"/>
  <c r="N14" i="8" s="1"/>
  <c r="M15" i="8"/>
  <c r="M16" i="8"/>
  <c r="M17" i="8"/>
  <c r="N17" i="8" s="1"/>
  <c r="M18" i="8"/>
  <c r="N18" i="8" s="1"/>
  <c r="M19" i="8"/>
  <c r="N19" i="8" s="1"/>
  <c r="M20" i="8"/>
  <c r="M21" i="8"/>
  <c r="N21" i="8" s="1"/>
  <c r="M22" i="8"/>
  <c r="N22" i="8" s="1"/>
  <c r="M23" i="8"/>
  <c r="N23" i="8" s="1"/>
  <c r="M24" i="8"/>
  <c r="M25" i="8"/>
  <c r="N25" i="8" s="1"/>
  <c r="M26" i="8"/>
  <c r="N26" i="8" s="1"/>
  <c r="M27" i="8"/>
  <c r="N27" i="8" s="1"/>
  <c r="M28" i="8"/>
  <c r="M29" i="8"/>
  <c r="N29" i="8" s="1"/>
  <c r="M30" i="8"/>
  <c r="M31" i="8"/>
  <c r="M4" i="8"/>
  <c r="J5" i="8"/>
  <c r="K5" i="8" s="1"/>
  <c r="J6" i="8"/>
  <c r="K6" i="8" s="1"/>
  <c r="J7" i="8"/>
  <c r="K7" i="8" s="1"/>
  <c r="J8" i="8"/>
  <c r="J9" i="8"/>
  <c r="K9" i="8" s="1"/>
  <c r="J10" i="8"/>
  <c r="K10" i="8" s="1"/>
  <c r="J11" i="8"/>
  <c r="K11" i="8" s="1"/>
  <c r="J12" i="8"/>
  <c r="J13" i="8"/>
  <c r="K13" i="8" s="1"/>
  <c r="J14" i="8"/>
  <c r="K14" i="8" s="1"/>
  <c r="J15" i="8"/>
  <c r="J16" i="8"/>
  <c r="J17" i="8"/>
  <c r="K17" i="8" s="1"/>
  <c r="J18" i="8"/>
  <c r="J19" i="8"/>
  <c r="K19" i="8" s="1"/>
  <c r="J20" i="8"/>
  <c r="J21" i="8"/>
  <c r="K21" i="8" s="1"/>
  <c r="J22" i="8"/>
  <c r="K22" i="8" s="1"/>
  <c r="J23" i="8"/>
  <c r="K23" i="8" s="1"/>
  <c r="J24" i="8"/>
  <c r="J25" i="8"/>
  <c r="J26" i="8"/>
  <c r="K26" i="8" s="1"/>
  <c r="J27" i="8"/>
  <c r="K27" i="8" s="1"/>
  <c r="J28" i="8"/>
  <c r="J29" i="8"/>
  <c r="K29" i="8" s="1"/>
  <c r="J30" i="8"/>
  <c r="K30" i="8" s="1"/>
  <c r="J31" i="8"/>
  <c r="K31" i="8" s="1"/>
  <c r="J4" i="8"/>
  <c r="K12" i="8"/>
  <c r="K20" i="8"/>
  <c r="K28" i="8"/>
  <c r="K4" i="8"/>
  <c r="K15" i="8"/>
  <c r="O11" i="7"/>
  <c r="O12" i="7"/>
  <c r="O19" i="7"/>
  <c r="O20" i="7"/>
  <c r="N25" i="7"/>
  <c r="I12" i="7"/>
  <c r="I19" i="7"/>
  <c r="I20" i="7"/>
  <c r="K25" i="7"/>
  <c r="L12" i="7"/>
  <c r="L17" i="7"/>
  <c r="L19" i="7"/>
  <c r="L20" i="7"/>
  <c r="L4" i="7"/>
  <c r="L7" i="7"/>
  <c r="L11" i="7"/>
  <c r="L13" i="7"/>
  <c r="L14" i="7"/>
  <c r="L15" i="7"/>
  <c r="L21" i="7"/>
  <c r="L22" i="7"/>
  <c r="L23" i="7"/>
  <c r="L13" i="10"/>
  <c r="K13" i="10"/>
  <c r="I13" i="10"/>
  <c r="H13" i="10"/>
  <c r="M12" i="10"/>
  <c r="J12" i="10"/>
  <c r="M11" i="10"/>
  <c r="J11" i="10"/>
  <c r="M10" i="10"/>
  <c r="J10" i="10"/>
  <c r="M9" i="10"/>
  <c r="J9" i="10"/>
  <c r="M8" i="10"/>
  <c r="J8" i="10"/>
  <c r="M7" i="10"/>
  <c r="J7" i="10"/>
  <c r="M6" i="10"/>
  <c r="J6" i="10"/>
  <c r="M5" i="10"/>
  <c r="J5" i="10"/>
  <c r="M4" i="10"/>
  <c r="J4" i="10"/>
  <c r="K274" i="9"/>
  <c r="H274" i="9"/>
  <c r="M270" i="9"/>
  <c r="M262" i="9"/>
  <c r="M254" i="9"/>
  <c r="M246" i="9"/>
  <c r="M230" i="9"/>
  <c r="J226" i="9"/>
  <c r="M222" i="9"/>
  <c r="M217" i="9"/>
  <c r="M214" i="9"/>
  <c r="J210" i="9"/>
  <c r="M206" i="9"/>
  <c r="M201" i="9"/>
  <c r="M198" i="9"/>
  <c r="M190" i="9"/>
  <c r="M189" i="9"/>
  <c r="M186" i="9"/>
  <c r="M182" i="9"/>
  <c r="J179" i="9"/>
  <c r="M174" i="9"/>
  <c r="J170" i="9"/>
  <c r="M169" i="9"/>
  <c r="M166" i="9"/>
  <c r="J162" i="9"/>
  <c r="J161" i="9"/>
  <c r="M158" i="9"/>
  <c r="M154" i="9"/>
  <c r="J154" i="9"/>
  <c r="M153" i="9"/>
  <c r="M150" i="9"/>
  <c r="M142" i="9"/>
  <c r="M137" i="9"/>
  <c r="M134" i="9"/>
  <c r="M133" i="9"/>
  <c r="J130" i="9"/>
  <c r="M126" i="9"/>
  <c r="J122" i="9"/>
  <c r="M121" i="9"/>
  <c r="M118" i="9"/>
  <c r="J114" i="9"/>
  <c r="M110" i="9"/>
  <c r="M105" i="9"/>
  <c r="M102" i="9"/>
  <c r="J99" i="9"/>
  <c r="M94" i="9"/>
  <c r="J92" i="9"/>
  <c r="J90" i="9"/>
  <c r="M86" i="9"/>
  <c r="M85" i="9"/>
  <c r="J82" i="9"/>
  <c r="M81" i="9"/>
  <c r="J81" i="9"/>
  <c r="M78" i="9"/>
  <c r="J74" i="9"/>
  <c r="M70" i="9"/>
  <c r="J66" i="9"/>
  <c r="M65" i="9"/>
  <c r="M62" i="9"/>
  <c r="J60" i="9"/>
  <c r="M56" i="9"/>
  <c r="J55" i="9"/>
  <c r="M54" i="9"/>
  <c r="M52" i="9"/>
  <c r="J52" i="9"/>
  <c r="M51" i="9"/>
  <c r="J51" i="9"/>
  <c r="M50" i="9"/>
  <c r="J50" i="9"/>
  <c r="M49" i="9"/>
  <c r="J49" i="9"/>
  <c r="J47" i="9"/>
  <c r="M46" i="9"/>
  <c r="J46" i="9"/>
  <c r="M44" i="9"/>
  <c r="J44" i="9"/>
  <c r="M43" i="9"/>
  <c r="J43" i="9"/>
  <c r="M42" i="9"/>
  <c r="J42" i="9"/>
  <c r="M41" i="9"/>
  <c r="J41" i="9"/>
  <c r="M40" i="9"/>
  <c r="J26" i="9"/>
  <c r="J24" i="9"/>
  <c r="J21" i="9"/>
  <c r="M20" i="9"/>
  <c r="J18" i="9"/>
  <c r="L32" i="8"/>
  <c r="I32" i="8"/>
  <c r="N31" i="8"/>
  <c r="N30" i="8"/>
  <c r="N28" i="8"/>
  <c r="K25" i="8"/>
  <c r="N24" i="8"/>
  <c r="K24" i="8"/>
  <c r="N20" i="8"/>
  <c r="K18" i="8"/>
  <c r="N16" i="8"/>
  <c r="K16" i="8"/>
  <c r="N15" i="8"/>
  <c r="N12" i="8"/>
  <c r="N11" i="8"/>
  <c r="N8" i="8"/>
  <c r="K8" i="8"/>
  <c r="N6" i="8"/>
  <c r="N5" i="8"/>
  <c r="N4" i="8"/>
  <c r="M25" i="7"/>
  <c r="J25" i="7"/>
  <c r="G25" i="7"/>
  <c r="O24" i="7"/>
  <c r="L24" i="7"/>
  <c r="I24" i="7"/>
  <c r="O23" i="7"/>
  <c r="I23" i="7"/>
  <c r="O22" i="7"/>
  <c r="I22" i="7"/>
  <c r="O21" i="7"/>
  <c r="I21" i="7"/>
  <c r="O18" i="7"/>
  <c r="L18" i="7"/>
  <c r="I18" i="7"/>
  <c r="O17" i="7"/>
  <c r="I17" i="7"/>
  <c r="O16" i="7"/>
  <c r="L16" i="7"/>
  <c r="I16" i="7"/>
  <c r="O15" i="7"/>
  <c r="I15" i="7"/>
  <c r="O14" i="7"/>
  <c r="I14" i="7"/>
  <c r="O13" i="7"/>
  <c r="I13" i="7"/>
  <c r="I11" i="7"/>
  <c r="O10" i="7"/>
  <c r="L10" i="7"/>
  <c r="I10" i="7"/>
  <c r="O9" i="7"/>
  <c r="L9" i="7"/>
  <c r="I9" i="7"/>
  <c r="O8" i="7"/>
  <c r="L8" i="7"/>
  <c r="I8" i="7"/>
  <c r="O7" i="7"/>
  <c r="I7" i="7"/>
  <c r="O6" i="7"/>
  <c r="L6" i="7"/>
  <c r="I6" i="7"/>
  <c r="O5" i="7"/>
  <c r="I5" i="7"/>
  <c r="K21" i="15" l="1"/>
  <c r="Q6" i="15"/>
  <c r="K12" i="15"/>
  <c r="K6" i="15"/>
  <c r="M32" i="8"/>
  <c r="K14" i="15"/>
  <c r="K4" i="15"/>
  <c r="Q4" i="15"/>
  <c r="Q12" i="15"/>
  <c r="K5" i="15"/>
  <c r="Q15" i="15"/>
  <c r="Q19" i="15"/>
  <c r="Q11" i="15"/>
  <c r="Q3" i="15"/>
  <c r="Q17" i="15"/>
  <c r="Q9" i="15"/>
  <c r="Q13" i="15"/>
  <c r="Q18" i="15"/>
  <c r="Q10" i="15"/>
  <c r="Q22" i="15"/>
  <c r="Q14" i="15"/>
  <c r="Q5" i="15"/>
  <c r="Q7" i="15"/>
  <c r="E3" i="15"/>
  <c r="K3" i="15"/>
  <c r="K22" i="15"/>
  <c r="K8" i="15"/>
  <c r="K20" i="15"/>
  <c r="Q16" i="15"/>
  <c r="Q8" i="15"/>
  <c r="P23" i="15"/>
  <c r="Q21" i="15"/>
  <c r="O23" i="15"/>
  <c r="Q2" i="15"/>
  <c r="K15" i="15"/>
  <c r="K18" i="15"/>
  <c r="K10" i="15"/>
  <c r="K19" i="15"/>
  <c r="K11" i="15"/>
  <c r="K17" i="15"/>
  <c r="K9" i="15"/>
  <c r="J23" i="15"/>
  <c r="E22" i="15"/>
  <c r="E14" i="15"/>
  <c r="E11" i="15"/>
  <c r="E6" i="15"/>
  <c r="E19" i="15"/>
  <c r="J13" i="10"/>
  <c r="M13" i="10"/>
  <c r="E20" i="15"/>
  <c r="E12" i="15"/>
  <c r="E13" i="15"/>
  <c r="E5" i="15"/>
  <c r="E4" i="15"/>
  <c r="E21" i="15"/>
  <c r="E18" i="15"/>
  <c r="E10" i="15"/>
  <c r="E15" i="15"/>
  <c r="E7" i="15"/>
  <c r="D23" i="15"/>
  <c r="E17" i="15"/>
  <c r="E9" i="15"/>
  <c r="E16" i="15"/>
  <c r="E8" i="15"/>
  <c r="E2" i="15"/>
  <c r="I23" i="15"/>
  <c r="C23" i="15"/>
  <c r="K2" i="15"/>
  <c r="L274" i="9"/>
  <c r="I274" i="9"/>
  <c r="J274" i="9"/>
  <c r="M274" i="9"/>
  <c r="N32" i="8"/>
  <c r="K32" i="8"/>
  <c r="J32" i="8"/>
  <c r="O4" i="7"/>
  <c r="O25" i="7" s="1"/>
  <c r="H25" i="7"/>
  <c r="I4" i="7"/>
  <c r="I25" i="7" s="1"/>
  <c r="L5" i="7"/>
  <c r="L25" i="7" s="1"/>
  <c r="Q23" i="15" l="1"/>
  <c r="K23" i="15"/>
  <c r="E23" i="15"/>
</calcChain>
</file>

<file path=xl/sharedStrings.xml><?xml version="1.0" encoding="utf-8"?>
<sst xmlns="http://schemas.openxmlformats.org/spreadsheetml/2006/main" count="19350" uniqueCount="2233">
  <si>
    <t>NIP</t>
  </si>
  <si>
    <t>JOBDESC</t>
  </si>
  <si>
    <t>PERNR</t>
  </si>
  <si>
    <t>TIPE UKER</t>
  </si>
  <si>
    <t>COMPLETENAME</t>
  </si>
  <si>
    <t>KELOMPOK JABATAN</t>
  </si>
  <si>
    <t>MCTEXT</t>
  </si>
  <si>
    <t>PADESC</t>
  </si>
  <si>
    <t>ORGDESC</t>
  </si>
  <si>
    <t>CORP. TITLE</t>
  </si>
  <si>
    <t>PSADESC</t>
  </si>
  <si>
    <t>KODE BRANCH</t>
  </si>
  <si>
    <t>ESGDESC</t>
  </si>
  <si>
    <t>K174519623</t>
  </si>
  <si>
    <t>CUSTOMER SERVICE</t>
  </si>
  <si>
    <t>UN</t>
  </si>
  <si>
    <t>Mayasari</t>
  </si>
  <si>
    <t>Customer Service</t>
  </si>
  <si>
    <t>U_5638_KAYU AGUNG I</t>
  </si>
  <si>
    <t>Region 04 Palembang</t>
  </si>
  <si>
    <t>UNIT KAYU AGUNG I</t>
  </si>
  <si>
    <t>Associate</t>
  </si>
  <si>
    <t>KC Kayu Agung</t>
  </si>
  <si>
    <t>Kontrak Teller/CS</t>
  </si>
  <si>
    <t>K173009823</t>
  </si>
  <si>
    <t>Rahma Ayu Antika</t>
  </si>
  <si>
    <t>U_5647_TANJUNG RAJA</t>
  </si>
  <si>
    <t>UNIT TANJUNG RAJA</t>
  </si>
  <si>
    <t>K173799823</t>
  </si>
  <si>
    <t>Bunga Islamiati</t>
  </si>
  <si>
    <t>U_5645_TANJUNG BATU</t>
  </si>
  <si>
    <t>UNIT TANJUNG BATU</t>
  </si>
  <si>
    <t>KC</t>
  </si>
  <si>
    <t>Melanda Dwi Sandi</t>
  </si>
  <si>
    <t>KC MUARA ENIM</t>
  </si>
  <si>
    <t>SEKSI OPERASIONAL &amp; LAYANAN</t>
  </si>
  <si>
    <t>KC Muara Enim</t>
  </si>
  <si>
    <t>K173559823</t>
  </si>
  <si>
    <t>Resti Azmeilia</t>
  </si>
  <si>
    <t>U_5730_SUDIRMAN MUARA ENIM</t>
  </si>
  <si>
    <t>UNIT SUDIRMAN MUARA ENIM</t>
  </si>
  <si>
    <t>K173529823</t>
  </si>
  <si>
    <t>Sari Aryanto</t>
  </si>
  <si>
    <t>U_5731_TANJUNG BARU</t>
  </si>
  <si>
    <t>UNIT TANJUNG BARU</t>
  </si>
  <si>
    <t>K174150223</t>
  </si>
  <si>
    <t>Muhammad Rehan Ilyasa</t>
  </si>
  <si>
    <t>K173859823</t>
  </si>
  <si>
    <t>Sri Marlyna</t>
  </si>
  <si>
    <t>U_5791_PARIT TIGA</t>
  </si>
  <si>
    <t>UNIT PARIT TIGA</t>
  </si>
  <si>
    <t>KC Sungai Liat</t>
  </si>
  <si>
    <t>K174459923</t>
  </si>
  <si>
    <t>KCP</t>
  </si>
  <si>
    <t>Msy Nadia Hania Putri</t>
  </si>
  <si>
    <t>KCP PASAR SAKO KENTEN</t>
  </si>
  <si>
    <t>FUNGSI OPERASIONAL &amp; LAYANAN</t>
  </si>
  <si>
    <t>KC Palembang Sriwijaya</t>
  </si>
  <si>
    <t>K174319623</t>
  </si>
  <si>
    <t>Yohanes Abdi Prayogo</t>
  </si>
  <si>
    <t>U_8052_PASAR ILIR</t>
  </si>
  <si>
    <t>UNIT PASAR ILIR</t>
  </si>
  <si>
    <t>KC Baturaja</t>
  </si>
  <si>
    <t>R. Modyta Thalia</t>
  </si>
  <si>
    <t>KC BATURAJA</t>
  </si>
  <si>
    <t>K174129723</t>
  </si>
  <si>
    <t>Sri Siswanti</t>
  </si>
  <si>
    <t>U_5610_LINTAS SUMATERA</t>
  </si>
  <si>
    <t>UNIT LINTAS SUMATERA</t>
  </si>
  <si>
    <t>K173029623</t>
  </si>
  <si>
    <t>Gusti Fadhilah</t>
  </si>
  <si>
    <t>U_5762_MERDEKA PALEMBANG</t>
  </si>
  <si>
    <t>UNIT MERDEKA PALEMBANG</t>
  </si>
  <si>
    <t>KC Palembang A. Rivai</t>
  </si>
  <si>
    <t>UNIVERSAL BANKER</t>
  </si>
  <si>
    <t>Aprillya Djunaidah Putri</t>
  </si>
  <si>
    <t>Universal Banker - KC/KCP/KK</t>
  </si>
  <si>
    <t>KC LAHAT</t>
  </si>
  <si>
    <t>KC Lahat</t>
  </si>
  <si>
    <t>K173509823</t>
  </si>
  <si>
    <t>Tata Angraini</t>
  </si>
  <si>
    <t>U_3286_KOTA BATURAJA</t>
  </si>
  <si>
    <t>TERAS PASAR BARU BATURAJA</t>
  </si>
  <si>
    <t>K174529723</t>
  </si>
  <si>
    <t>Ana Oktapia</t>
  </si>
  <si>
    <t>U_7186_KELUANG</t>
  </si>
  <si>
    <t>UNIT KELUANG</t>
  </si>
  <si>
    <t>KC Sekayu</t>
  </si>
  <si>
    <t>K173259923</t>
  </si>
  <si>
    <t>Mutia Dwi Marisna</t>
  </si>
  <si>
    <t>U_5787_SEKAYU KOTA</t>
  </si>
  <si>
    <t>UNIT SEKAYU KOTA</t>
  </si>
  <si>
    <t>K173579723</t>
  </si>
  <si>
    <t>Deta Maya Soma</t>
  </si>
  <si>
    <t>U_5750_LINGKARAN</t>
  </si>
  <si>
    <t>UNIT LINGKARAN</t>
  </si>
  <si>
    <t>K174199923</t>
  </si>
  <si>
    <t>Dzalza Billa</t>
  </si>
  <si>
    <t>U_5675_PASAR LEMATANG</t>
  </si>
  <si>
    <t>UNIT PASAR LEMATANG</t>
  </si>
  <si>
    <t>K174040023</t>
  </si>
  <si>
    <t>Dimas Prasetya Nugraha</t>
  </si>
  <si>
    <t>U_7461_TANJUNG AUR</t>
  </si>
  <si>
    <t>UNIT TANJUNG AUR</t>
  </si>
  <si>
    <t>K174209723</t>
  </si>
  <si>
    <t>Syahira Hidaya</t>
  </si>
  <si>
    <t>U_3550_TEBING TINGGI LAHAT</t>
  </si>
  <si>
    <t>TERAS PASAR ILIR</t>
  </si>
  <si>
    <t>K174359623</t>
  </si>
  <si>
    <t>Msy. Via Nurafrianti</t>
  </si>
  <si>
    <t>U_5742_5 ULU</t>
  </si>
  <si>
    <t>UNIT 5 ULU</t>
  </si>
  <si>
    <t>K173989923</t>
  </si>
  <si>
    <t>Virgin Regina Aryani</t>
  </si>
  <si>
    <t>KCP KM 5</t>
  </si>
  <si>
    <t>K173089823</t>
  </si>
  <si>
    <t>Zerin Meishita</t>
  </si>
  <si>
    <t>U_5753_BUKIT SANGKAL</t>
  </si>
  <si>
    <t>UNIT BUKIT SANGKAL</t>
  </si>
  <si>
    <t>K173099723</t>
  </si>
  <si>
    <t>Amanda Risma Apriani</t>
  </si>
  <si>
    <t>U_7499_LEMBAK</t>
  </si>
  <si>
    <t>UNIT LEMBAK</t>
  </si>
  <si>
    <t>KC Prabumulih</t>
  </si>
  <si>
    <t>K173820023</t>
  </si>
  <si>
    <t>Fela Febiola</t>
  </si>
  <si>
    <t>U_3560_MANGGAR</t>
  </si>
  <si>
    <t>UNIT MANGGAR</t>
  </si>
  <si>
    <t>KC Tanjung Pandan</t>
  </si>
  <si>
    <t>K173959823</t>
  </si>
  <si>
    <t>Putri Marina Lestari</t>
  </si>
  <si>
    <t>U_7108_TANAH ABANG</t>
  </si>
  <si>
    <t>UNIT TANAH ABANG</t>
  </si>
  <si>
    <t>K173499823</t>
  </si>
  <si>
    <t>Meta Aryanisdia</t>
  </si>
  <si>
    <t>U_5805_PANGKAL LALANG</t>
  </si>
  <si>
    <t>UNIT PANGKAL LALANG</t>
  </si>
  <si>
    <t>Fitriwanti</t>
  </si>
  <si>
    <t>KC TANJUNG PANDAN</t>
  </si>
  <si>
    <t>K174089723</t>
  </si>
  <si>
    <t>Riska Apriyanti</t>
  </si>
  <si>
    <t>U_7045_MUARA BELITI</t>
  </si>
  <si>
    <t>UNIT MUARA BELITI</t>
  </si>
  <si>
    <t>KC Lubuk Linggau</t>
  </si>
  <si>
    <t>K174279723</t>
  </si>
  <si>
    <t>Novita Anggraeni Tamba</t>
  </si>
  <si>
    <t>U_5670_PELABUHAN DAGANG</t>
  </si>
  <si>
    <t>UNIT PELABUHAN DAGANG</t>
  </si>
  <si>
    <t>KC Kuala Tungkal</t>
  </si>
  <si>
    <t>K173779723</t>
  </si>
  <si>
    <t>Helvy Inanda Putri Hs</t>
  </si>
  <si>
    <t>U_5682_SIMPANG PERIUK</t>
  </si>
  <si>
    <t>UNIT SIMPANG PERIUK</t>
  </si>
  <si>
    <t>K173399823</t>
  </si>
  <si>
    <t>Ananda Jihan</t>
  </si>
  <si>
    <t>U_5630_SIMPANG KAWAT</t>
  </si>
  <si>
    <t>UNIT SIMPANG KAWAT</t>
  </si>
  <si>
    <t>KC Abunjani Sipin</t>
  </si>
  <si>
    <t>K173419623</t>
  </si>
  <si>
    <t>Novika Vionita M</t>
  </si>
  <si>
    <t>U_3554_MUARA TEBO</t>
  </si>
  <si>
    <t>TERAS PASAR MUARA TEBO</t>
  </si>
  <si>
    <t>KC Rimbo Bujang</t>
  </si>
  <si>
    <t>K173439723</t>
  </si>
  <si>
    <t>Dini Amelia Dwiputri</t>
  </si>
  <si>
    <t>U_5666_KOTA KUALA TUNGKAL</t>
  </si>
  <si>
    <t>UNIT KOTA KUALA TUNGKAL</t>
  </si>
  <si>
    <t>Lavia Yunita Pratama Sari</t>
  </si>
  <si>
    <t>KC MUARA BUNGO</t>
  </si>
  <si>
    <t>KC Muara Bungo</t>
  </si>
  <si>
    <t>K248869823</t>
  </si>
  <si>
    <t>Nada Triyani</t>
  </si>
  <si>
    <t>KCP TUGUMULYO</t>
  </si>
  <si>
    <t>K248879723</t>
  </si>
  <si>
    <t>Fifi Fariska</t>
  </si>
  <si>
    <t>U_5644_SIMPANG TIMBANGAN</t>
  </si>
  <si>
    <t>UNIT SIMPANG TIMBANGAN</t>
  </si>
  <si>
    <t>MAOLY DIA GANATRI</t>
  </si>
  <si>
    <t>KC PALEMBANG SRIWIJAYA</t>
  </si>
  <si>
    <t>K249000123</t>
  </si>
  <si>
    <t>Nur Azizah</t>
  </si>
  <si>
    <t>U_5763_SEKIP KEBON SEMAI</t>
  </si>
  <si>
    <t>UNIT SEKIP KEBON SEMAI</t>
  </si>
  <si>
    <t>K249029923</t>
  </si>
  <si>
    <t>Sintiya Nur Aliza</t>
  </si>
  <si>
    <t>KCP ISKANDAR</t>
  </si>
  <si>
    <t>K249059923</t>
  </si>
  <si>
    <t>Tania Ayu Syahputri Budiman</t>
  </si>
  <si>
    <t>U_5740_KERTAPATI</t>
  </si>
  <si>
    <t>UNIT KERTAPATI</t>
  </si>
  <si>
    <t>K249069723</t>
  </si>
  <si>
    <t>Nyayu Zaskia Faturrahma</t>
  </si>
  <si>
    <t>U_8059_GANDUS</t>
  </si>
  <si>
    <t>UNIT GANDUS</t>
  </si>
  <si>
    <t>K249079823</t>
  </si>
  <si>
    <t>Tria Ella Ragiliasari</t>
  </si>
  <si>
    <t>U_5747_PLAJU</t>
  </si>
  <si>
    <t>UNIT PLAJU</t>
  </si>
  <si>
    <t>K249080023</t>
  </si>
  <si>
    <t>Anis Khansa Putri</t>
  </si>
  <si>
    <t>U_5755_SEBERANG ULU</t>
  </si>
  <si>
    <t>UNIT SEBERANG ULU</t>
  </si>
  <si>
    <t>K249129823</t>
  </si>
  <si>
    <t>Cahya Mustary</t>
  </si>
  <si>
    <t>U_5789_BATURUSA</t>
  </si>
  <si>
    <t>UNIT BATURUSA</t>
  </si>
  <si>
    <t>K249149723</t>
  </si>
  <si>
    <t>Wiwin Winarti</t>
  </si>
  <si>
    <t>U_5768_GELUMBANG</t>
  </si>
  <si>
    <t>UNIT GELUMBANG</t>
  </si>
  <si>
    <t>K249209923</t>
  </si>
  <si>
    <t>Febriani Mustika Putri</t>
  </si>
  <si>
    <t>K249269823</t>
  </si>
  <si>
    <t>Astri Widayanty</t>
  </si>
  <si>
    <t>U_7889_RIAU SILIP</t>
  </si>
  <si>
    <t>UNIT RIAU SILIP</t>
  </si>
  <si>
    <t>K249339723</t>
  </si>
  <si>
    <t>Indriansyah</t>
  </si>
  <si>
    <t>U_5641_PAMPANGAN</t>
  </si>
  <si>
    <t>UNIT PAMPANGAN</t>
  </si>
  <si>
    <t>Rizka Aniza</t>
  </si>
  <si>
    <t>KC KAYU AGUNG</t>
  </si>
  <si>
    <t>K249369823</t>
  </si>
  <si>
    <t>Putri Misbawati</t>
  </si>
  <si>
    <t>U_5643_SIRAH PULAU PADANG</t>
  </si>
  <si>
    <t>UNIT SIRAH PULAU PADANG</t>
  </si>
  <si>
    <t>K249379923</t>
  </si>
  <si>
    <t>Reychika Adinda Kania</t>
  </si>
  <si>
    <t>U_7520_AIR MERBAU</t>
  </si>
  <si>
    <t>UNIT AIR MERBAU</t>
  </si>
  <si>
    <t>Desi Yenita</t>
  </si>
  <si>
    <t>KC SAROLANGUN</t>
  </si>
  <si>
    <t>KC Sarolangun</t>
  </si>
  <si>
    <t>Nabilla Azzahra</t>
  </si>
  <si>
    <t>KC JAMBI</t>
  </si>
  <si>
    <t>KC Jambi</t>
  </si>
  <si>
    <t>K251479623</t>
  </si>
  <si>
    <t>Ria Mandasari</t>
  </si>
  <si>
    <t>U_5793_KOTA SUNGAI LIAT</t>
  </si>
  <si>
    <t>UNIT KOTA SUNGAI LIAT</t>
  </si>
  <si>
    <t>K251489723</t>
  </si>
  <si>
    <t>Indah Suci Lestari</t>
  </si>
  <si>
    <t>U_5636_CINTA MANIS</t>
  </si>
  <si>
    <t>UNIT CINTA MANIS</t>
  </si>
  <si>
    <t>Novita Amalia Putri</t>
  </si>
  <si>
    <t>KC PANGKAL PINANG</t>
  </si>
  <si>
    <t>KC Pangkal Pinang</t>
  </si>
  <si>
    <t>K251779923</t>
  </si>
  <si>
    <t>Bunga Nadia Versia</t>
  </si>
  <si>
    <t>KCP TOBOALI</t>
  </si>
  <si>
    <t>Hana Mahsa Almira</t>
  </si>
  <si>
    <t>KC LUBUK LINGGAU</t>
  </si>
  <si>
    <t>K251529923</t>
  </si>
  <si>
    <t>Popi Purnamasari</t>
  </si>
  <si>
    <t>U_5683_SUDIRMAN LUBUKLINGGAU</t>
  </si>
  <si>
    <t>UNIT SUDIRMAN LUBUKLINGGAU</t>
  </si>
  <si>
    <t>K251560023</t>
  </si>
  <si>
    <t>Chica Ayu Cahyuni</t>
  </si>
  <si>
    <t>U_5677_GARUDA</t>
  </si>
  <si>
    <t>UNIT GARUDA</t>
  </si>
  <si>
    <t>K273679923</t>
  </si>
  <si>
    <t>Abdul Muthalib</t>
  </si>
  <si>
    <t>U_3558_SUNGAI LILIN</t>
  </si>
  <si>
    <t>UNIT SUNGAI LILIN</t>
  </si>
  <si>
    <t>K292409923</t>
  </si>
  <si>
    <t>Ira Fahira Dwi Putri</t>
  </si>
  <si>
    <t>U_5758_PAKJO</t>
  </si>
  <si>
    <t>UNIT PAKJO</t>
  </si>
  <si>
    <t>K292419923</t>
  </si>
  <si>
    <t>Deby Sintya Rosha</t>
  </si>
  <si>
    <t>U_7054_SIMPANG PEBEM</t>
  </si>
  <si>
    <t>UNIT SIMPANG PEBEM</t>
  </si>
  <si>
    <t>K292429923</t>
  </si>
  <si>
    <t>Devi Lestari Ramadhani</t>
  </si>
  <si>
    <t>Virta Yuli Anisa</t>
  </si>
  <si>
    <t>K317359823</t>
  </si>
  <si>
    <t>Dinda</t>
  </si>
  <si>
    <t>U_5770_RAMBANG DANGKU</t>
  </si>
  <si>
    <t>UNIT RAMBANG DANGKU</t>
  </si>
  <si>
    <t>K317419923</t>
  </si>
  <si>
    <t>Sarazfhiga Solehatin</t>
  </si>
  <si>
    <t>U_5803_GANTUNG</t>
  </si>
  <si>
    <t>UNIT GANTUNG</t>
  </si>
  <si>
    <t>K317420123</t>
  </si>
  <si>
    <t>Melky Chandra Sedek Sibarani</t>
  </si>
  <si>
    <t>U_5746_LEMABANG</t>
  </si>
  <si>
    <t>UNIT LEMABANG</t>
  </si>
  <si>
    <t>K317439823</t>
  </si>
  <si>
    <t>Nesia Putri Selsi Wijaya</t>
  </si>
  <si>
    <t>K316629723</t>
  </si>
  <si>
    <t>Nazza Miftahul Jannah</t>
  </si>
  <si>
    <t>KCP INDRALAYA</t>
  </si>
  <si>
    <t>Sundari Fatikasary</t>
  </si>
  <si>
    <t>K319009923</t>
  </si>
  <si>
    <t>Ayu Meiliani</t>
  </si>
  <si>
    <t>K331580023</t>
  </si>
  <si>
    <t>Fitria Anggraini</t>
  </si>
  <si>
    <t>U_5732_TANJUNG ENIM</t>
  </si>
  <si>
    <t>UNIT TANJUNG ENIM</t>
  </si>
  <si>
    <t>K319139923</t>
  </si>
  <si>
    <t>Nadia Putri Maghfira</t>
  </si>
  <si>
    <t>KCP TANJUNG ENIM</t>
  </si>
  <si>
    <t>K319149923</t>
  </si>
  <si>
    <t>Echa Santika</t>
  </si>
  <si>
    <t>Januarti Silviani</t>
  </si>
  <si>
    <t>Gusti Riski Permata</t>
  </si>
  <si>
    <t>KC ABUNJANI SIPIN</t>
  </si>
  <si>
    <t>K319660023</t>
  </si>
  <si>
    <t>Nabila Stephanie Putri</t>
  </si>
  <si>
    <t>K_1863_KK RS PERTAMINA PLAJU</t>
  </si>
  <si>
    <t>KK RS PERTAMINA PLAJU</t>
  </si>
  <si>
    <t>K345699923</t>
  </si>
  <si>
    <t>Vieolla Almaira</t>
  </si>
  <si>
    <t>U_5736_PAGAR ALAM</t>
  </si>
  <si>
    <t>UNIT PAGAR ALAM</t>
  </si>
  <si>
    <t>KC Pagar Alam</t>
  </si>
  <si>
    <t>K332919723</t>
  </si>
  <si>
    <t>TELLER</t>
  </si>
  <si>
    <t>Prisilia Voseka</t>
  </si>
  <si>
    <t>Teller</t>
  </si>
  <si>
    <t>U_5713_BAJUBANG</t>
  </si>
  <si>
    <t>UNIT BAJUBANG</t>
  </si>
  <si>
    <t>KC Muara Bulian</t>
  </si>
  <si>
    <t>K332929623</t>
  </si>
  <si>
    <t>Anggun</t>
  </si>
  <si>
    <t>U_5716_KOTA MUARA BULIAN</t>
  </si>
  <si>
    <t>UNIT KOTA MUARA BULIAN</t>
  </si>
  <si>
    <t>K332969823</t>
  </si>
  <si>
    <t>Ike Fitria</t>
  </si>
  <si>
    <t>U_5680_O MANGUN HARJO</t>
  </si>
  <si>
    <t>UNIT O MANGUN HARJO</t>
  </si>
  <si>
    <t>Utary Erika Putri</t>
  </si>
  <si>
    <t>Nurul Azizah Mahfudzoh</t>
  </si>
  <si>
    <t>KC RIMBO BUJANG</t>
  </si>
  <si>
    <t>K347459823</t>
  </si>
  <si>
    <t>Asa Alamanda</t>
  </si>
  <si>
    <t>U_5725_SUNGAI BENGKAL</t>
  </si>
  <si>
    <t>UNIT SUNGAI BENGKAL</t>
  </si>
  <si>
    <t>K347479823</t>
  </si>
  <si>
    <t>Verina Anissa</t>
  </si>
  <si>
    <t>U_7050_KOTA II SUNGAI LIAT</t>
  </si>
  <si>
    <t>UNIT KOTA II SUNGAI LIAT</t>
  </si>
  <si>
    <t>K347700123</t>
  </si>
  <si>
    <t>Cindy Wulandari</t>
  </si>
  <si>
    <t>U_5745_KUTO</t>
  </si>
  <si>
    <t>UNIT KUTO</t>
  </si>
  <si>
    <t>K347719823</t>
  </si>
  <si>
    <t>Krismonita Sandi</t>
  </si>
  <si>
    <t>U_7177_RIMBO ILIR</t>
  </si>
  <si>
    <t>UNIT RIMBO ILIR</t>
  </si>
  <si>
    <t>K347739923</t>
  </si>
  <si>
    <t>Winda Pajriyanti</t>
  </si>
  <si>
    <t>U_3389_MERANGIN</t>
  </si>
  <si>
    <t>UNIT MERANGIN</t>
  </si>
  <si>
    <t>KC Bangko</t>
  </si>
  <si>
    <t>Anggi Thamrin</t>
  </si>
  <si>
    <t>KC BANGKO</t>
  </si>
  <si>
    <t>K347759823</t>
  </si>
  <si>
    <t>Lipia Sepna Ningsih</t>
  </si>
  <si>
    <t>U_5603_PAMENANG</t>
  </si>
  <si>
    <t>UNIT PAMENANG</t>
  </si>
  <si>
    <t>K348689823</t>
  </si>
  <si>
    <t>Mella Lavenia</t>
  </si>
  <si>
    <t>U_8152_SAWMIL</t>
  </si>
  <si>
    <t>UNIT SAWMIL</t>
  </si>
  <si>
    <t>K368240023</t>
  </si>
  <si>
    <t>Era Shunia Nadiya</t>
  </si>
  <si>
    <t>U_5784_BETUNG</t>
  </si>
  <si>
    <t>UNIT BETUNG</t>
  </si>
  <si>
    <t>Maya Ayuni</t>
  </si>
  <si>
    <t>Rizkia Meilani</t>
  </si>
  <si>
    <t>KC SUNGAI LIAT</t>
  </si>
  <si>
    <t>K368150123</t>
  </si>
  <si>
    <t>Feby Lerinka</t>
  </si>
  <si>
    <t>U_7051_KENANGA</t>
  </si>
  <si>
    <t>UNIT KENANGA</t>
  </si>
  <si>
    <t>K345079823</t>
  </si>
  <si>
    <t>Lorry Distika Andriani</t>
  </si>
  <si>
    <t>U_5737_PENDOPO</t>
  </si>
  <si>
    <t>UNIT PENDOPO</t>
  </si>
  <si>
    <t>K367430023</t>
  </si>
  <si>
    <t>Chastity Delania Daeli</t>
  </si>
  <si>
    <t>U_7042_FATAHILAH</t>
  </si>
  <si>
    <t>UNIT FATAHILAH</t>
  </si>
  <si>
    <t>Lidya Merry Safitri</t>
  </si>
  <si>
    <t>K364139923</t>
  </si>
  <si>
    <t>Tika Puspadewi</t>
  </si>
  <si>
    <t>U_7975_KENTEN AZHAR</t>
  </si>
  <si>
    <t>UNIT KENTEN AZHAR</t>
  </si>
  <si>
    <t>K400869923</t>
  </si>
  <si>
    <t>Miranti</t>
  </si>
  <si>
    <t>U_5804_KELAPA KAMPIT</t>
  </si>
  <si>
    <t>UNIT KELAPA KAMPIT</t>
  </si>
  <si>
    <t>K400880023</t>
  </si>
  <si>
    <t>Annisa Shevania Zahara</t>
  </si>
  <si>
    <t>U_5640_LUBUK SEBERUK</t>
  </si>
  <si>
    <t>UNIT LUBUK SEBERUK</t>
  </si>
  <si>
    <t>Reza Ardianti</t>
  </si>
  <si>
    <t>KC PALEMBANG A. RIVAI</t>
  </si>
  <si>
    <t>K400950023</t>
  </si>
  <si>
    <t>Elza Dwi Safitri</t>
  </si>
  <si>
    <t>U_5631_SIMPANG RIMBO</t>
  </si>
  <si>
    <t>UNIT SIMPANG RIMBO</t>
  </si>
  <si>
    <t>K400969923</t>
  </si>
  <si>
    <t>Sri Puji Rahayu</t>
  </si>
  <si>
    <t>U_5633_SULTAN THAHA</t>
  </si>
  <si>
    <t>UNIT SULTAN THAHA</t>
  </si>
  <si>
    <t>K400999923</t>
  </si>
  <si>
    <t>Deasy Rahmiyana</t>
  </si>
  <si>
    <t>U_5765_PANGKAL PINANG II</t>
  </si>
  <si>
    <t>TERAS PASAR PAGI</t>
  </si>
  <si>
    <t>Cindy Julian Laurensia</t>
  </si>
  <si>
    <t>K401140023</t>
  </si>
  <si>
    <t>Relin Permata Sari</t>
  </si>
  <si>
    <t>U_5606_GATOT SUBROTO BATURAJA</t>
  </si>
  <si>
    <t>UNIT GATOT SUBROTO BATURAJA</t>
  </si>
  <si>
    <t>K401169923</t>
  </si>
  <si>
    <t>Deffia Indah Kuswari</t>
  </si>
  <si>
    <t>U_5608_GUMAWANG I</t>
  </si>
  <si>
    <t>UNIT GUMAWANG I</t>
  </si>
  <si>
    <t>K401170023</t>
  </si>
  <si>
    <t>Indri Nabela</t>
  </si>
  <si>
    <t>UNIT KOTA BATURAJA</t>
  </si>
  <si>
    <t>K401949823</t>
  </si>
  <si>
    <t>Fristy Yamitya Irana</t>
  </si>
  <si>
    <t>U_7360_PULAU TEMIANG</t>
  </si>
  <si>
    <t>UNIT PULAU TEMIANG</t>
  </si>
  <si>
    <t>K401969723</t>
  </si>
  <si>
    <t>Ade Andita</t>
  </si>
  <si>
    <t>K402079823</t>
  </si>
  <si>
    <t>Muhammad Zakaria</t>
  </si>
  <si>
    <t>U_7770_KTM TELANG</t>
  </si>
  <si>
    <t>UNIT KTM TELANG</t>
  </si>
  <si>
    <t>K402329823</t>
  </si>
  <si>
    <t>Novia Dwi Larasati</t>
  </si>
  <si>
    <t>UNIT PANGKAL PINANG II</t>
  </si>
  <si>
    <t>K402339723</t>
  </si>
  <si>
    <t>Sembi Peringati</t>
  </si>
  <si>
    <t>U_5792_PUDING BESAR</t>
  </si>
  <si>
    <t>UNIT PUDING BESAR</t>
  </si>
  <si>
    <t>K403399923</t>
  </si>
  <si>
    <t>Muna Atori</t>
  </si>
  <si>
    <t>U_5743_CINDE</t>
  </si>
  <si>
    <t>UNIT CINDE</t>
  </si>
  <si>
    <t>K403400123</t>
  </si>
  <si>
    <t>Yuniarti</t>
  </si>
  <si>
    <t>KCP DEMANG</t>
  </si>
  <si>
    <t>Wiyono</t>
  </si>
  <si>
    <t>Rendi Darma Syahputra</t>
  </si>
  <si>
    <t>K404699824</t>
  </si>
  <si>
    <t>Wiwik Rohana Rianti Simanjuntak</t>
  </si>
  <si>
    <t>U_7048_MARKANDING</t>
  </si>
  <si>
    <t>UNIT MARKANDING</t>
  </si>
  <si>
    <t>K405219724</t>
  </si>
  <si>
    <t>Juniar Sunita</t>
  </si>
  <si>
    <t>K393279924</t>
  </si>
  <si>
    <t>Elga Nurhavita</t>
  </si>
  <si>
    <t>U_5714_MENDALO INDAH</t>
  </si>
  <si>
    <t>UNIT MENDALO INDAH</t>
  </si>
  <si>
    <t>Adinda Audri Savira</t>
  </si>
  <si>
    <t>KC SEKAYU</t>
  </si>
  <si>
    <t>Romi Surya Armansyah</t>
  </si>
  <si>
    <t>K406650024</t>
  </si>
  <si>
    <t>Elvira Caroline</t>
  </si>
  <si>
    <t>U_5739_KEBUN BUNGA</t>
  </si>
  <si>
    <t>UNIT KEBUN BUNGA</t>
  </si>
  <si>
    <t>K406660124</t>
  </si>
  <si>
    <t>Pikhe Nurjanah</t>
  </si>
  <si>
    <t>U_7902_PAUH</t>
  </si>
  <si>
    <t>UNIT PAUH</t>
  </si>
  <si>
    <t>K407309924</t>
  </si>
  <si>
    <t>Ade Apriliyanti</t>
  </si>
  <si>
    <t>K422239924</t>
  </si>
  <si>
    <t>Ahmad Maulana</t>
  </si>
  <si>
    <t>U_3555_UNIT MENTOK</t>
  </si>
  <si>
    <t>UNIT MUNTOK</t>
  </si>
  <si>
    <t>K422289824</t>
  </si>
  <si>
    <t>Clara Cintya Roza</t>
  </si>
  <si>
    <t>U_5715_MERSAM</t>
  </si>
  <si>
    <t>UNIT MERSAM</t>
  </si>
  <si>
    <t>K422389924</t>
  </si>
  <si>
    <t>Lia Aryani</t>
  </si>
  <si>
    <t>U_5727_GUNUNG MEGANG</t>
  </si>
  <si>
    <t>UNIT GUNUNG MEGANG</t>
  </si>
  <si>
    <t>Raden Ayu Felya</t>
  </si>
  <si>
    <t>K423269824</t>
  </si>
  <si>
    <t>Mohammad Rozi Arie Praja</t>
  </si>
  <si>
    <t>U_8100_JEBUS</t>
  </si>
  <si>
    <t>UNIT JEBUS</t>
  </si>
  <si>
    <t>K423349924</t>
  </si>
  <si>
    <t>Aby Fathan Nasa Aqil Fikri</t>
  </si>
  <si>
    <t>U_5723_KUAMANG KUNING</t>
  </si>
  <si>
    <t>UNIT KUAMANG KUNING</t>
  </si>
  <si>
    <t>K423359924</t>
  </si>
  <si>
    <t>Tumbuh Ayu Larasati</t>
  </si>
  <si>
    <t>K423369724</t>
  </si>
  <si>
    <t>Warni Juniarti</t>
  </si>
  <si>
    <t>Eving Indri Lestari</t>
  </si>
  <si>
    <t>KC PRABUMULIH</t>
  </si>
  <si>
    <t>K423999924</t>
  </si>
  <si>
    <t>Syelvi Rofifah</t>
  </si>
  <si>
    <t>U_5724_MUARA BUNGO</t>
  </si>
  <si>
    <t>UNIT MUARA BUNGO</t>
  </si>
  <si>
    <t>K430039924</t>
  </si>
  <si>
    <t>Alvi Savira</t>
  </si>
  <si>
    <t>U_7691_KERAMAT JAYA</t>
  </si>
  <si>
    <t>UNIT KERAMAT JAYA</t>
  </si>
  <si>
    <t>Retno Choirunisa</t>
  </si>
  <si>
    <t>KC PAGAR ALAM</t>
  </si>
  <si>
    <t>K428759724</t>
  </si>
  <si>
    <t>Bella Lorenza</t>
  </si>
  <si>
    <t>U_5613_RAWA BENING</t>
  </si>
  <si>
    <t>UNIT RAWA BENING</t>
  </si>
  <si>
    <t>K428370224</t>
  </si>
  <si>
    <t>Nanditha Eka Fitri</t>
  </si>
  <si>
    <t>K426910024</t>
  </si>
  <si>
    <t>Muhammad Faihan Faswal</t>
  </si>
  <si>
    <t>KCP PASAR 16 ILIR</t>
  </si>
  <si>
    <t>K426930024</t>
  </si>
  <si>
    <t>Vilia Khairunisa</t>
  </si>
  <si>
    <t>U_5767_PAYUNG</t>
  </si>
  <si>
    <t>UNIT PAYUNG</t>
  </si>
  <si>
    <t>Lutfiah Syahirah</t>
  </si>
  <si>
    <t>Febby Riza Azzahra</t>
  </si>
  <si>
    <t>K429199824</t>
  </si>
  <si>
    <t>Tika Wahyuni</t>
  </si>
  <si>
    <t>U_5628_ANGSO DUO</t>
  </si>
  <si>
    <t>TERAS ANGSO DUO</t>
  </si>
  <si>
    <t>K429209824</t>
  </si>
  <si>
    <t>Yuni Puspita</t>
  </si>
  <si>
    <t>K_1500_KK POLTABES PALEMBANG</t>
  </si>
  <si>
    <t>KK POLTABES PALEMBANG</t>
  </si>
  <si>
    <t>Agness Alifiana</t>
  </si>
  <si>
    <t>K434119924</t>
  </si>
  <si>
    <t>Suci Ayu Indah Pratiwi</t>
  </si>
  <si>
    <t>U_5602_HITAM ULU</t>
  </si>
  <si>
    <t>UNIT HITAM ULU</t>
  </si>
  <si>
    <t>K432499824</t>
  </si>
  <si>
    <t>Lilis Suryani</t>
  </si>
  <si>
    <t>K432539824</t>
  </si>
  <si>
    <t>Tria Yuliyanti</t>
  </si>
  <si>
    <t>KCP LEMABANG</t>
  </si>
  <si>
    <t>K427320024</t>
  </si>
  <si>
    <t>Mely Sintia</t>
  </si>
  <si>
    <t>U_7142_SOEKARNO HATTA PANGKALPINANG</t>
  </si>
  <si>
    <t>TERAS NAMANG</t>
  </si>
  <si>
    <t>Ribka Veronika Sirait</t>
  </si>
  <si>
    <t>KC MUARA BULIAN</t>
  </si>
  <si>
    <t>K435530024</t>
  </si>
  <si>
    <t>Yulia Nabilah</t>
  </si>
  <si>
    <t>KCP PANGKALAN BALAI</t>
  </si>
  <si>
    <t>Lisnalia Hafizah Anggraini</t>
  </si>
  <si>
    <t>K437650024</t>
  </si>
  <si>
    <t>Tanniah Dwi Pratiwi</t>
  </si>
  <si>
    <t>K442479924</t>
  </si>
  <si>
    <t>Siska Juwita</t>
  </si>
  <si>
    <t>KCP AMPERA</t>
  </si>
  <si>
    <t>K438430124</t>
  </si>
  <si>
    <t>Nyayu Nadia Arianti</t>
  </si>
  <si>
    <t>U_7751_MASKEREBET</t>
  </si>
  <si>
    <t>UNIT MASKEREBET</t>
  </si>
  <si>
    <t>K440689824</t>
  </si>
  <si>
    <t>Indah Nispi Handayani</t>
  </si>
  <si>
    <t>U_7217_KEMANG INDAH</t>
  </si>
  <si>
    <t>UNIT KEMANG INDAH</t>
  </si>
  <si>
    <t>K443099924</t>
  </si>
  <si>
    <t>Raymun Batara Marpaung</t>
  </si>
  <si>
    <t>U_8150_SUMBER JAYA BELITANG</t>
  </si>
  <si>
    <t>UNIT SUMBER JAYA BELITANG</t>
  </si>
  <si>
    <t>K454690024</t>
  </si>
  <si>
    <t>Vebiyana Bella Putri</t>
  </si>
  <si>
    <t>Siti Safira</t>
  </si>
  <si>
    <t>K454410024</t>
  </si>
  <si>
    <t>Dina Aprista</t>
  </si>
  <si>
    <t>K444449924</t>
  </si>
  <si>
    <t>Surya Ramadhan</t>
  </si>
  <si>
    <t>UNIT TEBING TINGGI LAHAT</t>
  </si>
  <si>
    <t>Ratna Hidayati</t>
  </si>
  <si>
    <t>KC KUALA TUNGKAL</t>
  </si>
  <si>
    <t>Dealani Firta Dilika</t>
  </si>
  <si>
    <t>Claudia Pertiwi</t>
  </si>
  <si>
    <t>K458589724</t>
  </si>
  <si>
    <t>Hardiyanti</t>
  </si>
  <si>
    <t>K458639824</t>
  </si>
  <si>
    <t>M. T Prawiratama Wijaya</t>
  </si>
  <si>
    <t>K460279924</t>
  </si>
  <si>
    <t>Mutiara Aisyah</t>
  </si>
  <si>
    <t>K460280024</t>
  </si>
  <si>
    <t>Marizka Amelia</t>
  </si>
  <si>
    <t>K460630024</t>
  </si>
  <si>
    <t>Rinjani</t>
  </si>
  <si>
    <t>U_5733_DEMPO PERMAI</t>
  </si>
  <si>
    <t>UNIT DEMPO PERMAI</t>
  </si>
  <si>
    <t>K462679924</t>
  </si>
  <si>
    <t>Novita Apriani</t>
  </si>
  <si>
    <t>U_3395_RIMBO BUJANG</t>
  </si>
  <si>
    <t>UNIT RIMBO BUJANG</t>
  </si>
  <si>
    <t>K462689824</t>
  </si>
  <si>
    <t>Meissy Filyani</t>
  </si>
  <si>
    <t>UNIT MUARA TEBO</t>
  </si>
  <si>
    <t>K464540324</t>
  </si>
  <si>
    <t>Sela Vernasha</t>
  </si>
  <si>
    <t>U_5764_KOBA</t>
  </si>
  <si>
    <t>UNIT KOBA</t>
  </si>
  <si>
    <t>K465889924</t>
  </si>
  <si>
    <t>Septia Ramadila</t>
  </si>
  <si>
    <t>U_7412_PENINJAUAN</t>
  </si>
  <si>
    <t>UNIT PENINJAUAN</t>
  </si>
  <si>
    <t>Indah Sari Mawardah</t>
  </si>
  <si>
    <t>Azhari Romadon</t>
  </si>
  <si>
    <t>K474610024</t>
  </si>
  <si>
    <t>Tiya Srihartati Gumay</t>
  </si>
  <si>
    <t>Ice Nurmala</t>
  </si>
  <si>
    <t>K477639824</t>
  </si>
  <si>
    <t>Tifani Claudi Arum</t>
  </si>
  <si>
    <t>TERAS UJAN MAS</t>
  </si>
  <si>
    <t>K477950024</t>
  </si>
  <si>
    <t>Nur Rahmah</t>
  </si>
  <si>
    <t>U_5761_KENTEN SAKO</t>
  </si>
  <si>
    <t>UNIT KENTEN SAKO</t>
  </si>
  <si>
    <t>K477999824</t>
  </si>
  <si>
    <t>Resi Wahyuni</t>
  </si>
  <si>
    <t>K480609924</t>
  </si>
  <si>
    <t>Sherina Mutia Hamida</t>
  </si>
  <si>
    <t>U_7339_TAMBANG EMAS</t>
  </si>
  <si>
    <t>UNIT TAMBANG EMAS</t>
  </si>
  <si>
    <t>K481169924</t>
  </si>
  <si>
    <t>Nada Aprillia</t>
  </si>
  <si>
    <t>U_5722_UNIVERSITAS JAMBI</t>
  </si>
  <si>
    <t>UNIT UNIVERSITAS JAMBI</t>
  </si>
  <si>
    <t>K487429824</t>
  </si>
  <si>
    <t>Tizhania Ingrat</t>
  </si>
  <si>
    <t>U_3397_PANGKAL PINANG I</t>
  </si>
  <si>
    <t>UNIT PANGKAL PINANG I</t>
  </si>
  <si>
    <t>K489820324</t>
  </si>
  <si>
    <t>Nabilla</t>
  </si>
  <si>
    <t>K490129924</t>
  </si>
  <si>
    <t>Reka Maiza  Epralia</t>
  </si>
  <si>
    <t>U_5667_MERLUNG</t>
  </si>
  <si>
    <t>UNIT MERLUNG</t>
  </si>
  <si>
    <t>K494460024</t>
  </si>
  <si>
    <t>Saniyyah Afrileoni Mikiu</t>
  </si>
  <si>
    <t>U_5632_SP IV SIPIN</t>
  </si>
  <si>
    <t>UNIT SP IV SIPIN</t>
  </si>
  <si>
    <t>K495210024</t>
  </si>
  <si>
    <t>Chelia Dema Saputri</t>
  </si>
  <si>
    <t>U_5734_JARAI</t>
  </si>
  <si>
    <t>UNIT JARAI</t>
  </si>
  <si>
    <t>K495640024</t>
  </si>
  <si>
    <t>Yovera Ariesta</t>
  </si>
  <si>
    <t>K495650224</t>
  </si>
  <si>
    <t>Wardatuz Zakiatul Aufa</t>
  </si>
  <si>
    <t>U_5611_MARTAPURA</t>
  </si>
  <si>
    <t>TERAS MARTAPURA</t>
  </si>
  <si>
    <t>K495699824</t>
  </si>
  <si>
    <t>Anggun Soraya Dyhati</t>
  </si>
  <si>
    <t>UNIT MARTAPURA</t>
  </si>
  <si>
    <t>K495700224</t>
  </si>
  <si>
    <t>Anisha Monadiza</t>
  </si>
  <si>
    <t>K495710024</t>
  </si>
  <si>
    <t>Dwi Yuni Hartati</t>
  </si>
  <si>
    <t>U_5612_MUARADUA</t>
  </si>
  <si>
    <t>UNIT MUARADUA</t>
  </si>
  <si>
    <t>K495840124</t>
  </si>
  <si>
    <t>Dandi Putratama</t>
  </si>
  <si>
    <t>KCP MARTAPURA</t>
  </si>
  <si>
    <t>K495850124</t>
  </si>
  <si>
    <t>Tasha Aurellia</t>
  </si>
  <si>
    <t>U_5609_HARJOWINANGUN</t>
  </si>
  <si>
    <t>UNIT HARJOWINANGUN</t>
  </si>
  <si>
    <t>K495880124</t>
  </si>
  <si>
    <t>Hairani Pratiwi</t>
  </si>
  <si>
    <t>Salsabila Mifta Salama</t>
  </si>
  <si>
    <t>Peserta Magang</t>
  </si>
  <si>
    <t>K497280024</t>
  </si>
  <si>
    <t>Farhan Pratama</t>
  </si>
  <si>
    <t>U_5757_BOSTER</t>
  </si>
  <si>
    <t>UNIT BOSTER</t>
  </si>
  <si>
    <t>K497299824</t>
  </si>
  <si>
    <t>Rini Anggraini</t>
  </si>
  <si>
    <t>Ariani Fransiska Agustina Marpaung</t>
  </si>
  <si>
    <t>K497549824</t>
  </si>
  <si>
    <t>Jeri Prana Erwansyah</t>
  </si>
  <si>
    <t>K497859924</t>
  </si>
  <si>
    <t>Shinta Bella T. B</t>
  </si>
  <si>
    <t>K503229924</t>
  </si>
  <si>
    <t>Reka Alyunansyah</t>
  </si>
  <si>
    <t>U_5720_SUNGAI BAHAR</t>
  </si>
  <si>
    <t>UNIT SUNGAI BAHAR</t>
  </si>
  <si>
    <t>K504190024</t>
  </si>
  <si>
    <t>Wina Sasriati</t>
  </si>
  <si>
    <t>Chaetrin Elsa Olivia</t>
  </si>
  <si>
    <t>K505180124</t>
  </si>
  <si>
    <t>Monica Romauli Situmeang</t>
  </si>
  <si>
    <t>U_7139_SIMPANG TERITIP</t>
  </si>
  <si>
    <t>UNIT SIMPANG TERITIP</t>
  </si>
  <si>
    <t>K506360024</t>
  </si>
  <si>
    <t>Pratiwi Arianti</t>
  </si>
  <si>
    <t>U_5679_MUARA RUPIT</t>
  </si>
  <si>
    <t>UNIT MUARA RUPIT</t>
  </si>
  <si>
    <t>K506379924</t>
  </si>
  <si>
    <t>Nadya Sagita Dwi Ayu</t>
  </si>
  <si>
    <t>U_5676_B SRIKATON</t>
  </si>
  <si>
    <t>UNIT B SRIKATON</t>
  </si>
  <si>
    <t>K506780024</t>
  </si>
  <si>
    <t>Rega Aluvianti</t>
  </si>
  <si>
    <t>U_5782_BABAT TOMAN</t>
  </si>
  <si>
    <t>UNIT BABAT TOMAN</t>
  </si>
  <si>
    <t>K506790124</t>
  </si>
  <si>
    <t>Rukmana Sundari</t>
  </si>
  <si>
    <t>U_5786_SANGA DESA</t>
  </si>
  <si>
    <t>UNIT SANGA DESA</t>
  </si>
  <si>
    <t>K507930024</t>
  </si>
  <si>
    <t>Fiani Rizki Aulia</t>
  </si>
  <si>
    <t>U_3556_KOTA PRABUMULIH</t>
  </si>
  <si>
    <t>UNIT KOTA PRABUMULIH</t>
  </si>
  <si>
    <t>K508160124</t>
  </si>
  <si>
    <t>Putri Gayatri</t>
  </si>
  <si>
    <t>Elin Wulandari</t>
  </si>
  <si>
    <t>K508279824</t>
  </si>
  <si>
    <t>Firanda Catriona</t>
  </si>
  <si>
    <t>K508289924</t>
  </si>
  <si>
    <t>Sari Dwi Kartika</t>
  </si>
  <si>
    <t>KCP TANJUNG JABUNG TIMUR</t>
  </si>
  <si>
    <t>K508300224</t>
  </si>
  <si>
    <t>Raihanna Dewi Amanta</t>
  </si>
  <si>
    <t>U_7850_SUDIRMAN KUALA TUNGKAL</t>
  </si>
  <si>
    <t>UNIT SUDIRMAN KUALA TUNGKAL</t>
  </si>
  <si>
    <t>K512719924</t>
  </si>
  <si>
    <t>Amaliah Dwi Putri</t>
  </si>
  <si>
    <t>U_7196_SEMBAWA</t>
  </si>
  <si>
    <t>UNIT SEMBAWA</t>
  </si>
  <si>
    <t>K512790124</t>
  </si>
  <si>
    <t>Adinda Faranisa</t>
  </si>
  <si>
    <t>U_5637_INDRALAYA</t>
  </si>
  <si>
    <t>UNIT INDRALAYA</t>
  </si>
  <si>
    <t>K512809924</t>
  </si>
  <si>
    <t>Putri Indah Sari</t>
  </si>
  <si>
    <t>K512810124</t>
  </si>
  <si>
    <t>Muhammad Fiqram Al Farizi</t>
  </si>
  <si>
    <t>U_5788_SUKAJADI</t>
  </si>
  <si>
    <t>UNIT SUKAJADI</t>
  </si>
  <si>
    <t>Ni Luh Ajeng Julietta Putri Widana</t>
  </si>
  <si>
    <t>K512830024</t>
  </si>
  <si>
    <t>Olivia Paramitha Putriyani</t>
  </si>
  <si>
    <t>K512840224</t>
  </si>
  <si>
    <t>Alya Nathania Putri Rifa</t>
  </si>
  <si>
    <t>U_5673_KOTA AGUNG LAHAT</t>
  </si>
  <si>
    <t>UNIT KOTA AGUNG LAHAT</t>
  </si>
  <si>
    <t>K512869924</t>
  </si>
  <si>
    <t>Cantika Diva Ramadina</t>
  </si>
  <si>
    <t>K512870024</t>
  </si>
  <si>
    <t>Halimah Evia Agustini</t>
  </si>
  <si>
    <t>K512900224</t>
  </si>
  <si>
    <t>Vina Resalia</t>
  </si>
  <si>
    <t>TERAS PASAR TANJUNG ENIM</t>
  </si>
  <si>
    <t>Nadia Ananda</t>
  </si>
  <si>
    <t>PT (Pens. 36th)</t>
  </si>
  <si>
    <t>M267730324</t>
  </si>
  <si>
    <t>Elshanti Maharani Hamka</t>
  </si>
  <si>
    <t>K513310224</t>
  </si>
  <si>
    <t>Shella Gita Parissa</t>
  </si>
  <si>
    <t>U_5648_TUGU MULYO</t>
  </si>
  <si>
    <t>UNIT TUGU MULYO</t>
  </si>
  <si>
    <t>K513330024</t>
  </si>
  <si>
    <t>Silviska Wiranti</t>
  </si>
  <si>
    <t>U_5766_PANGKAL PINANG III</t>
  </si>
  <si>
    <t>UNIT PANGKAL PINANG III</t>
  </si>
  <si>
    <t>Ersya Septiani</t>
  </si>
  <si>
    <t>Karina Annisa Putri</t>
  </si>
  <si>
    <t>M268720224</t>
  </si>
  <si>
    <t>Della Julia Inggani</t>
  </si>
  <si>
    <t>U_5604_SINGKUT</t>
  </si>
  <si>
    <t>UNIT SINGKUT</t>
  </si>
  <si>
    <t>M268740224</t>
  </si>
  <si>
    <t>Saripah Amira</t>
  </si>
  <si>
    <t>K514349924</t>
  </si>
  <si>
    <t>M. Rafli Prasetya</t>
  </si>
  <si>
    <t>K514639924</t>
  </si>
  <si>
    <t>Lidya Pisattia Asih</t>
  </si>
  <si>
    <t>U_7454_PLAKAT TINGGI</t>
  </si>
  <si>
    <t>UNIT PLAKAT TINGGI</t>
  </si>
  <si>
    <t>M269260224</t>
  </si>
  <si>
    <t>Istiqomah</t>
  </si>
  <si>
    <t>U_5806_PASAR BAWAH</t>
  </si>
  <si>
    <t>UNIT PASAR BAWAH</t>
  </si>
  <si>
    <t>K515419924</t>
  </si>
  <si>
    <t>Atika Nabila</t>
  </si>
  <si>
    <t>U_7140_SIMPANG MEMBALONG</t>
  </si>
  <si>
    <t>UNIT SIMPANG MEMBALONG</t>
  </si>
  <si>
    <t>M270900224</t>
  </si>
  <si>
    <t>Fatiah Annisa</t>
  </si>
  <si>
    <t>M270920224</t>
  </si>
  <si>
    <t>Mila Aulia Winatha</t>
  </si>
  <si>
    <t>U_8061_MEMBALONG</t>
  </si>
  <si>
    <t>UNIT MEMBALONG</t>
  </si>
  <si>
    <t>K516870024</t>
  </si>
  <si>
    <t>Tirani</t>
  </si>
  <si>
    <t>Tasyah Syarmilati</t>
  </si>
  <si>
    <t>Jenny Shofiyusrira</t>
  </si>
  <si>
    <t>K517139824</t>
  </si>
  <si>
    <t>Oktavia Andita Putri</t>
  </si>
  <si>
    <t>KCP MANGGAR</t>
  </si>
  <si>
    <t>K520829825</t>
  </si>
  <si>
    <t>Yosi Amalia Puri</t>
  </si>
  <si>
    <t>U_7104_GERAGAI</t>
  </si>
  <si>
    <t>UNIT GERAGAI</t>
  </si>
  <si>
    <t>K520979925</t>
  </si>
  <si>
    <t>Mawar Septiani</t>
  </si>
  <si>
    <t>Feby Savva Kharisma</t>
  </si>
  <si>
    <t>K521060025</t>
  </si>
  <si>
    <t>Hani Juita Putri</t>
  </si>
  <si>
    <t>U_3393_PASAR LAMA</t>
  </si>
  <si>
    <t>TERAS KAVLING</t>
  </si>
  <si>
    <t>Dea Destianingsih</t>
  </si>
  <si>
    <t>Nora Rahmadhani Putri</t>
  </si>
  <si>
    <t>K521180025</t>
  </si>
  <si>
    <t>Hema Mashita</t>
  </si>
  <si>
    <t>K521350025</t>
  </si>
  <si>
    <t>Vina Oktarianti</t>
  </si>
  <si>
    <t>K521520225</t>
  </si>
  <si>
    <t>Nabila Febriyanti Putri Iswan</t>
  </si>
  <si>
    <t>Adela Rastavela</t>
  </si>
  <si>
    <t>M274530125</t>
  </si>
  <si>
    <t>Muhammad Farizal</t>
  </si>
  <si>
    <t>K521779825</t>
  </si>
  <si>
    <t>Novika Farhandina</t>
  </si>
  <si>
    <t>KCP MENTOK</t>
  </si>
  <si>
    <t>K521780125</t>
  </si>
  <si>
    <t>Stephanie Luinski</t>
  </si>
  <si>
    <t>K522170225</t>
  </si>
  <si>
    <t>Aulia Nurkolifah</t>
  </si>
  <si>
    <t>U_5642_PEMATANG PANGGANG</t>
  </si>
  <si>
    <t>UNIT PEMATANG PANGGANG</t>
  </si>
  <si>
    <t>K522180125</t>
  </si>
  <si>
    <t>Anik Rahmawaty</t>
  </si>
  <si>
    <t>U_3388_BANGKO KOTA</t>
  </si>
  <si>
    <t>UNIT BANGKO KOTA</t>
  </si>
  <si>
    <t>K522260125</t>
  </si>
  <si>
    <t>Hafizah Nur Fadilla</t>
  </si>
  <si>
    <t>U_3373_SAROLANGUN</t>
  </si>
  <si>
    <t>TERAS PASAR SAROLANGUN</t>
  </si>
  <si>
    <t>K522270125</t>
  </si>
  <si>
    <t>Munawaroh</t>
  </si>
  <si>
    <t>TERAS PASAR SINGKUT</t>
  </si>
  <si>
    <t>K522760025</t>
  </si>
  <si>
    <t>Verdianto</t>
  </si>
  <si>
    <t>U_5634_TALANG BANJAR</t>
  </si>
  <si>
    <t>UNIT TALANG BANJAR</t>
  </si>
  <si>
    <t>Rizka Ananda Bin Ladi</t>
  </si>
  <si>
    <t>K522799825</t>
  </si>
  <si>
    <t>Selly Aninca</t>
  </si>
  <si>
    <t>U_7916_SIMPANG PESAK</t>
  </si>
  <si>
    <t>UNIT SIMPANG PESAK</t>
  </si>
  <si>
    <t>K522809925</t>
  </si>
  <si>
    <t>Aditya Widianto</t>
  </si>
  <si>
    <t>U_5718_SIMPANG PRAMUKA</t>
  </si>
  <si>
    <t>UNIT SIMPANG PRAMUKA</t>
  </si>
  <si>
    <t>Thalia Hievenandi</t>
  </si>
  <si>
    <t>K522900225</t>
  </si>
  <si>
    <t>Aryulita Indah Sari</t>
  </si>
  <si>
    <t>U_8099_BERINGIN</t>
  </si>
  <si>
    <t>UNIT BERINGIN</t>
  </si>
  <si>
    <t>K523550125</t>
  </si>
  <si>
    <t>M Valian Oktariandi</t>
  </si>
  <si>
    <t>K523590125</t>
  </si>
  <si>
    <t>Muhammad Aldo Poetradinata</t>
  </si>
  <si>
    <t>U_3396_KILOMETER 5</t>
  </si>
  <si>
    <t>UNIT KILOMETER 5</t>
  </si>
  <si>
    <t>Aji Aidil Saputra</t>
  </si>
  <si>
    <t>K524219925</t>
  </si>
  <si>
    <t>Meza Bustama Sari</t>
  </si>
  <si>
    <t>K_1304_KK RS CHARITAS</t>
  </si>
  <si>
    <t>KK RS CHARITAS</t>
  </si>
  <si>
    <t>M278230025</t>
  </si>
  <si>
    <t>Oktaviani Syaputri Harefa</t>
  </si>
  <si>
    <t>U_7498_BUKIT SUBAN</t>
  </si>
  <si>
    <t>UNIT BUKIT SUBAN</t>
  </si>
  <si>
    <t>M278250125</t>
  </si>
  <si>
    <t>Miftahul Huda</t>
  </si>
  <si>
    <t>M278260025</t>
  </si>
  <si>
    <t>Ayu Milfa Sari</t>
  </si>
  <si>
    <t>Fitria Wulandari</t>
  </si>
  <si>
    <t>M278500125</t>
  </si>
  <si>
    <t>Devin Arnouly Putra</t>
  </si>
  <si>
    <t>U_8062_LIMBUR</t>
  </si>
  <si>
    <t>TERAS TANAH ABANG</t>
  </si>
  <si>
    <t>Eni Permona Jasen</t>
  </si>
  <si>
    <t>Panzurli</t>
  </si>
  <si>
    <t>K525390125</t>
  </si>
  <si>
    <t>Nesya Dinda Aricha</t>
  </si>
  <si>
    <t>KCP SUNGAI LILIN</t>
  </si>
  <si>
    <t>K525400025</t>
  </si>
  <si>
    <t>Ferina Hepsari Pasaribu</t>
  </si>
  <si>
    <t>M279600225</t>
  </si>
  <si>
    <t>Arfanira Prakisya Wibowo</t>
  </si>
  <si>
    <t>M279620225</t>
  </si>
  <si>
    <t>Jihan Farah Naila</t>
  </si>
  <si>
    <t>M279630225</t>
  </si>
  <si>
    <t>Dhea Rahma Saniyyah</t>
  </si>
  <si>
    <t>U_5726_CINTA KASIH</t>
  </si>
  <si>
    <t>UNIT CINTA KASIH</t>
  </si>
  <si>
    <t>K529510025</t>
  </si>
  <si>
    <t>Nurul Vitara</t>
  </si>
  <si>
    <t>K529520025</t>
  </si>
  <si>
    <t>Yurike Faticasari</t>
  </si>
  <si>
    <t>U_5635_THE HOK</t>
  </si>
  <si>
    <t>UNIT THE HOK</t>
  </si>
  <si>
    <t>M280180025</t>
  </si>
  <si>
    <t>Sri Ramadayani</t>
  </si>
  <si>
    <t>Neo Cantiqi Putri</t>
  </si>
  <si>
    <t>M280190225</t>
  </si>
  <si>
    <t>Kartika Malika Putri</t>
  </si>
  <si>
    <t>M280320125</t>
  </si>
  <si>
    <t>Adella Cahyani</t>
  </si>
  <si>
    <t>TERAS SUMAJA MAKMUR</t>
  </si>
  <si>
    <t>Inayah Alifah Khairiah</t>
  </si>
  <si>
    <t>M280780125</t>
  </si>
  <si>
    <t>Lisa Oktavia</t>
  </si>
  <si>
    <t>Alfina Suliswati</t>
  </si>
  <si>
    <t>K530420125</t>
  </si>
  <si>
    <t>Nia Selistia</t>
  </si>
  <si>
    <t>U_7786_SUMBER HIDUP</t>
  </si>
  <si>
    <t>UNIT SUMBER HIDUP</t>
  </si>
  <si>
    <t>M281300225</t>
  </si>
  <si>
    <t>Pratiwi Amalia</t>
  </si>
  <si>
    <t>Salsabila Al Aisyah</t>
  </si>
  <si>
    <t>M282870025</t>
  </si>
  <si>
    <t>Regina Suci Fitria</t>
  </si>
  <si>
    <t>U_5735_MUARA PINANG</t>
  </si>
  <si>
    <t>UNIT MUARA PINANG</t>
  </si>
  <si>
    <t>M283780225</t>
  </si>
  <si>
    <t>Citra Melinda Putri</t>
  </si>
  <si>
    <t>K531920225</t>
  </si>
  <si>
    <t>Nava Audiya</t>
  </si>
  <si>
    <t>U_5783_BAYUNG LENCIR</t>
  </si>
  <si>
    <t>UNIT BAYUNG LENCIR</t>
  </si>
  <si>
    <t>K531939925</t>
  </si>
  <si>
    <t>Army Juniar Hidayat</t>
  </si>
  <si>
    <t>M284030125</t>
  </si>
  <si>
    <t>Deni Triansyah</t>
  </si>
  <si>
    <t>TERAS PTM SQUARE</t>
  </si>
  <si>
    <t>Muhamad Fahjar</t>
  </si>
  <si>
    <t>M284420225</t>
  </si>
  <si>
    <t>Stephani Syahnaz Elshanda</t>
  </si>
  <si>
    <t>M284720125</t>
  </si>
  <si>
    <t>Arinda Dwi Azela</t>
  </si>
  <si>
    <t>Yola Violita</t>
  </si>
  <si>
    <t>K532750025</t>
  </si>
  <si>
    <t>Igra Soliqin</t>
  </si>
  <si>
    <t>KCP MUARA TEBO</t>
  </si>
  <si>
    <t>K533670125</t>
  </si>
  <si>
    <t>Berliana Febriyanti</t>
  </si>
  <si>
    <t>KCP DEPATI AMIR</t>
  </si>
  <si>
    <t>M286770325</t>
  </si>
  <si>
    <t>Yasmin Salsabila Muntaz</t>
  </si>
  <si>
    <t>K_1670_KK RUMAH SAKIT BAKTI TIMAH</t>
  </si>
  <si>
    <t>KK RUMAH SAKIT BAKTI TIMAH</t>
  </si>
  <si>
    <t>Maria Hesti Berliani</t>
  </si>
  <si>
    <t>Muhammad Rifki Bachtiar</t>
  </si>
  <si>
    <t>M287870225</t>
  </si>
  <si>
    <t>Febricha Larasati Putri</t>
  </si>
  <si>
    <t>U_7767_TALANG BAKUNG</t>
  </si>
  <si>
    <t>UNIT TALANG BAKUNG</t>
  </si>
  <si>
    <t>Laurensia Ayu Paramitha</t>
  </si>
  <si>
    <t>Elsa Sonya Carentina</t>
  </si>
  <si>
    <t>K534330025</t>
  </si>
  <si>
    <t>Destri Ramadhani</t>
  </si>
  <si>
    <t>K534420125</t>
  </si>
  <si>
    <t>Dinda Marsya Fahira</t>
  </si>
  <si>
    <t>UNIT SOEKARNO HATTA PANGKALPINANG</t>
  </si>
  <si>
    <t>M288380225</t>
  </si>
  <si>
    <t>Talitha Amanda Permata Wijaya</t>
  </si>
  <si>
    <t>M288390125</t>
  </si>
  <si>
    <t>Ridho Kurniatullah</t>
  </si>
  <si>
    <t>M288400225</t>
  </si>
  <si>
    <t>Ida Marshella</t>
  </si>
  <si>
    <t>M288480325</t>
  </si>
  <si>
    <t>Rusmala Juwita</t>
  </si>
  <si>
    <t>Cindy Luttiani Mandaletah</t>
  </si>
  <si>
    <t>K534730025</t>
  </si>
  <si>
    <t>Aulia Rahmani Putri</t>
  </si>
  <si>
    <t>K534750125</t>
  </si>
  <si>
    <t>Amelia Miranda</t>
  </si>
  <si>
    <t>K536130025</t>
  </si>
  <si>
    <t>Efi Deni Piyana</t>
  </si>
  <si>
    <t>K536140125</t>
  </si>
  <si>
    <t>Shelvy Fajriah Nustar</t>
  </si>
  <si>
    <t>UNIT LIMBUR</t>
  </si>
  <si>
    <t>K536940125</t>
  </si>
  <si>
    <t>Lily Henti Harlina</t>
  </si>
  <si>
    <t>U_3553_MUARA TEMBESI</t>
  </si>
  <si>
    <t>UNIT MUARA TEMBESI</t>
  </si>
  <si>
    <t>K536950125</t>
  </si>
  <si>
    <t>Zuriana</t>
  </si>
  <si>
    <t>U_5719_SUNGAI BAHAR II</t>
  </si>
  <si>
    <t>UNIT SUNGAI BAHAR II</t>
  </si>
  <si>
    <t>K536960025</t>
  </si>
  <si>
    <t>Amadea Dwi Helmina. A. Toisuta</t>
  </si>
  <si>
    <t>M289420125</t>
  </si>
  <si>
    <t>Khairani Fatihah</t>
  </si>
  <si>
    <t>KCP SUNGAI BAHAR</t>
  </si>
  <si>
    <t>M289440125</t>
  </si>
  <si>
    <t>Retno Putri Setiara</t>
  </si>
  <si>
    <t>K543800025</t>
  </si>
  <si>
    <t>Cut Mutia</t>
  </si>
  <si>
    <t>KCP BELINYU</t>
  </si>
  <si>
    <t>M290980025</t>
  </si>
  <si>
    <t>Audre Nabila Suandry</t>
  </si>
  <si>
    <t>M291520125</t>
  </si>
  <si>
    <t>Azzahrah Juniska</t>
  </si>
  <si>
    <t>Yulia Kurniati</t>
  </si>
  <si>
    <t>M291730025</t>
  </si>
  <si>
    <t>Uhuta Unggul Sabila</t>
  </si>
  <si>
    <t>K550420225</t>
  </si>
  <si>
    <t>Shendy Septian</t>
  </si>
  <si>
    <t>U_5672_BUNGAMAS</t>
  </si>
  <si>
    <t>UNIT BUNGAMAS</t>
  </si>
  <si>
    <t>M292430025</t>
  </si>
  <si>
    <t>Ridha Maharani</t>
  </si>
  <si>
    <t>U_7785_MUARA BURNAI</t>
  </si>
  <si>
    <t>UNIT MUARA BURNAI</t>
  </si>
  <si>
    <t>M292450125</t>
  </si>
  <si>
    <t>Yeni Safera</t>
  </si>
  <si>
    <t>U_5646_TANJUNG LUBUK</t>
  </si>
  <si>
    <t>UNIT TANJUNG LUBUK</t>
  </si>
  <si>
    <t>Revi Yudhistira</t>
  </si>
  <si>
    <t>M292490325</t>
  </si>
  <si>
    <t>Eva Novita Sari</t>
  </si>
  <si>
    <t>UNIT PASAR LAMA</t>
  </si>
  <si>
    <t>K545380125</t>
  </si>
  <si>
    <t>Rachma Dini</t>
  </si>
  <si>
    <t>K545399925</t>
  </si>
  <si>
    <t>Siti Fauziah</t>
  </si>
  <si>
    <t>Nandiny Pratiwi Ariandi</t>
  </si>
  <si>
    <t>M292500025</t>
  </si>
  <si>
    <t>Yuliza Afifah</t>
  </si>
  <si>
    <t>M292510425</t>
  </si>
  <si>
    <t>Amanda Putri Gianti</t>
  </si>
  <si>
    <t>Miftah Ferdiansyah</t>
  </si>
  <si>
    <t>K545720025</t>
  </si>
  <si>
    <t>Sabrina Salsabila Sandhi</t>
  </si>
  <si>
    <t>K546420025</t>
  </si>
  <si>
    <t>Edwin Juan Sinaga</t>
  </si>
  <si>
    <t>U_3552_SENGETI</t>
  </si>
  <si>
    <t>UNIT SENGETI</t>
  </si>
  <si>
    <t>M293280025</t>
  </si>
  <si>
    <t>Fauzan Fernaldo</t>
  </si>
  <si>
    <t>TERAS PASAR SARINAH RIMBO BUJANG</t>
  </si>
  <si>
    <t>Artina Mayunita</t>
  </si>
  <si>
    <t>K546440125</t>
  </si>
  <si>
    <t>Sindi Permata Sari</t>
  </si>
  <si>
    <t>K546459925</t>
  </si>
  <si>
    <t>Anggi Melva Oktavia</t>
  </si>
  <si>
    <t>U_7288_TEBING TINGGI</t>
  </si>
  <si>
    <t>UNIT TEBING TINGGI</t>
  </si>
  <si>
    <t>K547280025</t>
  </si>
  <si>
    <t>Dwi Rahayu Ningsih</t>
  </si>
  <si>
    <t>M293630025</t>
  </si>
  <si>
    <t>Rani Oktaviona</t>
  </si>
  <si>
    <t>U_7671_PENINGGALAN</t>
  </si>
  <si>
    <t>UNIT PENINGGALAN</t>
  </si>
  <si>
    <t>M293640125</t>
  </si>
  <si>
    <t>Claristha Virzha Audri</t>
  </si>
  <si>
    <t>K548530225</t>
  </si>
  <si>
    <t>Vera Mayrani</t>
  </si>
  <si>
    <t>K552870125</t>
  </si>
  <si>
    <t>Halimah Tusa'diah</t>
  </si>
  <si>
    <t>TERAS MUARA HARAPAN</t>
  </si>
  <si>
    <t>K552880125</t>
  </si>
  <si>
    <t>Christia Risma Metauli Manurung</t>
  </si>
  <si>
    <t>U_5728_MUARA ENIM</t>
  </si>
  <si>
    <t>UNIT MUARA ENIM</t>
  </si>
  <si>
    <t>K552900125</t>
  </si>
  <si>
    <t>Reno Ali Afan</t>
  </si>
  <si>
    <t>U_7606_CECAR</t>
  </si>
  <si>
    <t>UNIT CECAR</t>
  </si>
  <si>
    <t>K553370025</t>
  </si>
  <si>
    <t>Melinia Febrianti</t>
  </si>
  <si>
    <t>KCP PENDOPO</t>
  </si>
  <si>
    <t>A Syafrudin Fiqri</t>
  </si>
  <si>
    <t>M295210125</t>
  </si>
  <si>
    <t>Dhea Aryona Putri</t>
  </si>
  <si>
    <t>M. R. Abdul Latief Hm</t>
  </si>
  <si>
    <t>Delivia Agustina Permata Sari</t>
  </si>
  <si>
    <t>M297190225</t>
  </si>
  <si>
    <t>Muhammad Akbar Pilarian Allbap</t>
  </si>
  <si>
    <t>M297270325</t>
  </si>
  <si>
    <t>Oktaviani Dea Ananda Putri</t>
  </si>
  <si>
    <t>M297370325</t>
  </si>
  <si>
    <t>Nasywa Shafa Chania</t>
  </si>
  <si>
    <t>KCP KM 12</t>
  </si>
  <si>
    <t>M297380125</t>
  </si>
  <si>
    <t>Rafli Oktviansyah</t>
  </si>
  <si>
    <t>M298050125</t>
  </si>
  <si>
    <t>Viranka Aprillia Arony</t>
  </si>
  <si>
    <t>K555530125</t>
  </si>
  <si>
    <t>Zhafirah Atiqah Julean</t>
  </si>
  <si>
    <t>K555549925</t>
  </si>
  <si>
    <t>Desi Kartika Laraswati</t>
  </si>
  <si>
    <t>K555550125</t>
  </si>
  <si>
    <t>Jessycha Debora Nainggolan</t>
  </si>
  <si>
    <t>M298060225</t>
  </si>
  <si>
    <t>Fira Nurislami</t>
  </si>
  <si>
    <t>M298080025</t>
  </si>
  <si>
    <t>Muhammad  Ilham</t>
  </si>
  <si>
    <t>M300260325</t>
  </si>
  <si>
    <t>Nana Mardiana</t>
  </si>
  <si>
    <t>M301240325</t>
  </si>
  <si>
    <t>Sakila Oktarianty Putri</t>
  </si>
  <si>
    <t>K559780025</t>
  </si>
  <si>
    <t>Warikon Wasi</t>
  </si>
  <si>
    <t>U_5729_PULAU PANGGUNG</t>
  </si>
  <si>
    <t>TERAS TG. TUBANG</t>
  </si>
  <si>
    <t>Prama Iswari</t>
  </si>
  <si>
    <t>K560849925</t>
  </si>
  <si>
    <t>Ahmad Rian Fathoni</t>
  </si>
  <si>
    <t>U_5721_TEMPINO</t>
  </si>
  <si>
    <t>UNIT TEMPINO</t>
  </si>
  <si>
    <t>Roslin Lieta Adventina Siahaan</t>
  </si>
  <si>
    <t>M302850325</t>
  </si>
  <si>
    <t>Raffa Rasyqah</t>
  </si>
  <si>
    <t>M303100225</t>
  </si>
  <si>
    <t>Alika Cahaya Sukma</t>
  </si>
  <si>
    <t>M303110225</t>
  </si>
  <si>
    <t>Andini Lehadis Azzamarti</t>
  </si>
  <si>
    <t>U_5769_KOTA PRABUMULIH 2</t>
  </si>
  <si>
    <t>UNIT KOTA PRABUMULIH 2</t>
  </si>
  <si>
    <t>M303200125</t>
  </si>
  <si>
    <t>Syophielail A'yunina</t>
  </si>
  <si>
    <t>K561010225</t>
  </si>
  <si>
    <t>Renza Anggela Anggraini</t>
  </si>
  <si>
    <t>K562020125</t>
  </si>
  <si>
    <t>Winda Shafira</t>
  </si>
  <si>
    <t>M303940225</t>
  </si>
  <si>
    <t>Merdiana Ferdila</t>
  </si>
  <si>
    <t>K_1487_KK PEMATANG LUMUT</t>
  </si>
  <si>
    <t>KK PEMATANG LUMUT</t>
  </si>
  <si>
    <t>M303950325</t>
  </si>
  <si>
    <t>Muhammad Ikhsan Yudistira</t>
  </si>
  <si>
    <t>K562270025</t>
  </si>
  <si>
    <t>Alfi Nurzaky</t>
  </si>
  <si>
    <t>M316970025</t>
  </si>
  <si>
    <t>Della Dwi Rani</t>
  </si>
  <si>
    <t>K592690225</t>
  </si>
  <si>
    <t>Rosa Damayanti</t>
  </si>
  <si>
    <t>U_7052_MENDO</t>
  </si>
  <si>
    <t>UNIT MENDO</t>
  </si>
  <si>
    <t>Indah Putri</t>
  </si>
  <si>
    <t>K571210125</t>
  </si>
  <si>
    <t>Arum Ekariyanti</t>
  </si>
  <si>
    <t>U_8153_RANTAU PANDAN</t>
  </si>
  <si>
    <t>UNIT RANTAU PANDAN</t>
  </si>
  <si>
    <t>K571310125</t>
  </si>
  <si>
    <t>Fransiska Elisabeth Oktaviani</t>
  </si>
  <si>
    <t>U_5671_PURWODADI KUALA TUNGKAL</t>
  </si>
  <si>
    <t>UNIT PURWODADI KUALA TUNGKAL</t>
  </si>
  <si>
    <t>K571320125</t>
  </si>
  <si>
    <t>Sefri Aisatul Kholifah</t>
  </si>
  <si>
    <t>M317150125</t>
  </si>
  <si>
    <t>David Qomaludin</t>
  </si>
  <si>
    <t>U_7178_RIMBO ULU</t>
  </si>
  <si>
    <t>UNIT RIMBO ULU</t>
  </si>
  <si>
    <t>K571340125</t>
  </si>
  <si>
    <t>Jevita Sari</t>
  </si>
  <si>
    <t>U_7289_RANTAU BADAK</t>
  </si>
  <si>
    <t>UNIT RANTAU BADAK</t>
  </si>
  <si>
    <t>K571350225</t>
  </si>
  <si>
    <t>Selviana</t>
  </si>
  <si>
    <t>K571379925</t>
  </si>
  <si>
    <t>marzukni</t>
  </si>
  <si>
    <t>U_7462_MUARA TABIR</t>
  </si>
  <si>
    <t>UNIT MUARA TABIR</t>
  </si>
  <si>
    <t>M317170125</t>
  </si>
  <si>
    <t>Rifki Aryani</t>
  </si>
  <si>
    <t>M305190125</t>
  </si>
  <si>
    <t>Eca Riska Viola</t>
  </si>
  <si>
    <t>K593120025</t>
  </si>
  <si>
    <t>Widya Rahmawati</t>
  </si>
  <si>
    <t>U_5668_MUARA SABAK</t>
  </si>
  <si>
    <t>UNIT MUARA SABAK</t>
  </si>
  <si>
    <t>M317370225</t>
  </si>
  <si>
    <t>Danisa Alzura Olpelda</t>
  </si>
  <si>
    <t>Tessa Putri Yani Lumbantoruan</t>
  </si>
  <si>
    <t>K571830125</t>
  </si>
  <si>
    <t>Yusmi Sagita</t>
  </si>
  <si>
    <t>M317500025</t>
  </si>
  <si>
    <t>Tasya Kartika Maharani</t>
  </si>
  <si>
    <t>M305820225</t>
  </si>
  <si>
    <t>Fara Nourachma</t>
  </si>
  <si>
    <t>K593510025</t>
  </si>
  <si>
    <t>Muhammad Sholahuddin Al-ayubi</t>
  </si>
  <si>
    <t>M317550225</t>
  </si>
  <si>
    <t>Finky Feibraroos</t>
  </si>
  <si>
    <t>Mahalani Gitsa Tiarhen</t>
  </si>
  <si>
    <t>K574630325</t>
  </si>
  <si>
    <t>Rayhan Amelia Putri</t>
  </si>
  <si>
    <t>K595390225</t>
  </si>
  <si>
    <t>Khairun Nisa</t>
  </si>
  <si>
    <t>U_7607_SIMPANG NIBUNG</t>
  </si>
  <si>
    <t>UNIT SIMPANG NIBUNG</t>
  </si>
  <si>
    <t>M319290125</t>
  </si>
  <si>
    <t>Rachmadini Salsah Billah</t>
  </si>
  <si>
    <t>K575340025</t>
  </si>
  <si>
    <t>Darin Wulandari</t>
  </si>
  <si>
    <t>U_7527_TEMPILANG</t>
  </si>
  <si>
    <t>UNIT TEMPILANG</t>
  </si>
  <si>
    <t>K596590125</t>
  </si>
  <si>
    <t>Susi Lestari</t>
  </si>
  <si>
    <t>U_5790_KELAPA</t>
  </si>
  <si>
    <t>UNIT KELAPA</t>
  </si>
  <si>
    <t>K596600125</t>
  </si>
  <si>
    <t>Nadiatul Mufidah</t>
  </si>
  <si>
    <t>K596610325</t>
  </si>
  <si>
    <t>Aliyah Famela Puteri</t>
  </si>
  <si>
    <t>U_3559_BELINYU</t>
  </si>
  <si>
    <t>UNIT BELINYU</t>
  </si>
  <si>
    <t>M319300225</t>
  </si>
  <si>
    <t>Alda Nurviana</t>
  </si>
  <si>
    <t>M309960225</t>
  </si>
  <si>
    <t>Siti Chairunnisa</t>
  </si>
  <si>
    <t>M310070325</t>
  </si>
  <si>
    <t>Erike Aldira</t>
  </si>
  <si>
    <t>Sabna Vebriani</t>
  </si>
  <si>
    <t>K597370025</t>
  </si>
  <si>
    <t>K576020225</t>
  </si>
  <si>
    <t>Febryansyah</t>
  </si>
  <si>
    <t>U_5738_TANJUNG SAKTI</t>
  </si>
  <si>
    <t>UNIT TANJUNG SAKTI</t>
  </si>
  <si>
    <t>K597430225</t>
  </si>
  <si>
    <t>Putri Aulia</t>
  </si>
  <si>
    <t>M310280225</t>
  </si>
  <si>
    <t>Dea Allypia Phorizah</t>
  </si>
  <si>
    <t>K576210225</t>
  </si>
  <si>
    <t>Yessy Retno Ardianti</t>
  </si>
  <si>
    <t>K600190025</t>
  </si>
  <si>
    <t>Raudah</t>
  </si>
  <si>
    <t>Rizky Amelia</t>
  </si>
  <si>
    <t>M320890025</t>
  </si>
  <si>
    <t>Reynaldi Ramadhan</t>
  </si>
  <si>
    <t>M312650225</t>
  </si>
  <si>
    <t>Amanda Putri Mulyadi</t>
  </si>
  <si>
    <t>K600970125</t>
  </si>
  <si>
    <t>Sherly Qhotifa</t>
  </si>
  <si>
    <t>Nurjanah Apriani</t>
  </si>
  <si>
    <t>K586439925</t>
  </si>
  <si>
    <t>Regita Angraini</t>
  </si>
  <si>
    <t>K602530225</t>
  </si>
  <si>
    <t>Tiara Sri Rezki</t>
  </si>
  <si>
    <t>TERAS PASAR MUARA ENIM</t>
  </si>
  <si>
    <t>K602540025</t>
  </si>
  <si>
    <t>Agnes Monica</t>
  </si>
  <si>
    <t>UNIT PULAU PANGGUNG</t>
  </si>
  <si>
    <t>K586510125</t>
  </si>
  <si>
    <t>Gina Kintalia</t>
  </si>
  <si>
    <t>K602639925</t>
  </si>
  <si>
    <t>Zerra Novalina</t>
  </si>
  <si>
    <t>TERAS NENDAGUNG</t>
  </si>
  <si>
    <t>K602640125</t>
  </si>
  <si>
    <t>M. Aldo Fajrian Sabli</t>
  </si>
  <si>
    <t>U_8162_SARI MULYA</t>
  </si>
  <si>
    <t>UNIT SARI MULYA</t>
  </si>
  <si>
    <t>K602650125</t>
  </si>
  <si>
    <t>Aulani Nurul Faizah</t>
  </si>
  <si>
    <t>Sylvi Diana Eka Putri</t>
  </si>
  <si>
    <t>M322700225</t>
  </si>
  <si>
    <t>Risma Wulansari</t>
  </si>
  <si>
    <t>M315880125</t>
  </si>
  <si>
    <t>Rizki Arya Nugraha</t>
  </si>
  <si>
    <t>M323080325</t>
  </si>
  <si>
    <t>Aditya Teguh Mahendra</t>
  </si>
  <si>
    <t>M323090225</t>
  </si>
  <si>
    <t>Sheli Puspita</t>
  </si>
  <si>
    <t>K603650025</t>
  </si>
  <si>
    <t>Eriko Kurniawan</t>
  </si>
  <si>
    <t>KCP TEBING TINGGI</t>
  </si>
  <si>
    <t>M323200125</t>
  </si>
  <si>
    <t>Putri Musdalifah</t>
  </si>
  <si>
    <t>U_8144_PENGABUAN</t>
  </si>
  <si>
    <t>UNIT PENGABUAN</t>
  </si>
  <si>
    <t>M323210125</t>
  </si>
  <si>
    <t>Yusril Ferdinan</t>
  </si>
  <si>
    <t>K604530125</t>
  </si>
  <si>
    <t>Dina Ayu Nabela</t>
  </si>
  <si>
    <t>K604960025</t>
  </si>
  <si>
    <t>Ayu Lestari</t>
  </si>
  <si>
    <t>U_8060_MARIANA</t>
  </si>
  <si>
    <t>UNIT MARIANA</t>
  </si>
  <si>
    <t>K604970125</t>
  </si>
  <si>
    <t>Sa'diyah Sofiana</t>
  </si>
  <si>
    <t>M325170325</t>
  </si>
  <si>
    <t>Abdul Rafliansyah</t>
  </si>
  <si>
    <t>Kenny Jonathan Effendi</t>
  </si>
  <si>
    <t>M325200325</t>
  </si>
  <si>
    <t>Agnes Anugrah</t>
  </si>
  <si>
    <t>M325780225</t>
  </si>
  <si>
    <t>Msy Anisa Ripanda</t>
  </si>
  <si>
    <t>M325790425</t>
  </si>
  <si>
    <t>Zahira Shafa Nadia</t>
  </si>
  <si>
    <t>M325910325</t>
  </si>
  <si>
    <t>Wanda Juniarti</t>
  </si>
  <si>
    <t>K607740025</t>
  </si>
  <si>
    <t>Kiki Safitri</t>
  </si>
  <si>
    <t>K607759925</t>
  </si>
  <si>
    <t>Irma Sapitri</t>
  </si>
  <si>
    <t>UNIT SAROLANGUN</t>
  </si>
  <si>
    <t>M326030225</t>
  </si>
  <si>
    <t>A'isyah Afra Zhahirah</t>
  </si>
  <si>
    <t>M326040225</t>
  </si>
  <si>
    <t>Bella Agustriana</t>
  </si>
  <si>
    <t>M326260225</t>
  </si>
  <si>
    <t>Wiko Ardianto</t>
  </si>
  <si>
    <t>U_3696_TOBOALI</t>
  </si>
  <si>
    <t>UNIT TOBOALI</t>
  </si>
  <si>
    <t>M326270325</t>
  </si>
  <si>
    <t>Kevin Georgy Kilen</t>
  </si>
  <si>
    <t>TERAS LUBUK BESAR</t>
  </si>
  <si>
    <t>M326280225</t>
  </si>
  <si>
    <t>Djandika Bagaskara</t>
  </si>
  <si>
    <t>Vira Febiola</t>
  </si>
  <si>
    <t>K608350025</t>
  </si>
  <si>
    <t>Lora Aprilia</t>
  </si>
  <si>
    <t>Muhammad Nur Kalam</t>
  </si>
  <si>
    <t>Bana Prilia Muharomah</t>
  </si>
  <si>
    <t>K612030225</t>
  </si>
  <si>
    <t>Alya Salsa Putri</t>
  </si>
  <si>
    <t>U_5785_PANGKALAN BALAI</t>
  </si>
  <si>
    <t>UNIT PANGKALAN BALAI</t>
  </si>
  <si>
    <t>M327890225</t>
  </si>
  <si>
    <t>Azzarah Kanaya Putri</t>
  </si>
  <si>
    <t>M329050325</t>
  </si>
  <si>
    <t>Resvy Ladita Sari</t>
  </si>
  <si>
    <t>M329060325</t>
  </si>
  <si>
    <t>Wulandari</t>
  </si>
  <si>
    <t>U_7141_AIR ITAM</t>
  </si>
  <si>
    <t>UNIT AIR ITAM</t>
  </si>
  <si>
    <t>Annisa Zahwa</t>
  </si>
  <si>
    <t>K613220125</t>
  </si>
  <si>
    <t>Putri Zeta Nofarrani</t>
  </si>
  <si>
    <t>K613239925</t>
  </si>
  <si>
    <t>Riza Agustina</t>
  </si>
  <si>
    <t>M329220125</t>
  </si>
  <si>
    <t>Dyah Ayu Banowati</t>
  </si>
  <si>
    <t>K614930125</t>
  </si>
  <si>
    <t>M. Ramadhan</t>
  </si>
  <si>
    <t>U_5717_PASAR RENGAS JAMBI</t>
  </si>
  <si>
    <t>UNIT PASAR RENGAS JAMBI</t>
  </si>
  <si>
    <t>K614940125</t>
  </si>
  <si>
    <t>Syahrani Novia Siregar</t>
  </si>
  <si>
    <t>U_7049_SUNGAI BAHAR III</t>
  </si>
  <si>
    <t>UNIT SUNGAI BAHAR III</t>
  </si>
  <si>
    <t>K614950125</t>
  </si>
  <si>
    <t>Maria Risnawati</t>
  </si>
  <si>
    <t>M330230325</t>
  </si>
  <si>
    <t>Frety Zinta</t>
  </si>
  <si>
    <t>Nabila Athaya Faiz</t>
  </si>
  <si>
    <t>M330290325</t>
  </si>
  <si>
    <t>Pipit Natalia</t>
  </si>
  <si>
    <t>K617590325</t>
  </si>
  <si>
    <t>Melani</t>
  </si>
  <si>
    <t>K617610125</t>
  </si>
  <si>
    <t>Eka Mutiara</t>
  </si>
  <si>
    <t>U_7044_BABAT</t>
  </si>
  <si>
    <t>UNIT BABAT</t>
  </si>
  <si>
    <t>K617620325</t>
  </si>
  <si>
    <t>Rakes</t>
  </si>
  <si>
    <t>Regina Patrisia</t>
  </si>
  <si>
    <t>K617650125</t>
  </si>
  <si>
    <t>Ilham Panutan</t>
  </si>
  <si>
    <t>U_5605_BATUMARTA</t>
  </si>
  <si>
    <t>UNIT BATUMARTA</t>
  </si>
  <si>
    <t>K617710125</t>
  </si>
  <si>
    <t>Gina Sonia</t>
  </si>
  <si>
    <t>U_5614_PURWODADI</t>
  </si>
  <si>
    <t>UNIT PURWODADI</t>
  </si>
  <si>
    <t>K620910225</t>
  </si>
  <si>
    <t>Andinie Destria</t>
  </si>
  <si>
    <t>K620930125</t>
  </si>
  <si>
    <t>Afdhil Yopandi</t>
  </si>
  <si>
    <t>K620949925</t>
  </si>
  <si>
    <t>Akbar Gumelar</t>
  </si>
  <si>
    <t>U_5674_MERAPI</t>
  </si>
  <si>
    <t>UNIT MERAPI</t>
  </si>
  <si>
    <t>K620960325</t>
  </si>
  <si>
    <t>Masagus Ahmad Irfan</t>
  </si>
  <si>
    <t>K620980325</t>
  </si>
  <si>
    <t>Kemala Hayati</t>
  </si>
  <si>
    <t>K620990125</t>
  </si>
  <si>
    <t>Mutiara Putri</t>
  </si>
  <si>
    <t>K621000225</t>
  </si>
  <si>
    <t>Itra Juasari</t>
  </si>
  <si>
    <t>K621029825</t>
  </si>
  <si>
    <t>Amelia Widiyanti</t>
  </si>
  <si>
    <t>K621030025</t>
  </si>
  <si>
    <t>Dinaresa Jesica</t>
  </si>
  <si>
    <t>K621180125</t>
  </si>
  <si>
    <t>Khairul Hidayat</t>
  </si>
  <si>
    <t>K621209925</t>
  </si>
  <si>
    <t>Tiara Ramadhanti</t>
  </si>
  <si>
    <t>UNIT ANGSO DUO</t>
  </si>
  <si>
    <t>K621220225</t>
  </si>
  <si>
    <t>Maudila Putri Maharani</t>
  </si>
  <si>
    <t>U_5629_AUR_DURI</t>
  </si>
  <si>
    <t>UNIT AUR DURI</t>
  </si>
  <si>
    <t>K621230125</t>
  </si>
  <si>
    <t>Yunianti</t>
  </si>
  <si>
    <t>K621290025</t>
  </si>
  <si>
    <t>Widya Gemilang</t>
  </si>
  <si>
    <t>U_5749_JAKABARING</t>
  </si>
  <si>
    <t>UNIT JAKABARING</t>
  </si>
  <si>
    <t>K621310125</t>
  </si>
  <si>
    <t>Aurelia Angela Siregar</t>
  </si>
  <si>
    <t>KCP JELUTUNG</t>
  </si>
  <si>
    <t>K621320025</t>
  </si>
  <si>
    <t>Anggi Permata Sari</t>
  </si>
  <si>
    <t>Zella Andhira</t>
  </si>
  <si>
    <t>M333290225</t>
  </si>
  <si>
    <t>Evi Nur Saputri</t>
  </si>
  <si>
    <t>M333320225</t>
  </si>
  <si>
    <t>Septya Dwihanny Aulia</t>
  </si>
  <si>
    <t>K621530025</t>
  </si>
  <si>
    <t>Rahmad Kresna Pratama</t>
  </si>
  <si>
    <t>U_7101_MANDI ANGIN</t>
  </si>
  <si>
    <t>UNIT MANDI ANGIN</t>
  </si>
  <si>
    <t>M333330025</t>
  </si>
  <si>
    <t>Restiyuan Cikomandalia</t>
  </si>
  <si>
    <t>Krolita Serlika</t>
  </si>
  <si>
    <t>Kayla Febriani</t>
  </si>
  <si>
    <t>M333360125</t>
  </si>
  <si>
    <t>Jihan Salsabila</t>
  </si>
  <si>
    <t>M333370325</t>
  </si>
  <si>
    <t>Sabina Salsabila</t>
  </si>
  <si>
    <t>M333980325</t>
  </si>
  <si>
    <t>Ranti Asmanita</t>
  </si>
  <si>
    <t>K622950025</t>
  </si>
  <si>
    <t>INDAH PUSPA GUMILANG</t>
  </si>
  <si>
    <t>U_7046_MUARA KELINGI</t>
  </si>
  <si>
    <t>UNIT MUARA KELINGI</t>
  </si>
  <si>
    <t>K623470225</t>
  </si>
  <si>
    <t>Ana Tasya Putri Mariska</t>
  </si>
  <si>
    <t>M334560125</t>
  </si>
  <si>
    <t>M. Rafly Tri Harnanda</t>
  </si>
  <si>
    <t>TERAS SIMPANG NIAM</t>
  </si>
  <si>
    <t>M334570225</t>
  </si>
  <si>
    <t>Viva Westi</t>
  </si>
  <si>
    <t>Fadhilatul Fajariyah</t>
  </si>
  <si>
    <t>M335310125</t>
  </si>
  <si>
    <t>Esti Dia Pramisti</t>
  </si>
  <si>
    <t>M335320125</t>
  </si>
  <si>
    <t>Setya Fahira</t>
  </si>
  <si>
    <t>M335330125</t>
  </si>
  <si>
    <t>Dwiki Dewantara</t>
  </si>
  <si>
    <t>K628150125</t>
  </si>
  <si>
    <t>Asyirah Alda Dwitami</t>
  </si>
  <si>
    <t>U_7102_RANTAU PANJANG</t>
  </si>
  <si>
    <t>UNIT RANTAU PANJANG</t>
  </si>
  <si>
    <t>M335940225</t>
  </si>
  <si>
    <t>Desy Eljhellina Sianturi</t>
  </si>
  <si>
    <t>M335950125</t>
  </si>
  <si>
    <t>Selvi Meysela</t>
  </si>
  <si>
    <t>M335960025</t>
  </si>
  <si>
    <t>Ra Silvi Oktaviani</t>
  </si>
  <si>
    <t>M335990725</t>
  </si>
  <si>
    <t>Amelya Kheisha Kirana</t>
  </si>
  <si>
    <t>U_3557_PENDOPO PRABUMULIH</t>
  </si>
  <si>
    <t>UNIT PENDOPO PRABUMULIH</t>
  </si>
  <si>
    <t>M336000525</t>
  </si>
  <si>
    <t>Oloan Suryadjaya S</t>
  </si>
  <si>
    <t>TERAS PASAR PASIR PUTIH</t>
  </si>
  <si>
    <t>Mayang Tri Pertiwi</t>
  </si>
  <si>
    <t>M336130225</t>
  </si>
  <si>
    <t>Ria Ardiyanti</t>
  </si>
  <si>
    <t>U_7739_PELITA</t>
  </si>
  <si>
    <t>UNIT PELITA</t>
  </si>
  <si>
    <t>M336520225</t>
  </si>
  <si>
    <t>Juniar Fitria</t>
  </si>
  <si>
    <t>K625729825</t>
  </si>
  <si>
    <t>Devis Lucky Pratama</t>
  </si>
  <si>
    <t>K_1679_KK POLTABES JAMBI</t>
  </si>
  <si>
    <t>KK POLTABES JAMBI</t>
  </si>
  <si>
    <t>M336840125</t>
  </si>
  <si>
    <t>Dini Wulandari</t>
  </si>
  <si>
    <t>M336850225</t>
  </si>
  <si>
    <t>Yona Toluna</t>
  </si>
  <si>
    <t>Dita Zahrah Asna</t>
  </si>
  <si>
    <t>K626110025</t>
  </si>
  <si>
    <t>Muhammad Rivaldo</t>
  </si>
  <si>
    <t>U_7105_PETALING</t>
  </si>
  <si>
    <t>UNIT PETALING</t>
  </si>
  <si>
    <t>K626120125</t>
  </si>
  <si>
    <t>Widia Hastuti</t>
  </si>
  <si>
    <t>U_7103_KASANG JAYA</t>
  </si>
  <si>
    <t>UNIT KASANG JAYA</t>
  </si>
  <si>
    <t>M338210025</t>
  </si>
  <si>
    <t>Intan Wanda Permata</t>
  </si>
  <si>
    <t>Salisa Mahirah</t>
  </si>
  <si>
    <t>K627180225</t>
  </si>
  <si>
    <t>Aji Anugrah</t>
  </si>
  <si>
    <t>M338620225</t>
  </si>
  <si>
    <t>Christin Claudia Tambunan</t>
  </si>
  <si>
    <t>K627200225</t>
  </si>
  <si>
    <t>Della Adawiyah</t>
  </si>
  <si>
    <t>K627210125</t>
  </si>
  <si>
    <t>Elda Falina</t>
  </si>
  <si>
    <t>Brenda Tiffhanie</t>
  </si>
  <si>
    <t>K627230025</t>
  </si>
  <si>
    <t>Febriyanti</t>
  </si>
  <si>
    <t>K627410125</t>
  </si>
  <si>
    <t>Tyara Hartono</t>
  </si>
  <si>
    <t>K627430225</t>
  </si>
  <si>
    <t>Selvi Oktavioni</t>
  </si>
  <si>
    <t>U_7041_SINAR PENIJAUAN</t>
  </si>
  <si>
    <t>UNIT SINAR PENIJAUAN</t>
  </si>
  <si>
    <t>Tri Astuti</t>
  </si>
  <si>
    <t>Melssy Fransisca</t>
  </si>
  <si>
    <t>-</t>
  </si>
  <si>
    <t>Nafa Nadiyah Ramdah</t>
  </si>
  <si>
    <t>Desti Andelia</t>
  </si>
  <si>
    <t>Dewari Nandita Virginia</t>
  </si>
  <si>
    <t>Arasni Wayan Srewahyuni</t>
  </si>
  <si>
    <t>U_5681_PASAR SATELIT</t>
  </si>
  <si>
    <t>UNIT PASAR SATELIT</t>
  </si>
  <si>
    <t>Febbi Dwirista</t>
  </si>
  <si>
    <t>U_5678_MEGANG SAKTI</t>
  </si>
  <si>
    <t>UNIT MEGANG SAKTI</t>
  </si>
  <si>
    <t>DWI YULIANTI IRHAM</t>
  </si>
  <si>
    <t>TERAS TALANG JAMBE</t>
  </si>
  <si>
    <t>Annisa Thahara</t>
  </si>
  <si>
    <t>Siti Aprini Rahayu</t>
  </si>
  <si>
    <t>Tissa Maryam Fathona</t>
  </si>
  <si>
    <t>Naufal Farhan</t>
  </si>
  <si>
    <t>Clara Oktariani</t>
  </si>
  <si>
    <t>Muhamad Zidane</t>
  </si>
  <si>
    <t>Zuyina Lina Sefiana</t>
  </si>
  <si>
    <t>U_8058_MUARA LAKITAN</t>
  </si>
  <si>
    <t>UNIT MUARA LAKITAN</t>
  </si>
  <si>
    <t>Moh Dewa Hary S</t>
  </si>
  <si>
    <t>M. Jian Subhi</t>
  </si>
  <si>
    <t>Agnetha Bernadetha Hasibuan</t>
  </si>
  <si>
    <t>Yuda Deantara</t>
  </si>
  <si>
    <t>Agel Andrean</t>
  </si>
  <si>
    <t>Ferdy Aditiya</t>
  </si>
  <si>
    <t>Dinda Melinda</t>
  </si>
  <si>
    <t>Siti Aisah</t>
  </si>
  <si>
    <t>Dicky Saputra Sinaga</t>
  </si>
  <si>
    <t>Zahra Fayza Dinar</t>
  </si>
  <si>
    <t>Cindy Nov Melenia</t>
  </si>
  <si>
    <t>KCP GUMAWANG</t>
  </si>
  <si>
    <t>Vanessa</t>
  </si>
  <si>
    <t>Julyana</t>
  </si>
  <si>
    <t>Putri Ayu Andini</t>
  </si>
  <si>
    <t>U_5607_NUSA BAKTI</t>
  </si>
  <si>
    <t>UNIT NUSA BAKTI</t>
  </si>
  <si>
    <t>Intan Debby Melani</t>
  </si>
  <si>
    <t>Diva Alifia Raudha</t>
  </si>
  <si>
    <t>Derimariani</t>
  </si>
  <si>
    <t>Mika Hartati</t>
  </si>
  <si>
    <t>Octa Rizki Putri</t>
  </si>
  <si>
    <t>M Ridho</t>
  </si>
  <si>
    <t>Nyera Andarista</t>
  </si>
  <si>
    <t>Herina Putri Ananda</t>
  </si>
  <si>
    <t>Alfina Hanifah</t>
  </si>
  <si>
    <t>Shannia Chandra Kirana</t>
  </si>
  <si>
    <t>Sherly Widya Kisti</t>
  </si>
  <si>
    <t>Astri Hidayanti</t>
  </si>
  <si>
    <t>Sodikin</t>
  </si>
  <si>
    <t>Surya Adi Pratama</t>
  </si>
  <si>
    <t>Frieska Tri Wulandari</t>
  </si>
  <si>
    <t>Alya Rahmadania</t>
  </si>
  <si>
    <t>Akhmad Rifqie</t>
  </si>
  <si>
    <t>Clarissa Adisthy</t>
  </si>
  <si>
    <t>Kania Resta</t>
  </si>
  <si>
    <t>Nabella Rizky Stevania</t>
  </si>
  <si>
    <t>Mayzca Tanezia Putri</t>
  </si>
  <si>
    <t>Clarissa Sabilla</t>
  </si>
  <si>
    <t>Thazya Charroria</t>
  </si>
  <si>
    <t>Dhania Adela Putri</t>
  </si>
  <si>
    <t>U_7106_BATIN</t>
  </si>
  <si>
    <t>UNIT BATIN</t>
  </si>
  <si>
    <t>Azka Suci Alivia</t>
  </si>
  <si>
    <t>Widya Ika Rahmawati</t>
  </si>
  <si>
    <t>Rafli Bagas Aditya</t>
  </si>
  <si>
    <t>Alfiyah Zuhra</t>
  </si>
  <si>
    <t>Riski Ramadhan</t>
  </si>
  <si>
    <t>Rianti Agustina</t>
  </si>
  <si>
    <t>Angri Fameliani</t>
  </si>
  <si>
    <t>Dea Wahyu Ningsih</t>
  </si>
  <si>
    <t>U_8151_KM EMPAT- EMPAT</t>
  </si>
  <si>
    <t>UNIT KM EMPAT- EMPAT</t>
  </si>
  <si>
    <t>Aulia Novita Dewi</t>
  </si>
  <si>
    <t>U_7047_GAPURA SUCI</t>
  </si>
  <si>
    <t>UNIT GAPURA SUCI</t>
  </si>
  <si>
    <t>Nikita Heriati Putri</t>
  </si>
  <si>
    <t>Fathia Diaztiza</t>
  </si>
  <si>
    <t>M. Ridho Fauzan</t>
  </si>
  <si>
    <t>Dinda Khairunnisa</t>
  </si>
  <si>
    <t>Tamedya Ardana</t>
  </si>
  <si>
    <t>Muhammad Bagus</t>
  </si>
  <si>
    <t>TERAS GANG KIMTING</t>
  </si>
  <si>
    <t>Sheli Novriyanti</t>
  </si>
  <si>
    <t>Ananda Elsa Ifani</t>
  </si>
  <si>
    <t>TERAS PASAR BARU</t>
  </si>
  <si>
    <t>Muhammad Fachran Reza</t>
  </si>
  <si>
    <t>TERAS UNIT 6</t>
  </si>
  <si>
    <t>Emirrajelfath Ars</t>
  </si>
  <si>
    <t>Novrino Fika Wardana</t>
  </si>
  <si>
    <t>Fahroza Suci Pratiwi</t>
  </si>
  <si>
    <t>U_7608_KEBUN HANDIL</t>
  </si>
  <si>
    <t>UNIT KEBUN HANDIL</t>
  </si>
  <si>
    <t>Desna Habila</t>
  </si>
  <si>
    <t>Bambang Harianto</t>
  </si>
  <si>
    <t>Sandra Naya Thabita</t>
  </si>
  <si>
    <t>Futicha Dei Kinasih</t>
  </si>
  <si>
    <t>Razela Regina Putri</t>
  </si>
  <si>
    <t>KCP KOBA</t>
  </si>
  <si>
    <t>Belinda Zayanti</t>
  </si>
  <si>
    <t>Elsa Miranda R</t>
  </si>
  <si>
    <t>Muhammad Fachri</t>
  </si>
  <si>
    <t>Muhammad Satria Mubin</t>
  </si>
  <si>
    <t>Sekar Lingga Dayan Tarany</t>
  </si>
  <si>
    <t>Lica Hanifah</t>
  </si>
  <si>
    <t>Ferli Serliani</t>
  </si>
  <si>
    <t>Sofiah Rahma Diya</t>
  </si>
  <si>
    <t>Annisa Risna Azzahra</t>
  </si>
  <si>
    <t>Mutiara Hamsah</t>
  </si>
  <si>
    <t>Taufik Hidayah</t>
  </si>
  <si>
    <t>Indah Ayu Amelia Suci Gulo</t>
  </si>
  <si>
    <t>Moch. Evan Andreswara</t>
  </si>
  <si>
    <t>Heldy Basa Angelita Br Hutasoit</t>
  </si>
  <si>
    <t>Nuskiya Faradisa</t>
  </si>
  <si>
    <t>KCP BATANGHARI</t>
  </si>
  <si>
    <t>Putri Nur Indah Susanti Nababan</t>
  </si>
  <si>
    <t>Supriana</t>
  </si>
  <si>
    <t>Muhammad Fathurrahman</t>
  </si>
  <si>
    <t>U_8056_BUMI MAKMUR</t>
  </si>
  <si>
    <t>UNIT BUMI MAKMUR</t>
  </si>
  <si>
    <t>M Alfarezo</t>
  </si>
  <si>
    <t>Nicho Fernando</t>
  </si>
  <si>
    <t>Rahma Deni Putri Haimda</t>
  </si>
  <si>
    <t>Sabrina Audre Yasmin</t>
  </si>
  <si>
    <t>Tiara Amanda</t>
  </si>
  <si>
    <t>Martin Huda Firdiansyah</t>
  </si>
  <si>
    <t>Dewi Sekar Wangi</t>
  </si>
  <si>
    <t>Ahmad Gandi</t>
  </si>
  <si>
    <t>Ketrin Purnama Sari</t>
  </si>
  <si>
    <t>Ucci Eka Sandra</t>
  </si>
  <si>
    <t>Shela Septia Ningsih</t>
  </si>
  <si>
    <t>U_7080_SERDANG JAYA</t>
  </si>
  <si>
    <t>UNIT SERDANG JAYA</t>
  </si>
  <si>
    <t>Randa Aslam Putra</t>
  </si>
  <si>
    <t>Azhar Sidik</t>
  </si>
  <si>
    <t>Risca Rahmadana</t>
  </si>
  <si>
    <t>Putri Anggraini</t>
  </si>
  <si>
    <t>Almabilla Firra Katria</t>
  </si>
  <si>
    <t>Livia Feniola</t>
  </si>
  <si>
    <t>Masayu Tasya</t>
  </si>
  <si>
    <t>Faturrachman</t>
  </si>
  <si>
    <t>K_1887_KK PUSRI</t>
  </si>
  <si>
    <t>KK PUSRI</t>
  </si>
  <si>
    <t>Efran Merdianto</t>
  </si>
  <si>
    <t>Annisa Rezkiyanni</t>
  </si>
  <si>
    <t>Cahya Andika</t>
  </si>
  <si>
    <t>Tasya Manna Salsabila</t>
  </si>
  <si>
    <t>Prima Widya Astuti</t>
  </si>
  <si>
    <t>Fahrul Rozi</t>
  </si>
  <si>
    <t>Dwi Syalwah Safitri</t>
  </si>
  <si>
    <t>Siti Sarah Doviant</t>
  </si>
  <si>
    <t>Isaura Laprilia</t>
  </si>
  <si>
    <t>M Rio Saragih</t>
  </si>
  <si>
    <t>Risa Rahmadani</t>
  </si>
  <si>
    <t>Suci Cresiva</t>
  </si>
  <si>
    <t>Sapna Hafiza Ariesty</t>
  </si>
  <si>
    <t>Chintia Renata Putri</t>
  </si>
  <si>
    <t>Muhammad Azmir</t>
  </si>
  <si>
    <t>Melya Mardiana</t>
  </si>
  <si>
    <t>K_1676_KK TASPEN PANGKAL PINANG</t>
  </si>
  <si>
    <t>KK TASPEN PANGKAL PINANG</t>
  </si>
  <si>
    <t>Nurul Apriananda</t>
  </si>
  <si>
    <t>U_5669_NIPAH PANJANG</t>
  </si>
  <si>
    <t>UNIT NIPAH PANJANG</t>
  </si>
  <si>
    <t>Rizka Amalia</t>
  </si>
  <si>
    <t>Aini Cahya Adela</t>
  </si>
  <si>
    <t>Annisa Vini Azwar</t>
  </si>
  <si>
    <t>Aya Sopia</t>
  </si>
  <si>
    <t>Iftina Athifah</t>
  </si>
  <si>
    <t>Frieska Amanda Yovita</t>
  </si>
  <si>
    <t>U_7663_MARGOYOSO</t>
  </si>
  <si>
    <t>UNIT MARGOYOSO</t>
  </si>
  <si>
    <t>Dia Fadila Handini</t>
  </si>
  <si>
    <t>Rara Mutia</t>
  </si>
  <si>
    <t>Alda Fariska Dewi</t>
  </si>
  <si>
    <t>Muhammad Tegar Rahmatullah</t>
  </si>
  <si>
    <t>Tiara Poetri Syaharani</t>
  </si>
  <si>
    <t>Aldi Fernando</t>
  </si>
  <si>
    <t>Padelito</t>
  </si>
  <si>
    <t>Meutia Achyasari</t>
  </si>
  <si>
    <t>Ririn Widya Ningsih</t>
  </si>
  <si>
    <t>Radha Salsabilla Elyndra</t>
  </si>
  <si>
    <t>U_8149_PINANG MERAH</t>
  </si>
  <si>
    <t>UNIT PINANG MERAH</t>
  </si>
  <si>
    <t>Prima Putri Rahayu</t>
  </si>
  <si>
    <t>Syahir Rifki</t>
  </si>
  <si>
    <t>Pancha Sonya Racha Prasadewi</t>
  </si>
  <si>
    <t>Grevita Hefiananda Velani</t>
  </si>
  <si>
    <t>Tiana Muhfariza</t>
  </si>
  <si>
    <t>Radiansya</t>
  </si>
  <si>
    <t>Shintia Apriani</t>
  </si>
  <si>
    <t>Adi Tiansa</t>
  </si>
  <si>
    <t>U_7432_CATUR TUNGGAL</t>
  </si>
  <si>
    <t>UNIT CATUR TUNGGAL</t>
  </si>
  <si>
    <t>Aurelia Eviolina Putri</t>
  </si>
  <si>
    <t>U_7219_KAYU ARE</t>
  </si>
  <si>
    <t>UNIT KAYU ARE</t>
  </si>
  <si>
    <t>Muhammad Nauval Aldenry</t>
  </si>
  <si>
    <t>Tiara Syifa Salsabila</t>
  </si>
  <si>
    <t>Ines Rattri Puji Lestari</t>
  </si>
  <si>
    <t>Nadia Frasiska</t>
  </si>
  <si>
    <t>TERAS SIDORAHAYU</t>
  </si>
  <si>
    <t>Repi Yanutri</t>
  </si>
  <si>
    <t>Vito Janu Anggara</t>
  </si>
  <si>
    <t>U_8057_MARGA BARU</t>
  </si>
  <si>
    <t>UNIT MARGA BARU</t>
  </si>
  <si>
    <t>Yesica Angelina Lubis</t>
  </si>
  <si>
    <t>Abyan Nauvall</t>
  </si>
  <si>
    <t>Vira Eka Putri</t>
  </si>
  <si>
    <t>Aryana Faziroh</t>
  </si>
  <si>
    <t>Deianeira Danah Zhafirah</t>
  </si>
  <si>
    <t>Reo Pratama</t>
  </si>
  <si>
    <t>Indah Hermawati</t>
  </si>
  <si>
    <t>Nur Diana Putri</t>
  </si>
  <si>
    <t>U_7738_SIDOMUKTI</t>
  </si>
  <si>
    <t>UNIT SIDOMUKTI</t>
  </si>
  <si>
    <t>Des Winanda Rosalia</t>
  </si>
  <si>
    <t>Muhammad Baihaqy</t>
  </si>
  <si>
    <t>Nur Anggraini</t>
  </si>
  <si>
    <t>Irpan</t>
  </si>
  <si>
    <t>Govin</t>
  </si>
  <si>
    <t>U_5756_SIMPANG LIMA PRUNDAM</t>
  </si>
  <si>
    <t>UNIT SIMPANG LIMA PRUNDAM</t>
  </si>
  <si>
    <t>Muhamad Maulana Ibrahim</t>
  </si>
  <si>
    <t>Muhammad Adib Azaiby</t>
  </si>
  <si>
    <t>Devi Novita</t>
  </si>
  <si>
    <t>Refy Puspitasari</t>
  </si>
  <si>
    <t>Salsabilla Adinda</t>
  </si>
  <si>
    <t>U_7915_PEMAYUNG</t>
  </si>
  <si>
    <t>UNIT PEMAYUNG</t>
  </si>
  <si>
    <t>Mei Panca Penta Silalahi</t>
  </si>
  <si>
    <t>Taufik Hidayat</t>
  </si>
  <si>
    <t>Dita Asri Herdianti</t>
  </si>
  <si>
    <t>Dzul Fadilla Amalisa</t>
  </si>
  <si>
    <t>Maharani</t>
  </si>
  <si>
    <t>Dwi Wulansari</t>
  </si>
  <si>
    <t>Tamara Tri Blenzisky</t>
  </si>
  <si>
    <t>Virdha Zahrani</t>
  </si>
  <si>
    <t>Marcsarah Brenda Manihuruk</t>
  </si>
  <si>
    <t>Delfia Wulandari</t>
  </si>
  <si>
    <t>Muhammad Yuda Syaputra</t>
  </si>
  <si>
    <t>U_7338_MAYANG</t>
  </si>
  <si>
    <t>UNIT MAYANG</t>
  </si>
  <si>
    <t>Alvin Alfarino</t>
  </si>
  <si>
    <t>Naurah Demi Putridinanti</t>
  </si>
  <si>
    <t>Ditasya Salsabila</t>
  </si>
  <si>
    <t>Muhamad Tsamirul Qolbi</t>
  </si>
  <si>
    <t>Farhan Fasha Syuhada</t>
  </si>
  <si>
    <t>Salsabillah</t>
  </si>
  <si>
    <t>Ayu Tsyaniah</t>
  </si>
  <si>
    <t>Muhamad Yuda Prasetyo</t>
  </si>
  <si>
    <t>Anya Fidela Arista</t>
  </si>
  <si>
    <t>Anggun Dwi Prameswari</t>
  </si>
  <si>
    <t>M Rendy Putra Pratama</t>
  </si>
  <si>
    <t>Putri Ratu Heika</t>
  </si>
  <si>
    <t>Rosa Amelia</t>
  </si>
  <si>
    <t>Marisya</t>
  </si>
  <si>
    <t>Bela Saptira</t>
  </si>
  <si>
    <t>Sephiani</t>
  </si>
  <si>
    <t>Jimi Pramana</t>
  </si>
  <si>
    <t>Dziihiiraa Sazia Abila</t>
  </si>
  <si>
    <t>Meli Fitria</t>
  </si>
  <si>
    <t>Analysia Kinanti Kastaman</t>
  </si>
  <si>
    <t>Yulianti Lesari</t>
  </si>
  <si>
    <t>Cintha Aulia Putri</t>
  </si>
  <si>
    <t>Gilang Ramadhan</t>
  </si>
  <si>
    <t>Arraya Sisilia Annisa</t>
  </si>
  <si>
    <t>Cici Agustina</t>
  </si>
  <si>
    <t>Sisil Lindia Putri</t>
  </si>
  <si>
    <t>Desi Fitriani</t>
  </si>
  <si>
    <t>Fahira</t>
  </si>
  <si>
    <t>Fika Anjani</t>
  </si>
  <si>
    <t>M Hafiz</t>
  </si>
  <si>
    <t>Muhammad Ridho Noval Triansyah</t>
  </si>
  <si>
    <t>Helma Lia Putri</t>
  </si>
  <si>
    <t>Riska Sundari Oktarina</t>
  </si>
  <si>
    <t>Ahmed Fathir Sadikin</t>
  </si>
  <si>
    <t>Novia Ramadhani</t>
  </si>
  <si>
    <t>Meriska Oktavia Boru Siringo Ringo</t>
  </si>
  <si>
    <t>Sania Febrianty Pratiwi</t>
  </si>
  <si>
    <t>Fiona Lia Marshanda</t>
  </si>
  <si>
    <t>Shandy Aditya</t>
  </si>
  <si>
    <t>Regitha Nur Sari</t>
  </si>
  <si>
    <t>Diana Sarah</t>
  </si>
  <si>
    <t>Alvin Denaldy Syafutra</t>
  </si>
  <si>
    <t>Septiani Indriyati</t>
  </si>
  <si>
    <t>Prisca Laura</t>
  </si>
  <si>
    <t>Samsul Bahari</t>
  </si>
  <si>
    <t>Riska Wahyuni</t>
  </si>
  <si>
    <t>Laila Qodri</t>
  </si>
  <si>
    <t>Agung Pebrianto</t>
  </si>
  <si>
    <t>U_7690_TUKAK SADAI</t>
  </si>
  <si>
    <t>UNIT TUKAK SADAI</t>
  </si>
  <si>
    <t>Ferdihan Haswin</t>
  </si>
  <si>
    <t>K_1707_KK BANGKA TRADE CENTER</t>
  </si>
  <si>
    <t>KK BANGKA TRADE CENTER</t>
  </si>
  <si>
    <t>Dandi Raffy Pratama</t>
  </si>
  <si>
    <t>Reza Annisa</t>
  </si>
  <si>
    <t>Rizqi Maharani</t>
  </si>
  <si>
    <t>Anggi Pratama</t>
  </si>
  <si>
    <t>Syifaniya Azzahra</t>
  </si>
  <si>
    <t>Audry Kaulansyah</t>
  </si>
  <si>
    <t>Gendis Ajeng Windu Asri</t>
  </si>
  <si>
    <t>Haura Farikha Prameshwari</t>
  </si>
  <si>
    <t>Andini Destri Aulia</t>
  </si>
  <si>
    <t>Dimas Agil Demara</t>
  </si>
  <si>
    <t>Nadya Grasella Putri</t>
  </si>
  <si>
    <t>Siti Safirah Salsabila</t>
  </si>
  <si>
    <t>Raissa Aurelia Putri</t>
  </si>
  <si>
    <t>Astriyani</t>
  </si>
  <si>
    <t>Rifqa Aulia Syalasani</t>
  </si>
  <si>
    <t>TELLER (H)</t>
  </si>
  <si>
    <t>Cindra Permatasari</t>
  </si>
  <si>
    <t>Teller (Buffer HCD)</t>
  </si>
  <si>
    <t>Nadila Yuni Erliandha</t>
  </si>
  <si>
    <t>Ria Saputri</t>
  </si>
  <si>
    <t>Andriyani Harizta Corie</t>
  </si>
  <si>
    <t>Atika Maharani Yundai</t>
  </si>
  <si>
    <t>Hervani Pratiwi</t>
  </si>
  <si>
    <t>Fitriayu Iryanda Sekartaji</t>
  </si>
  <si>
    <t>TERAS TANJUNG SIAPI-API</t>
  </si>
  <si>
    <t>Diana Putri Lorensia</t>
  </si>
  <si>
    <t>Aura Putri Syahrani</t>
  </si>
  <si>
    <t>Muhammad Maulana Al Farizi</t>
  </si>
  <si>
    <t>TERAS PASAR SAKO</t>
  </si>
  <si>
    <t>Alan Refaldi</t>
  </si>
  <si>
    <t>Rizki Dwi Rahmat</t>
  </si>
  <si>
    <t>Kiagus Muhammad Fathan Auliya</t>
  </si>
  <si>
    <t>Bunga Sekar Wangi</t>
  </si>
  <si>
    <t>Darvianti</t>
  </si>
  <si>
    <t>Luchiana Aryadita Wijaya</t>
  </si>
  <si>
    <t>Serli Afriani</t>
  </si>
  <si>
    <t>Meilan Dea Frisca</t>
  </si>
  <si>
    <t>Percobaan</t>
  </si>
  <si>
    <t>Ahmad Nur Rohman</t>
  </si>
  <si>
    <t>Widya</t>
  </si>
  <si>
    <t>Suci Lestari Oktaviani</t>
  </si>
  <si>
    <t>M. Ikmalul Amal</t>
  </si>
  <si>
    <t>Ananda Eka Saputri</t>
  </si>
  <si>
    <t>Mira Aldriani</t>
  </si>
  <si>
    <t>Comrie Ihza Mahendra</t>
  </si>
  <si>
    <t>Lathiifah Dwi Maharani</t>
  </si>
  <si>
    <t>Rinaldi Akbar</t>
  </si>
  <si>
    <t>Rizka Nadiyah Rahmah Safhirah</t>
  </si>
  <si>
    <t>Dwi Fitriani Al Muqhniah</t>
  </si>
  <si>
    <t>Marini</t>
  </si>
  <si>
    <t>Amirah Sabrina</t>
  </si>
  <si>
    <t>Jerry Chasturi</t>
  </si>
  <si>
    <t>Tia Aprianti</t>
  </si>
  <si>
    <t>Natasya Salsabilla</t>
  </si>
  <si>
    <t>Joko Suriadi</t>
  </si>
  <si>
    <t>Ayu Wulandari</t>
  </si>
  <si>
    <t>Jesika Adelsa Putri</t>
  </si>
  <si>
    <t>Ulfatina</t>
  </si>
  <si>
    <t>Indita Riska Amanah</t>
  </si>
  <si>
    <t>Ratu Septya</t>
  </si>
  <si>
    <t>Khalisa Angraini Putri</t>
  </si>
  <si>
    <t>Muhammad Ilham Zazili</t>
  </si>
  <si>
    <t>Antika Susmita</t>
  </si>
  <si>
    <t>Ricke Dwi Ningsih</t>
  </si>
  <si>
    <t>Laura Nindya Asmanata</t>
  </si>
  <si>
    <t>Zweta Anggun Syafara</t>
  </si>
  <si>
    <t>Dwi Vita Sari</t>
  </si>
  <si>
    <t>Imelda Sari</t>
  </si>
  <si>
    <t>Azmarilia</t>
  </si>
  <si>
    <t>Selvy Yani</t>
  </si>
  <si>
    <t>Desmita Anggraini</t>
  </si>
  <si>
    <t>Alya Rivani Putri Erpana</t>
  </si>
  <si>
    <t>Sekar Mayang Hindriyani</t>
  </si>
  <si>
    <t>Lasbema Sahapine</t>
  </si>
  <si>
    <t>Yashifa Suci Rama</t>
  </si>
  <si>
    <t>Muhamad Aditya Junior</t>
  </si>
  <si>
    <t>M. Gilang Rizky</t>
  </si>
  <si>
    <t>Andini Dwipatricia</t>
  </si>
  <si>
    <t>Fely Ardevi Efendi Nungci</t>
  </si>
  <si>
    <t>Miftahul Janah</t>
  </si>
  <si>
    <t>Marsanda Velati</t>
  </si>
  <si>
    <t>Caecar Janu Dilaga</t>
  </si>
  <si>
    <t>Muhammad Nando Rivaldi</t>
  </si>
  <si>
    <t>Mustika Pamungkas</t>
  </si>
  <si>
    <t>Rosma Windah</t>
  </si>
  <si>
    <t>Siti Nabilah Khairunnisa</t>
  </si>
  <si>
    <t>Aninah Tuzarrah</t>
  </si>
  <si>
    <t>Shah Jeehan Alied Fahlan</t>
  </si>
  <si>
    <t>Karda Reza</t>
  </si>
  <si>
    <t>Iva Andini Putri</t>
  </si>
  <si>
    <t>Marisa Stefanny</t>
  </si>
  <si>
    <t>Elita Aditya</t>
  </si>
  <si>
    <t>Dwita Ayu Larasati</t>
  </si>
  <si>
    <t>Yulia Putri</t>
  </si>
  <si>
    <t>Ranaya Attia Hilla</t>
  </si>
  <si>
    <t>Nyayu Afriza Alhusna</t>
  </si>
  <si>
    <t>Gratia Olivia Sihaloho</t>
  </si>
  <si>
    <t>Nabila Jannatul Putri</t>
  </si>
  <si>
    <t>Anisa Meilianti</t>
  </si>
  <si>
    <t>Azzura Puti Faradiba</t>
  </si>
  <si>
    <t>Kemas Darma Rivaldi</t>
  </si>
  <si>
    <t>Adinda Okta Olivia</t>
  </si>
  <si>
    <t>Ayu Meidah</t>
  </si>
  <si>
    <t>Rendi</t>
  </si>
  <si>
    <t>Meylina Tarissa</t>
  </si>
  <si>
    <t>Virginia Faradisa</t>
  </si>
  <si>
    <t>Mia Azzahra</t>
  </si>
  <si>
    <t>Liza Amelia</t>
  </si>
  <si>
    <t>Grasia Viorina</t>
  </si>
  <si>
    <t>FORMASI JABATAN KANCA</t>
  </si>
  <si>
    <t>PERIODE :Jan 2025</t>
  </si>
  <si>
    <t>NO</t>
  </si>
  <si>
    <t>REGIONAL OFFICE</t>
  </si>
  <si>
    <t>KODE KANTOR CABANG</t>
  </si>
  <si>
    <t>KANTOR CABANG</t>
  </si>
  <si>
    <t>KELAS KANCA</t>
  </si>
  <si>
    <t>PERIODE</t>
  </si>
  <si>
    <t>Formasi Customer Service</t>
  </si>
  <si>
    <t>Existing</t>
  </si>
  <si>
    <t>GAP</t>
  </si>
  <si>
    <t>Formasi Teller</t>
  </si>
  <si>
    <t>Formasi UB</t>
  </si>
  <si>
    <t>Palembang</t>
  </si>
  <si>
    <t>IIIA</t>
  </si>
  <si>
    <t>Jan 2025</t>
  </si>
  <si>
    <t>IIIB</t>
  </si>
  <si>
    <t>IIA</t>
  </si>
  <si>
    <t>IB</t>
  </si>
  <si>
    <t>IA</t>
  </si>
  <si>
    <t>IIB</t>
  </si>
  <si>
    <t>FORMASI JABATAN KCP</t>
  </si>
  <si>
    <t>KODE KCP</t>
  </si>
  <si>
    <t>CABANG PEMBANTU</t>
  </si>
  <si>
    <t>KELAS KCP</t>
  </si>
  <si>
    <t>KCP SUNGAI LILIN SEKAYU</t>
  </si>
  <si>
    <t>KCP Muara Tebo</t>
  </si>
  <si>
    <t>KCP KM 12 PALEMBANG</t>
  </si>
  <si>
    <t>KCP TANJAB TIMUR</t>
  </si>
  <si>
    <t>KCP TUGU MULYO</t>
  </si>
  <si>
    <t>FORMASI JABATAN UNIT</t>
  </si>
  <si>
    <t>FORMASI JABATAN UNIT-20-01-2025</t>
  </si>
  <si>
    <t>KODE UNIT</t>
  </si>
  <si>
    <t>TYPE UNIT</t>
  </si>
  <si>
    <t>UNIT/TERAS</t>
  </si>
  <si>
    <t>Formasi Customer Service Unit</t>
  </si>
  <si>
    <t>Formasi Teller Unit</t>
  </si>
  <si>
    <t>TERAS Tanah Abang</t>
  </si>
  <si>
    <t>TERAS Pasar Namang</t>
  </si>
  <si>
    <t>TERAS Pasar Gang Kimting</t>
  </si>
  <si>
    <t>TERAS Pasar Tanjung Siapi Api</t>
  </si>
  <si>
    <t>TERAS Pasar Pagi Pangkal Pinang</t>
  </si>
  <si>
    <t>TERAS Pasar Lubuk Besar</t>
  </si>
  <si>
    <t>TERAS Pasar Sako</t>
  </si>
  <si>
    <t>TERAS Pasar Talang Jambe</t>
  </si>
  <si>
    <t>TERAS Pasar Nendagung</t>
  </si>
  <si>
    <t>TERAS Pasar Tanjung Enim</t>
  </si>
  <si>
    <t>TERAS Pasar Muara Harapan</t>
  </si>
  <si>
    <t>TERAS Pasar Ujan Mas</t>
  </si>
  <si>
    <t>TERAS Pasar Tunggu Tubang</t>
  </si>
  <si>
    <t>TERAS Pasar Muara Enim</t>
  </si>
  <si>
    <t>TERAS Pasar Sumaja Makmur</t>
  </si>
  <si>
    <t>TERAS Simpang Niam</t>
  </si>
  <si>
    <t>TERAS Pasar Atas Jambi</t>
  </si>
  <si>
    <t>TERAS Pasar Inpres</t>
  </si>
  <si>
    <t>TERAS Pasar Ptm Square</t>
  </si>
  <si>
    <t>TERAS Pasar TPI</t>
  </si>
  <si>
    <t>TERAS Pasar Baru Talang Banjar</t>
  </si>
  <si>
    <t>TERAS Pasar Induk Angso Duo</t>
  </si>
  <si>
    <t>TERAS Pasar Martapura Oku</t>
  </si>
  <si>
    <t>TERAS Pasar Sidorahayu</t>
  </si>
  <si>
    <t>TERAS Pasar Unit 6 Oku Timur</t>
  </si>
  <si>
    <t>TERAS Pasar Singkut</t>
  </si>
  <si>
    <t>TERAS Pasar SPC</t>
  </si>
  <si>
    <t>TERAS Pasar Pendopo</t>
  </si>
  <si>
    <t>TERAS Pasar Muara Tebo</t>
  </si>
  <si>
    <t>TERAS Pasar Ilir</t>
  </si>
  <si>
    <t>TERAS Pasar Pasir Putih</t>
  </si>
  <si>
    <t>TERAS Pasar Sarinah Rimbo Bujang</t>
  </si>
  <si>
    <t>TERAS Kavling</t>
  </si>
  <si>
    <t>TERAS Pasar Baru Bangko</t>
  </si>
  <si>
    <t>TERAS Pasar Sarolangun</t>
  </si>
  <si>
    <t>TERAS Pasar Baru Baturaja</t>
  </si>
  <si>
    <t>UNIT SIMPANG POLDA PALEMBANG S</t>
  </si>
  <si>
    <t>UNIT POLYGON PALEMBANG A RIVAI</t>
  </si>
  <si>
    <t>UNIT UNSRI PALEMBANG A RIVAI</t>
  </si>
  <si>
    <t>UNIT M. ISA PALEMBANG S</t>
  </si>
  <si>
    <t>UNIT MANGKU NEGARA PALEMBANG</t>
  </si>
  <si>
    <t>UNIT MAYOR RUSLAN PALEMBANG S</t>
  </si>
  <si>
    <t>UNIT ILIR BARAT PALEMBANG A RI</t>
  </si>
  <si>
    <t>UNIT DWIKORA PALEMBANG A RIVAI</t>
  </si>
  <si>
    <t>UNIT TEBING BULANG SEKAYU</t>
  </si>
  <si>
    <t>UNIT SEKANAK PALEMBANG A RIVAI</t>
  </si>
  <si>
    <t>UNIT SUKAMTO PALEMBANG S</t>
  </si>
  <si>
    <t>UNIT CUPAT SUNGAI LIAT</t>
  </si>
  <si>
    <t>UNIT BETUNG PRABUMULIH</t>
  </si>
  <si>
    <t>UNIT LINGGA KUAMANG MUARA BUNG</t>
  </si>
  <si>
    <t>UNIT KAYUAGUNG II KAYU AGUNG</t>
  </si>
  <si>
    <t>UNIT CENGAL KAYUAGUNG</t>
  </si>
  <si>
    <t>UNIT PAHLAWAN PALEMBANG SRIWIJ</t>
  </si>
  <si>
    <t>UNIT SIMPANG PESAK TANJUNG PAN</t>
  </si>
  <si>
    <t>UNIT SIMPANG MEMBALONG TANJUNG</t>
  </si>
  <si>
    <t>UNIT PASAR BAWAH TANJUNG PANDA</t>
  </si>
  <si>
    <t>UNIT PANGKAL LALANG TJ PANDAN</t>
  </si>
  <si>
    <t>UNIT MEMBALONG TANJUNG PANDAN</t>
  </si>
  <si>
    <t>UNIT MANGGAR TJ PANDAN</t>
  </si>
  <si>
    <t>UNIT KELAPA KAMPIT TANJUNG PAN</t>
  </si>
  <si>
    <t>UNIT GANTUNG TANJUNG PANDAN</t>
  </si>
  <si>
    <t>UNIT AIR MERBAU TANJUNG PANDAN</t>
  </si>
  <si>
    <t>UNIT TEMPILANG SUNGAI LIAT</t>
  </si>
  <si>
    <t>UNIT SIMPANG TERITIP SUNGAI LI</t>
  </si>
  <si>
    <t>UNIT RIAU SILIP SUNGAI LIAT</t>
  </si>
  <si>
    <t>UNIT PUDING BESAR SUNGAI LIAT</t>
  </si>
  <si>
    <t>UNIT MENDO SUNGAILIAT</t>
  </si>
  <si>
    <t>UNIT PARIT TIGA SUNGAI LIAT</t>
  </si>
  <si>
    <t>UNIT KOTA SUNGAI LIAT SUNGAI L</t>
  </si>
  <si>
    <t>UNIT KOTA II SUNGAILIAT SUNGAI</t>
  </si>
  <si>
    <t>UNIT KENANGA SUNGAI LIAT</t>
  </si>
  <si>
    <t>UNIT KELAPA SUNGAI LIAT</t>
  </si>
  <si>
    <t>UNIT JEBUS SUNGAI LIAT</t>
  </si>
  <si>
    <t>UNIT BATURUSA SUNGAI LIAT</t>
  </si>
  <si>
    <t>UNIT SUNGAI LILIN SEKAYU</t>
  </si>
  <si>
    <t>UNIT SEMBAWA SEKAYU</t>
  </si>
  <si>
    <t>UNIT SEKAYU KOTA SEKAYU</t>
  </si>
  <si>
    <t>UNIT SANGA DESA SEKAYU</t>
  </si>
  <si>
    <t>UNIT PLAKAT TINGGI SEKAYU</t>
  </si>
  <si>
    <t>UNIT PENINGGALAN SEKAYU</t>
  </si>
  <si>
    <t>UNIT PANGKALAN BALAI SEKAYU</t>
  </si>
  <si>
    <t>UNIT KELUANG SEKAYU</t>
  </si>
  <si>
    <t>UNIT KAYU ARE SEKAYU</t>
  </si>
  <si>
    <t>UNIT BETUNG SEKAYU</t>
  </si>
  <si>
    <t>UNIT BAYUNG LENCIR SEKAYU</t>
  </si>
  <si>
    <t>UNIT BABAT TOMAN SEKAYU</t>
  </si>
  <si>
    <t>UNIT BUKIT SUBAN SAROLANGUN</t>
  </si>
  <si>
    <t>UNIT SINGKUT SAROLANGUN</t>
  </si>
  <si>
    <t>UNIT SAROLANGUN SAROLANGUN</t>
  </si>
  <si>
    <t>UNIT PAUH SAROLANGUN</t>
  </si>
  <si>
    <t>UNIT MANDI ANGIN SAROLANGUN</t>
  </si>
  <si>
    <t>UNIT LIMBUR SAROLANGUN</t>
  </si>
  <si>
    <t>UNIT SUNGAI BENGKAL R BUJANG</t>
  </si>
  <si>
    <t>UNIT SARI MULYA RIMBO BUJANG</t>
  </si>
  <si>
    <t>UNIT RIMBO ULU RIMBO BUJANG</t>
  </si>
  <si>
    <t>UNIT PULAU TEMIANG R BUJANG</t>
  </si>
  <si>
    <t>UNIT MUARA TEBO RIMBO BUJANG</t>
  </si>
  <si>
    <t>UNIT TANAH ABANG PRABUMULIH</t>
  </si>
  <si>
    <t>UNIT RAMBANG DANGKU PRABUMULIH</t>
  </si>
  <si>
    <t>UNIT LEMBAK PRABUMULIH</t>
  </si>
  <si>
    <t>UNIT PRABUMULIH KOTA II PRABUM</t>
  </si>
  <si>
    <t>UNIT GELUMBANG PRABUMULIH</t>
  </si>
  <si>
    <t>UNIT CINTA KASIH PRABUMULIH</t>
  </si>
  <si>
    <t>UNIT BERINGIN PRABUMULIH</t>
  </si>
  <si>
    <t>UNIT BABAT PRABUMULIH</t>
  </si>
  <si>
    <t>UNIT TUKAK SADAI PANGKAL PINAN</t>
  </si>
  <si>
    <t>UNIT TOBOALI PANGKAL PINANG</t>
  </si>
  <si>
    <t>UNIT SUKARNO HATTA PANGKAL PIN</t>
  </si>
  <si>
    <t>UNIT PAYUNG PANGKAL PINANG</t>
  </si>
  <si>
    <t>UNIT PANGKAL PINANG III PANGKA</t>
  </si>
  <si>
    <t>UNIT PANGKAL PINANG II PANGKAL</t>
  </si>
  <si>
    <t>UNIT MENTOK</t>
  </si>
  <si>
    <t>UNIT KOBA PANGKAL PINANG</t>
  </si>
  <si>
    <t>UNIT KERAMAT JAYA PANGKAL PINA</t>
  </si>
  <si>
    <t>UNIT AIR ITAM PANGKAL PINANG</t>
  </si>
  <si>
    <t>UNIT SUKAJADI PLG SRIWIJAYA</t>
  </si>
  <si>
    <t>UNIT BOSTER PALEMBANG S</t>
  </si>
  <si>
    <t>UNIT SEKIP KEBON SEMAI PALEMBA</t>
  </si>
  <si>
    <t>UNIT BUKIT SANGKAL CELENTANG</t>
  </si>
  <si>
    <t>UNIT LEMABANG PALEMBANG</t>
  </si>
  <si>
    <t>UNIT KUTO PALEMBANG SRIWIJAYA</t>
  </si>
  <si>
    <t>UNIT KTM TELANG PLG SRIWIJAYA</t>
  </si>
  <si>
    <t>UNIT KILOMETER 5 PALEMBANG S</t>
  </si>
  <si>
    <t>UNIT KENTEN SAKO PALEMBANG SRI</t>
  </si>
  <si>
    <t>UNIT KENTEN AZHAR PALEMBANG S</t>
  </si>
  <si>
    <t>UNIT KEBUN BUNGA PALEMBANG S</t>
  </si>
  <si>
    <t>UNIT PAKJO PALEMBANG A RIVAI</t>
  </si>
  <si>
    <t>UNIT SIMPANG PEBEM PALEMBANG A</t>
  </si>
  <si>
    <t>UNIT SEBERANG ULU PALEMBANG A</t>
  </si>
  <si>
    <t>UNIT PLAJU PALEMBANG A RIVAI</t>
  </si>
  <si>
    <t>UNIT MERDEKA PALEMBANG A RIVAI</t>
  </si>
  <si>
    <t>UNIT MASKEREBET PALEMBANG A RI</t>
  </si>
  <si>
    <t>UNIT MARIANA PALEMBANG A RIVAI</t>
  </si>
  <si>
    <t>UNIT LINGKARAN PALEMBANG A RIV</t>
  </si>
  <si>
    <t>UNIT KERTAPATI PALEMBANG A R</t>
  </si>
  <si>
    <t>UNIT JAKABARING PALEMBANG A RI</t>
  </si>
  <si>
    <t>UNIT GANDUS PALEMBANG A RIVAI</t>
  </si>
  <si>
    <t>UNIT CINDE PALEMBANG A RIVAI</t>
  </si>
  <si>
    <t>UNIT 5 ULU PALEMBANG A RIVAI</t>
  </si>
  <si>
    <t>UNIT TANJUNG SAKTI PAGAR ALAM</t>
  </si>
  <si>
    <t>UNIT PENDOPO PAGAR ALAM</t>
  </si>
  <si>
    <t>UNIT PAGAR ALAM PAGAR ALAM</t>
  </si>
  <si>
    <t>UNIT MUARA PINANG PAGAR ALAM</t>
  </si>
  <si>
    <t>UNIT JARAI PAGAR ALAM</t>
  </si>
  <si>
    <t>UNIT DEMPO PERMAI PAGAR ALAM</t>
  </si>
  <si>
    <t>UNIT TANJUNG ENIM MUARA ENIM</t>
  </si>
  <si>
    <t>UNIT TANJUNG BARU MUARA ENIM</t>
  </si>
  <si>
    <t>UNIT PULAU PANGGUNG MUARA ENIM</t>
  </si>
  <si>
    <t>UNIT GUNUNG MEGANG MUARA ENIM</t>
  </si>
  <si>
    <t>UNIT SAWMIL MUARA BUNGO</t>
  </si>
  <si>
    <t>UNIT RIMBO ILIR MUARA BUNGO</t>
  </si>
  <si>
    <t>UNIT RANTAU PANDAN MUARA BUNGO</t>
  </si>
  <si>
    <t>UNIT MUARA TABIR MUARA BUNGO</t>
  </si>
  <si>
    <t>UNIT GAPURA SUCI MUARA BUNGO</t>
  </si>
  <si>
    <t>UNIT KUAMANG KUNING MUARA BUNG</t>
  </si>
  <si>
    <t>UNIT KM EMPAT EMPAT MUARA BUNG</t>
  </si>
  <si>
    <t>UNIT SUNGAI BAHAR III MUARA BU</t>
  </si>
  <si>
    <t>UNIT SUNGAI BAHAR II MUARA BUL</t>
  </si>
  <si>
    <t>UNIT SUNGAI BAHAR MUARA BULIAN</t>
  </si>
  <si>
    <t>UNIT PEMAYUNG MUARA BULIAN</t>
  </si>
  <si>
    <t>UNIT PASAR RENGAS MUARA BULIAN</t>
  </si>
  <si>
    <t>UNIT MERSAM MUARA BULIAN</t>
  </si>
  <si>
    <t>UNIT MARKANDING MUARA BULIAN</t>
  </si>
  <si>
    <t>UNIT KOTA MUARA BULIAN MUARA B</t>
  </si>
  <si>
    <t>UNIT BATIN MUARA BULIAN</t>
  </si>
  <si>
    <t>UNIT BAJUBANG MUARA BULIAN</t>
  </si>
  <si>
    <t>UNIT SUDIRMAN LUBUK LINGGAU</t>
  </si>
  <si>
    <t>UNIT SIMPANG PERIUK LB LINGGAU</t>
  </si>
  <si>
    <t>UNIT SIMPANG NIBUNG LUBUK LING</t>
  </si>
  <si>
    <t>UNIT PASAR SATELIT LUBUK LINGG</t>
  </si>
  <si>
    <t>UNIT O MANGUN HARJO LUBUK LIN</t>
  </si>
  <si>
    <t>UNIT MUARA RUPIT LUBUK LINGGAU</t>
  </si>
  <si>
    <t>UNIT MUARA LAKITAN LUBUK LINGG</t>
  </si>
  <si>
    <t>UNIT MUARA KELINGI LUBUK LINGG</t>
  </si>
  <si>
    <t>UNIT MUARA BELITI LUBUK LINGGA</t>
  </si>
  <si>
    <t>UNIT MEGANG SAKTI LUBUK LINGGA</t>
  </si>
  <si>
    <t>UNIT MARGA BARU LUBUK LINGGAU</t>
  </si>
  <si>
    <t>UNIT GARUDA LUBUK LINGGAU</t>
  </si>
  <si>
    <t>UNIT CECAR LUBUK LINGGAU</t>
  </si>
  <si>
    <t>UNIT BUMI MAKMUR LUBUK LINGGAU</t>
  </si>
  <si>
    <t>UNIT B SRIKATON LUBUK LINGGAU</t>
  </si>
  <si>
    <t>UNIT TANJUNG AUR LAHAT</t>
  </si>
  <si>
    <t>UNIT PS LEMATANG LAHAT</t>
  </si>
  <si>
    <t>UNIT PASAR LAMA LAHAT</t>
  </si>
  <si>
    <t>UNIT MERAPI LAHAT</t>
  </si>
  <si>
    <t>UNIT BUNGAMAS LAHAT</t>
  </si>
  <si>
    <t>UNIT SERDANG JAYA KUALA T</t>
  </si>
  <si>
    <t>UNIT TEBING TINGGI KUALA TUNGK</t>
  </si>
  <si>
    <t>UNIT SIDOMUKTI KUALA TUNGKAL</t>
  </si>
  <si>
    <t>UNIT RANTAU BADAK KUALA TUNGKA</t>
  </si>
  <si>
    <t>UNIT PENGABUAN KUALA TUNGKAL</t>
  </si>
  <si>
    <t>UNIT PELITA KUALA TUNGKAL</t>
  </si>
  <si>
    <t>UNIT PELABUHAN DAGANG KUALA TU</t>
  </si>
  <si>
    <t>UNIT NIPAH PANJANG KUALA TUNGK</t>
  </si>
  <si>
    <t>UNIT MUARA SABAK KUALA TUNGKAL</t>
  </si>
  <si>
    <t>UNIT MERLUNG KUALA TUNGKAL</t>
  </si>
  <si>
    <t>UNIT KOTA K. TUNGKAL KUALA TUN</t>
  </si>
  <si>
    <t>UNIT GERAGAI KUALA TUNGKAL</t>
  </si>
  <si>
    <t>UNIT TUGU MULYO KAYUAGUNG</t>
  </si>
  <si>
    <t>UNIT TANJUNG LUBUK KAYU AGUNG</t>
  </si>
  <si>
    <t>UNIT TANJUNG BATU KAYU AGUNG</t>
  </si>
  <si>
    <t>UNIT SUMBER HIDUP KAYUAGUNG</t>
  </si>
  <si>
    <t>UNIT SIRAH PULAU PADANG KAYU A</t>
  </si>
  <si>
    <t>UNIT SP TIMBANGAN KAYUAGUNG</t>
  </si>
  <si>
    <t>UNIT PEMATANG PANGGANG KAYU AG</t>
  </si>
  <si>
    <t>UNIT PAMPANGAN KAYU AGUNG</t>
  </si>
  <si>
    <t>UNIT MUARA BURNAI KAYUAGUNG</t>
  </si>
  <si>
    <t>UNIT LUBUK SEBERUK KAYU AGUNG</t>
  </si>
  <si>
    <t>UNIT KEMANG INDAH KAYU AGUNG</t>
  </si>
  <si>
    <t>UNIT KAYU AGUNG I KAYU AGUNG</t>
  </si>
  <si>
    <t>UNIT INDRALAYA KAYU AGUNG</t>
  </si>
  <si>
    <t>UNIT CINTA MANIS KAYU AGUNG</t>
  </si>
  <si>
    <t>UNIT CATUR TUNGGAL KAYU AGUNG</t>
  </si>
  <si>
    <t>UNIT UNIJA JAMBI</t>
  </si>
  <si>
    <t>UNIT THEHOK JAMBI</t>
  </si>
  <si>
    <t>UNIT TEMPINO JAMBI</t>
  </si>
  <si>
    <t>UNIT TALANG BANJAR JAMBI</t>
  </si>
  <si>
    <t>UNIT SIMPANG PRAMUKA JAMBI</t>
  </si>
  <si>
    <t>UNIT SANGETI JAMBI</t>
  </si>
  <si>
    <t>UNIT AUR DURI JAMBI</t>
  </si>
  <si>
    <t>UNIT ANGSO DUO JAMBI</t>
  </si>
  <si>
    <t>UNIT SUMBER JAYA BATURAJA</t>
  </si>
  <si>
    <t>UNIT SINAR PENIJAUAN BATURAJA</t>
  </si>
  <si>
    <t>UNIT RAWA BENING BATURAJA</t>
  </si>
  <si>
    <t>UNIT PENINJAUAN BATURAJA</t>
  </si>
  <si>
    <t>UNIT PASAR ILIR BATURAJA</t>
  </si>
  <si>
    <t>UNIT MUARADUA BATURAJA</t>
  </si>
  <si>
    <t>UNIT MARTAPURA BATURAJA</t>
  </si>
  <si>
    <t>UNIT LINTAS SUMATERA BATURAJA</t>
  </si>
  <si>
    <t>UNIT HARJOWINANGUN BATURAJA</t>
  </si>
  <si>
    <t>UNIT GUMAWANG I BATURAJA</t>
  </si>
  <si>
    <t>UNIT BATUMARTA BATURAJA</t>
  </si>
  <si>
    <t>UNIT TAMBANG EMAS BANGKO</t>
  </si>
  <si>
    <t>UNIT RANTAU PANJANG BANGKO</t>
  </si>
  <si>
    <t>UNIT PINANG MERAH BANGKO</t>
  </si>
  <si>
    <t>UNIT PAMENAN BANGKO</t>
  </si>
  <si>
    <t>UNIT MERANGIN BANGKO</t>
  </si>
  <si>
    <t>UNIT MARGOYOSO BANGKO</t>
  </si>
  <si>
    <t>UNIT HITAM ULU BANGKO</t>
  </si>
  <si>
    <t>UNIT TALANG BAKUNG ABUNJANI SP</t>
  </si>
  <si>
    <t>UNIT SULTAN THAHA ABUNJANI SP</t>
  </si>
  <si>
    <t>UNIT SIMPANG RIMBO ABUNJANI SP</t>
  </si>
  <si>
    <t>UNIT SIMPANG KAWAT ABUNJANI SP</t>
  </si>
  <si>
    <t>UNIT PETALING ABUNJANI SP</t>
  </si>
  <si>
    <t>UNIT MENDALO INDAH ABUNJANI SP</t>
  </si>
  <si>
    <t>UNIT MAYANG ABUNJANI SP</t>
  </si>
  <si>
    <t>UNIT KEBUN HANDIL ABUNJANI SP</t>
  </si>
  <si>
    <t>UNIT KASANG JAYA ABUNJANI SP</t>
  </si>
  <si>
    <t>UNIT FATAHILAH ABUNJANI SP</t>
  </si>
  <si>
    <t>FORMASI JABATAN KK</t>
  </si>
  <si>
    <t>KODE KK</t>
  </si>
  <si>
    <t>KANTOR KAS</t>
  </si>
  <si>
    <t>KK TASPEN PANGKALPINANG</t>
  </si>
  <si>
    <t>Sep 2026</t>
  </si>
  <si>
    <t>Row Labels</t>
  </si>
  <si>
    <t>(blank)</t>
  </si>
  <si>
    <t>Grand Total</t>
  </si>
  <si>
    <t>Count of JOBDESC</t>
  </si>
  <si>
    <t>Column Labels</t>
  </si>
  <si>
    <t>Tutup</t>
  </si>
  <si>
    <t>No</t>
  </si>
  <si>
    <t>Kantor Cabang</t>
  </si>
  <si>
    <t>Formasi CS</t>
  </si>
  <si>
    <t>Pemenuhan</t>
  </si>
  <si>
    <t>Total</t>
  </si>
  <si>
    <t>Sum of Formasi Customer Service</t>
  </si>
  <si>
    <t>Sum of Existing</t>
  </si>
  <si>
    <t>Sum of GAP</t>
  </si>
  <si>
    <t>Sum of Formasi Teller</t>
  </si>
  <si>
    <t>Sum of Existing2</t>
  </si>
  <si>
    <t>Sum of GAP2</t>
  </si>
  <si>
    <t>Sum of Formasi Customer Service Unit</t>
  </si>
  <si>
    <t>Sum of Formasi Teller Unit</t>
  </si>
  <si>
    <t>UNIT KERJA</t>
  </si>
  <si>
    <t>UNIT KERJA_2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</si>
</sst>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b/>
      <sz val="10"/>
      <color indexed="8"/>
      <name val="Tahoma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b/>
      <sz val="10"/>
      <color indexed="8"/>
      <name val="Tahoma"/>
      <family val="2"/>
    </font>
    <font>
      <b/>
      <sz val="11"/>
      <color indexed="8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rgb="FFC1E4F5"/>
        <bgColor rgb="FFC1E4F5"/>
      </patternFill>
    </fill>
    <fill>
      <patternFill patternType="solid">
        <fgColor rgb="FFD9F2D0"/>
        <bgColor rgb="FFD9F2D0"/>
      </patternFill>
    </fill>
    <fill>
      <patternFill patternType="solid">
        <fgColor rgb="FFFAE2D5"/>
        <bgColor rgb="FFFAE2D5"/>
      </patternFill>
    </fill>
    <fill>
      <patternFill patternType="solid">
        <fgColor theme="7" tint="0.79998168889431442"/>
        <bgColor rgb="FFCAEDFB"/>
      </patternFill>
    </fill>
    <fill>
      <patternFill patternType="solid">
        <fgColor theme="7" tint="0.79998168889431442"/>
        <bgColor rgb="FFC1E4F5"/>
      </patternFill>
    </fill>
    <fill>
      <patternFill patternType="solid">
        <fgColor theme="7" tint="0.79998168889431442"/>
        <bgColor rgb="FFFF6600"/>
      </patternFill>
    </fill>
    <fill>
      <patternFill patternType="solid">
        <fgColor rgb="FFC1F0C8"/>
        <bgColor rgb="FFC1F0C8"/>
      </patternFill>
    </fill>
    <fill>
      <patternFill patternType="solid">
        <fgColor theme="5" tint="0.79998168889431442"/>
        <bgColor rgb="FFFAE2D5"/>
      </patternFill>
    </fill>
    <fill>
      <patternFill patternType="solid">
        <fgColor theme="5" tint="0.79998168889431442"/>
        <bgColor rgb="FFFF6600"/>
      </patternFill>
    </fill>
    <fill>
      <patternFill patternType="solid">
        <fgColor theme="5" tint="0.79998168889431442"/>
        <bgColor rgb="FFF6C6A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F2D0"/>
      </patternFill>
    </fill>
    <fill>
      <patternFill patternType="solid">
        <fgColor rgb="FFFFFF00"/>
        <bgColor rgb="FFF6C6AC"/>
      </patternFill>
    </fill>
    <fill>
      <patternFill patternType="solid">
        <fgColor rgb="FFFFFF00"/>
        <bgColor rgb="FFFAE2D5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 applyFill="0" applyProtection="0"/>
    <xf numFmtId="0" fontId="4" fillId="0" borderId="0" applyFill="0" applyProtection="0"/>
  </cellStyleXfs>
  <cellXfs count="42">
    <xf numFmtId="0" fontId="0" fillId="0" borderId="0" xfId="0"/>
    <xf numFmtId="0" fontId="2" fillId="0" borderId="0" xfId="1" applyFont="1" applyFill="1" applyProtection="1"/>
    <xf numFmtId="0" fontId="1" fillId="0" borderId="0" xfId="1" applyFill="1" applyProtection="1"/>
    <xf numFmtId="0" fontId="1" fillId="0" borderId="0" xfId="1" applyFill="1" applyAlignment="1" applyProtection="1">
      <alignment horizontal="center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/>
    </xf>
    <xf numFmtId="0" fontId="1" fillId="0" borderId="0" xfId="1" applyFill="1" applyAlignment="1" applyProtection="1">
      <alignment wrapText="1"/>
    </xf>
    <xf numFmtId="0" fontId="3" fillId="3" borderId="0" xfId="1" applyFont="1" applyFill="1" applyAlignment="1">
      <alignment horizontal="center"/>
    </xf>
    <xf numFmtId="0" fontId="3" fillId="4" borderId="0" xfId="1" applyFont="1" applyFill="1" applyAlignment="1">
      <alignment horizontal="center"/>
    </xf>
    <xf numFmtId="0" fontId="3" fillId="5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</xf>
    <xf numFmtId="0" fontId="5" fillId="0" borderId="0" xfId="2" applyFont="1" applyFill="1" applyProtection="1"/>
    <xf numFmtId="0" fontId="4" fillId="0" borderId="0" xfId="2" applyFill="1" applyProtection="1"/>
    <xf numFmtId="0" fontId="4" fillId="0" borderId="0" xfId="2" applyFill="1" applyAlignment="1" applyProtection="1">
      <alignment horizontal="center"/>
    </xf>
    <xf numFmtId="0" fontId="5" fillId="2" borderId="1" xfId="2" applyFont="1" applyFill="1" applyBorder="1" applyAlignment="1" applyProtection="1">
      <alignment horizontal="center" vertical="center"/>
    </xf>
    <xf numFmtId="0" fontId="5" fillId="0" borderId="0" xfId="2" applyFont="1" applyFill="1" applyAlignment="1" applyProtection="1">
      <alignment horizontal="center"/>
    </xf>
    <xf numFmtId="0" fontId="3" fillId="6" borderId="0" xfId="1" applyFont="1" applyFill="1" applyAlignment="1">
      <alignment horizontal="center"/>
    </xf>
    <xf numFmtId="0" fontId="3" fillId="7" borderId="0" xfId="1" applyFont="1" applyFill="1" applyAlignment="1">
      <alignment horizontal="center"/>
    </xf>
    <xf numFmtId="0" fontId="3" fillId="8" borderId="0" xfId="1" applyFont="1" applyFill="1" applyAlignment="1">
      <alignment horizontal="center"/>
    </xf>
    <xf numFmtId="0" fontId="3" fillId="9" borderId="0" xfId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3" fillId="10" borderId="0" xfId="1" applyFont="1" applyFill="1" applyAlignment="1">
      <alignment horizontal="center"/>
    </xf>
    <xf numFmtId="0" fontId="3" fillId="11" borderId="0" xfId="1" applyFont="1" applyFill="1" applyAlignment="1">
      <alignment horizontal="center"/>
    </xf>
    <xf numFmtId="0" fontId="3" fillId="12" borderId="0" xfId="1" applyFont="1" applyFill="1" applyAlignment="1">
      <alignment horizontal="center"/>
    </xf>
    <xf numFmtId="0" fontId="1" fillId="13" borderId="0" xfId="1" applyFill="1" applyProtection="1"/>
    <xf numFmtId="0" fontId="3" fillId="14" borderId="0" xfId="1" applyFont="1" applyFill="1" applyAlignment="1">
      <alignment horizontal="center"/>
    </xf>
    <xf numFmtId="0" fontId="3" fillId="15" borderId="0" xfId="1" applyFont="1" applyFill="1" applyAlignment="1">
      <alignment horizontal="center"/>
    </xf>
    <xf numFmtId="0" fontId="3" fillId="16" borderId="0" xfId="1" applyFont="1" applyFill="1" applyAlignment="1">
      <alignment horizontal="center"/>
    </xf>
    <xf numFmtId="0" fontId="4" fillId="13" borderId="0" xfId="2" applyFill="1" applyProtection="1"/>
    <xf numFmtId="0" fontId="6" fillId="17" borderId="2" xfId="0" applyFont="1" applyFill="1" applyBorder="1" applyAlignment="1">
      <alignment horizontal="center" vertical="center" wrapText="1"/>
    </xf>
    <xf numFmtId="0" fontId="6" fillId="17" borderId="0" xfId="0" applyFont="1" applyFill="1" applyAlignment="1">
      <alignment horizontal="center" vertical="center" wrapText="1"/>
    </xf>
    <xf numFmtId="0" fontId="0" fillId="17" borderId="2" xfId="0" applyFill="1" applyBorder="1"/>
    <xf numFmtId="0" fontId="0" fillId="17" borderId="2" xfId="0" applyFill="1" applyBorder="1" applyAlignment="1">
      <alignment horizontal="center"/>
    </xf>
    <xf numFmtId="0" fontId="0" fillId="17" borderId="0" xfId="0" applyFill="1"/>
    <xf numFmtId="0" fontId="0" fillId="17" borderId="3" xfId="0" applyFill="1" applyBorder="1"/>
    <xf numFmtId="0" fontId="6" fillId="17" borderId="2" xfId="0" applyFont="1" applyFill="1" applyBorder="1"/>
    <xf numFmtId="0" fontId="6" fillId="17" borderId="0" xfId="0" applyFont="1" applyFill="1"/>
    <xf numFmtId="164" fontId="7" fillId="17" borderId="2" xfId="0" applyNumberFormat="1" applyFont="1" applyFill="1" applyBorder="1"/>
    <xf numFmtId="164" fontId="8" fillId="17" borderId="2" xfId="0" applyNumberFormat="1" applyFont="1" applyFill="1" applyBorder="1"/>
    <xf numFmtId="0" fontId="0" fillId="13" borderId="0" xfId="0" applyFill="1"/>
    <xf numFmtId="0" fontId="6" fillId="17" borderId="2" xfId="0" applyFont="1" applyFill="1" applyBorder="1" applyAlignment="1">
      <alignment horizontal="center"/>
    </xf>
  </cellXfs>
  <cellStyles count="3">
    <cellStyle name="Normal" xfId="0" builtinId="0"/>
    <cellStyle name="Normal 2" xfId="1" xr:uid="{1F8691B1-2D20-4BF8-86E5-64508471DCFC}"/>
    <cellStyle name="Normal 2 2" xfId="2" xr:uid="{205BA691-894B-4693-991E-9F9D804FE7CB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28" Type="http://schemas.openxmlformats.org/officeDocument/2006/relationships/pivotCacheDefinition" Target="pivotCache/pivotCacheDefinition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pivotCacheDefinition" Target="pivotCache/pivotCacheDefinition7.xml"/><Relationship Id="rId30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T SAU 14" refreshedDate="46287.656607291668" createdVersion="8" refreshedVersion="8" minRefreshableVersion="3" recordCount="160" xr:uid="{D6EDECF0-37B0-43A9-B7A0-DA2C2118D4A2}">
  <cacheSource type="worksheet">
    <worksheetSource ref="A1:I1048576" sheet="KC"/>
  </cacheSource>
  <cacheFields count="9">
    <cacheField name="KODE BRANCH" numFmtId="0">
      <sharedItems containsString="0" containsBlank="1" containsNumber="1" containsInteger="1" minValue="8" maxValue="607" count="22">
        <n v="606"/>
        <n v="275"/>
        <n v="8"/>
        <n v="20"/>
        <n v="30"/>
        <n v="179"/>
        <n v="40"/>
        <n v="129"/>
        <n v="315"/>
        <n v="160"/>
        <n v="128"/>
        <n v="138"/>
        <n v="59"/>
        <n v="342"/>
        <n v="63"/>
        <n v="184"/>
        <n v="607"/>
        <n v="604"/>
        <n v="164"/>
        <n v="324"/>
        <n v="131"/>
        <m/>
      </sharedItems>
    </cacheField>
    <cacheField name="JOBDESC" numFmtId="0">
      <sharedItems containsBlank="1" count="5">
        <s v="CUSTOMER SERVICE"/>
        <s v="TELLER"/>
        <s v="UNIVERSAL BANKER"/>
        <s v="TELLER (H)"/>
        <m/>
      </sharedItems>
    </cacheField>
    <cacheField name="PERNR" numFmtId="0">
      <sharedItems containsString="0" containsBlank="1" containsNumber="1" containsInteger="1" minValue="328359" maxValue="413703"/>
    </cacheField>
    <cacheField name="TIPE UKER" numFmtId="0">
      <sharedItems containsBlank="1"/>
    </cacheField>
    <cacheField name="COMPLETENAME" numFmtId="0">
      <sharedItems containsBlank="1"/>
    </cacheField>
    <cacheField name="KELOMPOK JABATAN" numFmtId="0">
      <sharedItems containsBlank="1"/>
    </cacheField>
    <cacheField name="MCTEXT" numFmtId="0">
      <sharedItems containsBlank="1"/>
    </cacheField>
    <cacheField name="PSADESC" numFmtId="0">
      <sharedItems containsBlank="1"/>
    </cacheField>
    <cacheField name="ESGDESC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T SAU 14" refreshedDate="46287.660223032406" createdVersion="8" refreshedVersion="8" minRefreshableVersion="3" recordCount="74" xr:uid="{FE881536-25BC-4015-A125-3601C60A4ACB}">
  <cacheSource type="worksheet">
    <worksheetSource ref="A1:M1048576" sheet="KCP"/>
  </cacheSource>
  <cacheFields count="13">
    <cacheField name="NIP" numFmtId="0">
      <sharedItems containsBlank="1" containsMixedTypes="1" containsNumber="1" containsInteger="1" minValue="0" maxValue="0"/>
    </cacheField>
    <cacheField name="JOBDESC" numFmtId="0">
      <sharedItems containsBlank="1" count="3">
        <s v="CUSTOMER SERVICE"/>
        <s v="TELLER"/>
        <m/>
      </sharedItems>
    </cacheField>
    <cacheField name="PERNR" numFmtId="0">
      <sharedItems containsString="0" containsBlank="1" containsNumber="1" containsInteger="1" minValue="328385" maxValue="413680"/>
    </cacheField>
    <cacheField name="TIPE UKER" numFmtId="0">
      <sharedItems containsBlank="1"/>
    </cacheField>
    <cacheField name="COMPLETENAME" numFmtId="0">
      <sharedItems containsBlank="1"/>
    </cacheField>
    <cacheField name="KELOMPOK JABATAN" numFmtId="0">
      <sharedItems containsBlank="1"/>
    </cacheField>
    <cacheField name="MCTEXT" numFmtId="0">
      <sharedItems containsBlank="1"/>
    </cacheField>
    <cacheField name="PADESC" numFmtId="0">
      <sharedItems containsBlank="1"/>
    </cacheField>
    <cacheField name="ORGDESC" numFmtId="0">
      <sharedItems containsBlank="1"/>
    </cacheField>
    <cacheField name="CORP. TITLE" numFmtId="0">
      <sharedItems containsBlank="1"/>
    </cacheField>
    <cacheField name="PSADESC" numFmtId="0">
      <sharedItems containsBlank="1" count="16">
        <s v="KC Baturaja"/>
        <s v="KC Jambi"/>
        <s v="KC Kayu Agung"/>
        <s v="KC Kuala Tungkal"/>
        <s v="KC Lahat"/>
        <s v="KC Muara Bulian"/>
        <s v="KC Muara Enim"/>
        <s v="KC Palembang A. Rivai"/>
        <s v="KC Palembang Sriwijaya"/>
        <s v="KC Pangkal Pinang"/>
        <s v="KC Prabumulih"/>
        <s v="KC Rimbo Bujang"/>
        <s v="KC Sekayu"/>
        <s v="KC Sungai Liat"/>
        <s v="KC Tanjung Pandan"/>
        <m/>
      </sharedItems>
    </cacheField>
    <cacheField name="KODE BRANCH" numFmtId="0">
      <sharedItems containsString="0" containsBlank="1" containsNumber="1" containsInteger="1" minValue="670" maxValue="2292" count="29">
        <n v="2263"/>
        <n v="697"/>
        <n v="2015"/>
        <n v="2277"/>
        <n v="2088"/>
        <n v="2272"/>
        <n v="2207"/>
        <n v="2076"/>
        <n v="2239"/>
        <n v="1102"/>
        <n v="1001"/>
        <n v="1104"/>
        <n v="2278"/>
        <n v="2206"/>
        <n v="2205"/>
        <n v="2089"/>
        <n v="1103"/>
        <n v="2174"/>
        <n v="2091"/>
        <n v="2193"/>
        <n v="2194"/>
        <n v="2279"/>
        <n v="2292"/>
        <n v="1100"/>
        <n v="670"/>
        <n v="2090"/>
        <n v="2145"/>
        <n v="2093"/>
        <m/>
      </sharedItems>
    </cacheField>
    <cacheField name="ESGDESC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T SAU 14" refreshedDate="46287.664149421296" createdVersion="8" refreshedVersion="8" minRefreshableVersion="3" recordCount="59" xr:uid="{A55E70F7-C6B2-4CDF-8215-66A8EBE3C111}">
  <cacheSource type="worksheet">
    <worksheetSource ref="A1:M1048576" sheet="TERAS"/>
  </cacheSource>
  <cacheFields count="13">
    <cacheField name="NIP" numFmtId="0">
      <sharedItems containsBlank="1" containsMixedTypes="1" containsNumber="1" containsInteger="1" minValue="0" maxValue="0"/>
    </cacheField>
    <cacheField name="JOBDESC" numFmtId="0">
      <sharedItems containsBlank="1" count="3">
        <s v="CUSTOMER SERVICE"/>
        <s v="TELLER"/>
        <m/>
      </sharedItems>
    </cacheField>
    <cacheField name="PERNR" numFmtId="0">
      <sharedItems containsString="0" containsBlank="1" containsNumber="1" containsInteger="1" minValue="328405" maxValue="413711"/>
    </cacheField>
    <cacheField name="TIPE UKER" numFmtId="0">
      <sharedItems containsBlank="1"/>
    </cacheField>
    <cacheField name="COMPLETENAME" numFmtId="0">
      <sharedItems containsBlank="1"/>
    </cacheField>
    <cacheField name="KELOMPOK JABATAN" numFmtId="0">
      <sharedItems containsBlank="1"/>
    </cacheField>
    <cacheField name="MCTEXT" numFmtId="0">
      <sharedItems containsBlank="1"/>
    </cacheField>
    <cacheField name="PADESC" numFmtId="0">
      <sharedItems containsBlank="1"/>
    </cacheField>
    <cacheField name="ORGDESC" numFmtId="0">
      <sharedItems containsBlank="1"/>
    </cacheField>
    <cacheField name="CORP. TITLE" numFmtId="0">
      <sharedItems containsBlank="1"/>
    </cacheField>
    <cacheField name="PSADESC" numFmtId="0">
      <sharedItems containsBlank="1"/>
    </cacheField>
    <cacheField name="KODE BRANCH" numFmtId="0">
      <sharedItems containsString="0" containsBlank="1" containsNumber="1" containsInteger="1" minValue="3286" maxValue="8062" count="30">
        <n v="3388"/>
        <n v="3286"/>
        <n v="5611"/>
        <n v="5605"/>
        <n v="5609"/>
        <n v="5628"/>
        <n v="3550"/>
        <n v="3393"/>
        <n v="5675"/>
        <n v="5730"/>
        <n v="5732"/>
        <n v="5729"/>
        <n v="5728"/>
        <n v="5727"/>
        <n v="5736"/>
        <n v="5739"/>
        <n v="5788"/>
        <n v="5761"/>
        <n v="5765"/>
        <n v="7142"/>
        <n v="5764"/>
        <n v="3397"/>
        <n v="3554"/>
        <n v="3395"/>
        <n v="5725"/>
        <n v="3373"/>
        <n v="5604"/>
        <n v="8062"/>
        <n v="5806"/>
        <m/>
      </sharedItems>
    </cacheField>
    <cacheField name="ESGDESC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T SAU 14" refreshedDate="46287.666126388889" createdVersion="8" refreshedVersion="8" minRefreshableVersion="3" recordCount="591" xr:uid="{589A2563-9DD0-4260-B16B-16CB039F5439}">
  <cacheSource type="worksheet">
    <worksheetSource ref="A1:M1048576" sheet="UNIT"/>
  </cacheSource>
  <cacheFields count="13">
    <cacheField name="NIP" numFmtId="0">
      <sharedItems containsBlank="1" containsMixedTypes="1" containsNumber="1" containsInteger="1" minValue="0" maxValue="1"/>
    </cacheField>
    <cacheField name="JOBDESC" numFmtId="0">
      <sharedItems containsBlank="1" count="3">
        <s v="CUSTOMER SERVICE"/>
        <s v="TELLER"/>
        <m/>
      </sharedItems>
    </cacheField>
    <cacheField name="PERNR" numFmtId="0">
      <sharedItems containsString="0" containsBlank="1" containsNumber="1" containsInteger="1" minValue="328351" maxValue="413698"/>
    </cacheField>
    <cacheField name="TIPE UKER" numFmtId="0">
      <sharedItems containsBlank="1"/>
    </cacheField>
    <cacheField name="COMPLETENAME" numFmtId="0">
      <sharedItems containsBlank="1"/>
    </cacheField>
    <cacheField name="KELOMPOK JABATAN" numFmtId="0">
      <sharedItems containsBlank="1"/>
    </cacheField>
    <cacheField name="MCTEXT" numFmtId="0">
      <sharedItems containsBlank="1"/>
    </cacheField>
    <cacheField name="PADESC" numFmtId="0">
      <sharedItems containsBlank="1"/>
    </cacheField>
    <cacheField name="ORGDESC" numFmtId="0">
      <sharedItems containsBlank="1"/>
    </cacheField>
    <cacheField name="CORP. TITLE" numFmtId="0">
      <sharedItems containsBlank="1"/>
    </cacheField>
    <cacheField name="PSADESC" numFmtId="0">
      <sharedItems containsBlank="1"/>
    </cacheField>
    <cacheField name="KODE BRANCH" numFmtId="0">
      <sharedItems containsString="0" containsBlank="1" containsNumber="1" containsInteger="1" minValue="3286" maxValue="8162" count="218">
        <n v="5630"/>
        <n v="7042"/>
        <n v="5631"/>
        <n v="5633"/>
        <n v="5714"/>
        <n v="7105"/>
        <n v="7103"/>
        <n v="7767"/>
        <n v="7338"/>
        <n v="7608"/>
        <n v="3389"/>
        <n v="5603"/>
        <n v="5602"/>
        <n v="7339"/>
        <n v="3388"/>
        <n v="7102"/>
        <n v="7663"/>
        <n v="8149"/>
        <n v="8052"/>
        <n v="5610"/>
        <n v="5606"/>
        <n v="5608"/>
        <n v="3286"/>
        <n v="5613"/>
        <n v="8150"/>
        <n v="7412"/>
        <n v="5611"/>
        <n v="5612"/>
        <n v="5609"/>
        <n v="5605"/>
        <n v="5614"/>
        <n v="7041"/>
        <n v="5607"/>
        <n v="5722"/>
        <n v="5632"/>
        <n v="5634"/>
        <n v="5718"/>
        <n v="5635"/>
        <n v="3552"/>
        <n v="5721"/>
        <n v="5628"/>
        <n v="5629"/>
        <n v="5638"/>
        <n v="5647"/>
        <n v="5645"/>
        <n v="5644"/>
        <n v="5641"/>
        <n v="5643"/>
        <n v="5636"/>
        <n v="5640"/>
        <n v="7217"/>
        <n v="5637"/>
        <n v="5648"/>
        <n v="5642"/>
        <n v="7786"/>
        <n v="5646"/>
        <n v="7785"/>
        <n v="7432"/>
        <n v="5670"/>
        <n v="5666"/>
        <n v="5667"/>
        <n v="7850"/>
        <n v="7104"/>
        <n v="7288"/>
        <n v="5671"/>
        <n v="7289"/>
        <n v="5668"/>
        <n v="8144"/>
        <n v="7080"/>
        <n v="7739"/>
        <n v="5669"/>
        <n v="7738"/>
        <n v="5675"/>
        <n v="7461"/>
        <n v="3550"/>
        <n v="5673"/>
        <n v="5672"/>
        <n v="5674"/>
        <n v="3393"/>
        <n v="7045"/>
        <n v="5682"/>
        <n v="5683"/>
        <n v="5677"/>
        <n v="5680"/>
        <n v="5679"/>
        <n v="5676"/>
        <n v="7606"/>
        <n v="7607"/>
        <n v="7046"/>
        <n v="5681"/>
        <n v="5678"/>
        <n v="8058"/>
        <n v="8057"/>
        <n v="8056"/>
        <n v="5716"/>
        <n v="7048"/>
        <n v="5715"/>
        <n v="5720"/>
        <n v="3553"/>
        <n v="5719"/>
        <n v="5717"/>
        <n v="7049"/>
        <n v="7106"/>
        <n v="7915"/>
        <n v="5713"/>
        <n v="7177"/>
        <n v="8152"/>
        <n v="5723"/>
        <n v="5724"/>
        <n v="8153"/>
        <n v="7462"/>
        <n v="7047"/>
        <n v="8151"/>
        <n v="5730"/>
        <n v="5731"/>
        <n v="5732"/>
        <n v="5727"/>
        <n v="5728"/>
        <n v="5729"/>
        <n v="5736"/>
        <n v="5737"/>
        <n v="5733"/>
        <n v="5734"/>
        <n v="5735"/>
        <n v="5738"/>
        <n v="5762"/>
        <n v="5750"/>
        <n v="5742"/>
        <n v="5740"/>
        <n v="8059"/>
        <n v="5747"/>
        <n v="5755"/>
        <n v="5758"/>
        <n v="7054"/>
        <n v="5743"/>
        <n v="7751"/>
        <n v="8060"/>
        <n v="5749"/>
        <n v="5753"/>
        <n v="5763"/>
        <n v="5746"/>
        <n v="5745"/>
        <n v="7975"/>
        <n v="7770"/>
        <n v="5739"/>
        <n v="5761"/>
        <n v="5757"/>
        <n v="5788"/>
        <n v="3396"/>
        <n v="5756"/>
        <n v="5765"/>
        <n v="7691"/>
        <n v="5767"/>
        <n v="5764"/>
        <n v="3397"/>
        <n v="5766"/>
        <n v="7142"/>
        <n v="3696"/>
        <n v="7141"/>
        <n v="7690"/>
        <n v="7499"/>
        <n v="7108"/>
        <n v="5768"/>
        <n v="5770"/>
        <n v="3556"/>
        <n v="8099"/>
        <n v="5726"/>
        <n v="5769"/>
        <n v="7044"/>
        <n v="3557"/>
        <n v="5725"/>
        <n v="7360"/>
        <n v="3395"/>
        <n v="3554"/>
        <n v="8162"/>
        <n v="7178"/>
        <n v="7902"/>
        <n v="8062"/>
        <n v="7498"/>
        <n v="3373"/>
        <n v="7101"/>
        <n v="5604"/>
        <n v="7186"/>
        <n v="5787"/>
        <n v="3558"/>
        <n v="5784"/>
        <n v="5782"/>
        <n v="5786"/>
        <n v="7196"/>
        <n v="7454"/>
        <n v="5783"/>
        <n v="5785"/>
        <n v="7671"/>
        <n v="7219"/>
        <n v="5791"/>
        <n v="5789"/>
        <n v="7889"/>
        <n v="5793"/>
        <n v="7050"/>
        <n v="7051"/>
        <n v="5792"/>
        <n v="3555"/>
        <n v="8100"/>
        <n v="7139"/>
        <n v="7052"/>
        <n v="7527"/>
        <n v="5790"/>
        <n v="3559"/>
        <n v="3560"/>
        <n v="5805"/>
        <n v="7520"/>
        <n v="5803"/>
        <n v="5804"/>
        <n v="7140"/>
        <n v="7916"/>
        <n v="5806"/>
        <n v="8061"/>
        <m/>
      </sharedItems>
    </cacheField>
    <cacheField name="ESGDESC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T SAU 14" refreshedDate="46287.680870370372" createdVersion="8" refreshedVersion="8" minRefreshableVersion="3" recordCount="15" xr:uid="{85EA9114-CDAE-4886-9C53-087543C93594}">
  <cacheSource type="worksheet">
    <worksheetSource ref="A1:M1048576" sheet="KK"/>
  </cacheSource>
  <cacheFields count="13">
    <cacheField name="NIP" numFmtId="0">
      <sharedItems containsBlank="1" containsMixedTypes="1" containsNumber="1" containsInteger="1" minValue="0" maxValue="0"/>
    </cacheField>
    <cacheField name="JOBDESC" numFmtId="0">
      <sharedItems containsBlank="1" count="3">
        <s v="CUSTOMER SERVICE"/>
        <s v="TELLER"/>
        <m/>
      </sharedItems>
    </cacheField>
    <cacheField name="PERNR" numFmtId="0">
      <sharedItems containsString="0" containsBlank="1" containsNumber="1" containsInteger="1" minValue="342034" maxValue="409371"/>
    </cacheField>
    <cacheField name="TIPE UKER" numFmtId="0">
      <sharedItems containsBlank="1"/>
    </cacheField>
    <cacheField name="COMPLETENAME" numFmtId="0">
      <sharedItems containsBlank="1"/>
    </cacheField>
    <cacheField name="KELOMPOK JABATAN" numFmtId="0">
      <sharedItems containsBlank="1"/>
    </cacheField>
    <cacheField name="MCTEXT" numFmtId="0">
      <sharedItems containsBlank="1"/>
    </cacheField>
    <cacheField name="PADESC" numFmtId="0">
      <sharedItems containsBlank="1"/>
    </cacheField>
    <cacheField name="ORGDESC" numFmtId="0">
      <sharedItems containsBlank="1"/>
    </cacheField>
    <cacheField name="CORP. TITLE" numFmtId="0">
      <sharedItems containsBlank="1"/>
    </cacheField>
    <cacheField name="PSADESC" numFmtId="0">
      <sharedItems containsBlank="1"/>
    </cacheField>
    <cacheField name="KODE BRANCH" numFmtId="0">
      <sharedItems containsString="0" containsBlank="1" containsNumber="1" containsInteger="1" minValue="20" maxValue="179" count="5">
        <n v="20"/>
        <n v="179"/>
        <n v="59"/>
        <n v="63"/>
        <m/>
      </sharedItems>
    </cacheField>
    <cacheField name="ESGDESC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T SAU 14" refreshedDate="46287.688556944442" createdVersion="8" refreshedVersion="8" minRefreshableVersion="3" recordCount="28" xr:uid="{2B87BECE-1E52-49E9-968A-9CACF90CA63D}">
  <cacheSource type="worksheet">
    <worksheetSource ref="D3:N31" sheet="F KCP"/>
  </cacheSource>
  <cacheFields count="11">
    <cacheField name="KANTOR CABANG" numFmtId="0">
      <sharedItems count="15">
        <s v="KC Tanjung Pandan"/>
        <s v="KC Sungai Liat"/>
        <s v="KC Sekayu"/>
        <s v="KC Rimbo Bujang"/>
        <s v="KC Prabumulih"/>
        <s v="KC Pangkal Pinang"/>
        <s v="KC Palembang Sriwijaya"/>
        <s v="KC Palembang A. Rivai"/>
        <s v="KC Muara Enim"/>
        <s v="KC Muara Bulian"/>
        <s v="KC Lahat"/>
        <s v="KC Kuala Tungkal"/>
        <s v="KC Kayu Agung"/>
        <s v="KC Jambi"/>
        <s v="KC Baturaja"/>
      </sharedItems>
    </cacheField>
    <cacheField name="KODE KCP" numFmtId="0">
      <sharedItems containsSemiMixedTypes="0" containsString="0" containsNumber="1" containsInteger="1" minValue="670" maxValue="2292"/>
    </cacheField>
    <cacheField name="CABANG PEMBANTU" numFmtId="0">
      <sharedItems/>
    </cacheField>
    <cacheField name="KELAS KCP" numFmtId="0">
      <sharedItems/>
    </cacheField>
    <cacheField name="PERIODE" numFmtId="0">
      <sharedItems/>
    </cacheField>
    <cacheField name="Formasi Customer Service" numFmtId="0">
      <sharedItems containsSemiMixedTypes="0" containsString="0" containsNumber="1" containsInteger="1" minValue="1" maxValue="2"/>
    </cacheField>
    <cacheField name="Existing" numFmtId="0">
      <sharedItems containsSemiMixedTypes="0" containsString="0" containsNumber="1" containsInteger="1" minValue="1" maxValue="2"/>
    </cacheField>
    <cacheField name="GAP" numFmtId="0">
      <sharedItems containsSemiMixedTypes="0" containsString="0" containsNumber="1" containsInteger="1" minValue="-1" maxValue="0"/>
    </cacheField>
    <cacheField name="Formasi Teller" numFmtId="0">
      <sharedItems containsSemiMixedTypes="0" containsString="0" containsNumber="1" containsInteger="1" minValue="1" maxValue="2"/>
    </cacheField>
    <cacheField name="Existing2" numFmtId="0">
      <sharedItems containsSemiMixedTypes="0" containsString="0" containsNumber="1" containsInteger="1" minValue="1" maxValue="2"/>
    </cacheField>
    <cacheField name="GAP2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T SAU 14" refreshedDate="46287.714646527776" createdVersion="8" refreshedVersion="8" minRefreshableVersion="3" recordCount="270" xr:uid="{C928C057-8609-4CEB-8D65-9B9E64A13A9D}">
  <cacheSource type="worksheet">
    <worksheetSource ref="D3:M273" sheet="F UNIT"/>
  </cacheSource>
  <cacheFields count="10">
    <cacheField name="KANTOR CABANG" numFmtId="0">
      <sharedItems count="21">
        <s v="KC Sarolangun"/>
        <s v="KC Pangkal Pinang"/>
        <s v="KC Tanjung Pandan"/>
        <s v="KC Palembang Sriwijaya"/>
        <s v="KC Pagar Alam"/>
        <s v="KC Muara Enim"/>
        <s v="KC Rimbo Bujang"/>
        <s v="KC Muara Bungo"/>
        <s v="KC Lubuk Linggau"/>
        <s v="KC Lahat"/>
        <s v="KC Kuala Tungkal"/>
        <s v="KC Jambi"/>
        <s v="KC Baturaja"/>
        <s v="KC Bangko"/>
        <s v="KC Prabumulih"/>
        <s v="KC Palembang A. Rivai"/>
        <s v="KC Sekayu"/>
        <s v="KC Sungai Liat"/>
        <s v="KC Kayu Agung"/>
        <s v="KC Muara Bulian"/>
        <s v="KC Abunjani Sipin"/>
      </sharedItems>
    </cacheField>
    <cacheField name="KODE UNIT" numFmtId="0">
      <sharedItems containsSemiMixedTypes="0" containsString="0" containsNumber="1" containsInteger="1" minValue="3286" maxValue="8162"/>
    </cacheField>
    <cacheField name="TYPE UNIT" numFmtId="0">
      <sharedItems containsNonDate="0" containsString="0" containsBlank="1"/>
    </cacheField>
    <cacheField name="UNIT/TERAS" numFmtId="0">
      <sharedItems/>
    </cacheField>
    <cacheField name="Formasi Customer Service Unit" numFmtId="0">
      <sharedItems containsSemiMixedTypes="0" containsString="0" containsNumber="1" containsInteger="1" minValue="0" maxValue="3"/>
    </cacheField>
    <cacheField name="Existing" numFmtId="0">
      <sharedItems containsSemiMixedTypes="0" containsString="0" containsNumber="1" containsInteger="1" minValue="0" maxValue="2"/>
    </cacheField>
    <cacheField name="GAP" numFmtId="0">
      <sharedItems containsSemiMixedTypes="0" containsString="0" containsNumber="1" containsInteger="1" minValue="-2" maxValue="1"/>
    </cacheField>
    <cacheField name="Formasi Teller Unit" numFmtId="0">
      <sharedItems containsSemiMixedTypes="0" containsString="0" containsNumber="1" containsInteger="1" minValue="0" maxValue="2"/>
    </cacheField>
    <cacheField name="Existing2" numFmtId="0">
      <sharedItems containsSemiMixedTypes="0" containsString="0" containsNumber="1" containsInteger="1" minValue="0" maxValue="2"/>
    </cacheField>
    <cacheField name="GAP2" numFmtId="0">
      <sharedItems containsSemiMixedTypes="0" containsString="0" containsNumber="1" containsInteger="1" minValue="-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T SAU 14" refreshedDate="46287.715821064812" createdVersion="8" refreshedVersion="8" minRefreshableVersion="3" recordCount="9" xr:uid="{97B6082D-CACB-45FC-9E66-9768A7BE3D91}">
  <cacheSource type="worksheet">
    <worksheetSource ref="D3:M12" sheet="F KK"/>
  </cacheSource>
  <cacheFields count="10">
    <cacheField name="KANTOR CABANG" numFmtId="0">
      <sharedItems count="4">
        <s v="KC Pangkal Pinang"/>
        <s v="KC Palembang A. Rivai"/>
        <s v="KC Kuala Tungkal"/>
        <s v="KC Jambi"/>
      </sharedItems>
    </cacheField>
    <cacheField name="KODE KK" numFmtId="0">
      <sharedItems containsSemiMixedTypes="0" containsString="0" containsNumber="1" containsInteger="1" minValue="1304" maxValue="1887"/>
    </cacheField>
    <cacheField name="KANTOR KAS" numFmtId="0">
      <sharedItems/>
    </cacheField>
    <cacheField name="PERIODE" numFmtId="0">
      <sharedItems/>
    </cacheField>
    <cacheField name="Formasi Customer Service" numFmtId="0">
      <sharedItems containsSemiMixedTypes="0" containsString="0" containsNumber="1" containsInteger="1" minValue="0" maxValue="1"/>
    </cacheField>
    <cacheField name="Existing" numFmtId="0">
      <sharedItems containsSemiMixedTypes="0" containsString="0" containsNumber="1" containsInteger="1" minValue="0" maxValue="1"/>
    </cacheField>
    <cacheField name="GAP" numFmtId="0">
      <sharedItems containsSemiMixedTypes="0" containsString="0" containsNumber="1" containsInteger="1" minValue="-1" maxValue="0"/>
    </cacheField>
    <cacheField name="Formasi Teller" numFmtId="0">
      <sharedItems containsSemiMixedTypes="0" containsString="0" containsNumber="1" containsInteger="1" minValue="1" maxValue="1"/>
    </cacheField>
    <cacheField name="Existing2" numFmtId="0">
      <sharedItems containsSemiMixedTypes="0" containsString="0" containsNumber="1" containsInteger="1" minValue="1" maxValue="1"/>
    </cacheField>
    <cacheField name="GAP2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x v="0"/>
    <x v="0"/>
    <n v="379367"/>
    <s v="KC"/>
    <s v="Elsa Sonya Carentina"/>
    <s v="Customer Service"/>
    <s v="KC ABUNJANI SIPIN"/>
    <s v="KC Abunjani Sipin"/>
    <s v="Kontrak Teller/CS"/>
  </r>
  <r>
    <x v="0"/>
    <x v="0"/>
    <n v="393712"/>
    <s v="KC"/>
    <s v="Dita Zahrah Asna"/>
    <s v="Customer Service"/>
    <s v="KC ABUNJANI SIPIN"/>
    <s v="KC Abunjani Sipin"/>
    <s v="Kontrak Teller/CS"/>
  </r>
  <r>
    <x v="0"/>
    <x v="1"/>
    <n v="413039"/>
    <s v="KC"/>
    <s v="Caecar Janu Dilaga"/>
    <s v="Teller"/>
    <s v="KC ABUNJANI SIPIN"/>
    <s v="KC Abunjani Sipin"/>
    <s v="Peserta Magang"/>
  </r>
  <r>
    <x v="0"/>
    <x v="1"/>
    <n v="413242"/>
    <s v="KC"/>
    <s v="Siti Nabilah Khairunnisa"/>
    <s v="Teller"/>
    <s v="KC ABUNJANI SIPIN"/>
    <s v="KC Abunjani Sipin"/>
    <s v="Peserta Magang"/>
  </r>
  <r>
    <x v="0"/>
    <x v="2"/>
    <n v="341871"/>
    <s v="KC"/>
    <s v="Gusti Riski Permata"/>
    <s v="Universal Banker - KC/KCP/KK"/>
    <s v="KC ABUNJANI SIPIN"/>
    <s v="KC Abunjani Sipin"/>
    <s v="Kontrak Teller/CS"/>
  </r>
  <r>
    <x v="1"/>
    <x v="0"/>
    <n v="359715"/>
    <s v="KC"/>
    <s v="Agness Alifiana"/>
    <s v="Customer Service"/>
    <s v="KC BANGKO"/>
    <s v="KC Bangko"/>
    <s v="Kontrak Teller/CS"/>
  </r>
  <r>
    <x v="1"/>
    <x v="0"/>
    <n v="366663"/>
    <s v="KC"/>
    <s v="Indah Sari Mawardah"/>
    <s v="Customer Service"/>
    <s v="KC BANGKO"/>
    <s v="KC Bangko"/>
    <s v="Kontrak Teller/CS"/>
  </r>
  <r>
    <x v="1"/>
    <x v="0"/>
    <n v="375483"/>
    <s v="KC"/>
    <s v="Feby Savva Kharisma"/>
    <s v="Customer Service"/>
    <s v="KC BANGKO"/>
    <s v="KC Bangko"/>
    <s v="Kontrak Teller/CS"/>
  </r>
  <r>
    <x v="1"/>
    <x v="1"/>
    <n v="392496"/>
    <s v="KC"/>
    <s v="Zella Andhira"/>
    <s v="Teller"/>
    <s v="KC BANGKO"/>
    <s v="KC Bangko"/>
    <s v="Peserta Magang"/>
  </r>
  <r>
    <x v="1"/>
    <x v="1"/>
    <n v="404603"/>
    <s v="KC"/>
    <s v="Aini Cahya Adela"/>
    <s v="Teller"/>
    <s v="KC BANGKO"/>
    <s v="KC Bangko"/>
    <s v="Kontrak Teller/CS"/>
  </r>
  <r>
    <x v="1"/>
    <x v="1"/>
    <n v="406882"/>
    <s v="KC"/>
    <s v="Putri Ratu Heika"/>
    <s v="Teller"/>
    <s v="KC BANGKO"/>
    <s v="KC Bangko"/>
    <s v="Peserta Magang"/>
  </r>
  <r>
    <x v="1"/>
    <x v="2"/>
    <n v="344836"/>
    <s v="KC"/>
    <s v="Anggi Thamrin"/>
    <s v="Universal Banker - KC/KCP/KK"/>
    <s v="KC BANGKO"/>
    <s v="KC Bangko"/>
    <s v="Kontrak Teller/CS"/>
  </r>
  <r>
    <x v="2"/>
    <x v="0"/>
    <n v="328388"/>
    <s v="KC"/>
    <s v="R. Modyta Thalia"/>
    <s v="Customer Service"/>
    <s v="KC BATURAJA"/>
    <s v="KC Baturaja"/>
    <s v="Kontrak Teller/CS"/>
  </r>
  <r>
    <x v="2"/>
    <x v="0"/>
    <n v="343559"/>
    <s v="KC"/>
    <s v="Utary Erika Putri"/>
    <s v="Customer Service"/>
    <s v="KC BATURAJA"/>
    <s v="KC Baturaja"/>
    <s v="Kontrak Teller/CS"/>
  </r>
  <r>
    <x v="2"/>
    <x v="0"/>
    <n v="349710"/>
    <s v="KC"/>
    <s v="Cindy Julian Laurensia"/>
    <s v="Customer Service"/>
    <s v="KC BATURAJA"/>
    <s v="KC Baturaja"/>
    <s v="Kontrak Teller/CS"/>
  </r>
  <r>
    <x v="2"/>
    <x v="0"/>
    <n v="394583"/>
    <s v="KC"/>
    <s v="Brenda Tiffhanie"/>
    <s v="Customer Service"/>
    <s v="KC BATURAJA"/>
    <s v="KC Baturaja"/>
    <s v="Kontrak Teller/CS"/>
  </r>
  <r>
    <x v="2"/>
    <x v="1"/>
    <n v="392518"/>
    <s v="KC"/>
    <s v="Krolita Serlika"/>
    <s v="Teller"/>
    <s v="KC BATURAJA"/>
    <s v="KC Baturaja"/>
    <s v="Peserta Magang"/>
  </r>
  <r>
    <x v="2"/>
    <x v="1"/>
    <n v="404628"/>
    <s v="KC"/>
    <s v="Syahir Rifki"/>
    <s v="Teller"/>
    <s v="KC BATURAJA"/>
    <s v="KC Baturaja"/>
    <s v="Peserta Magang"/>
  </r>
  <r>
    <x v="2"/>
    <x v="1"/>
    <n v="406658"/>
    <s v="KC"/>
    <s v="Salsabillah"/>
    <s v="Teller"/>
    <s v="KC BATURAJA"/>
    <s v="KC Baturaja"/>
    <s v="Kontrak Teller/CS"/>
  </r>
  <r>
    <x v="2"/>
    <x v="1"/>
    <n v="409258"/>
    <s v="KC"/>
    <s v="Astriyani"/>
    <s v="Teller"/>
    <s v="KC BATURAJA"/>
    <s v="KC Baturaja"/>
    <s v="Peserta Magang"/>
  </r>
  <r>
    <x v="2"/>
    <x v="3"/>
    <n v="409261"/>
    <s v="KC"/>
    <s v="Cindra Permatasari"/>
    <s v="Teller (Buffer HCD)"/>
    <s v="KC BATURAJA"/>
    <s v="KC Baturaja"/>
    <s v="Peserta Magang"/>
  </r>
  <r>
    <x v="2"/>
    <x v="2"/>
    <n v="347098"/>
    <s v="KC"/>
    <s v="Lidya Merry Safitri"/>
    <s v="Universal Banker - KC/KCP/KK"/>
    <s v="KC BATURAJA"/>
    <s v="KC Baturaja"/>
    <s v="Kontrak Teller/CS"/>
  </r>
  <r>
    <x v="3"/>
    <x v="0"/>
    <n v="335849"/>
    <s v="KC"/>
    <s v="Nabilla Azzahra"/>
    <s v="Customer Service"/>
    <s v="KC JAMBI"/>
    <s v="KC Jambi"/>
    <s v="Kontrak Teller/CS"/>
  </r>
  <r>
    <x v="3"/>
    <x v="0"/>
    <n v="359082"/>
    <s v="KC"/>
    <s v="Febby Riza Azzahra"/>
    <s v="Customer Service"/>
    <s v="KC JAMBI"/>
    <s v="KC Jambi"/>
    <s v="Kontrak Teller/CS"/>
  </r>
  <r>
    <x v="3"/>
    <x v="1"/>
    <n v="400050"/>
    <s v="KC"/>
    <s v="Kania Resta"/>
    <s v="Teller"/>
    <s v="KC JAMBI"/>
    <s v="KC Jambi"/>
    <s v="Kontrak Teller/CS"/>
  </r>
  <r>
    <x v="3"/>
    <x v="1"/>
    <n v="400115"/>
    <s v="KC"/>
    <s v="Clarissa Sabilla"/>
    <s v="Teller"/>
    <s v="KC JAMBI"/>
    <s v="KC Jambi"/>
    <s v="Peserta Magang"/>
  </r>
  <r>
    <x v="3"/>
    <x v="1"/>
    <n v="401879"/>
    <s v="KC"/>
    <s v="Sabrina Audre Yasmin"/>
    <s v="Teller"/>
    <s v="KC JAMBI"/>
    <s v="KC Jambi"/>
    <s v="Peserta Magang"/>
  </r>
  <r>
    <x v="3"/>
    <x v="1"/>
    <n v="408919"/>
    <s v="KC"/>
    <s v="Audry Kaulansyah"/>
    <s v="Teller"/>
    <s v="KC JAMBI"/>
    <s v="KC Jambi"/>
    <s v="Peserta Magang"/>
  </r>
  <r>
    <x v="3"/>
    <x v="2"/>
    <n v="339811"/>
    <s v="KC"/>
    <s v="Virta Yuli Anisa"/>
    <s v="Universal Banker - KC/KCP/KK"/>
    <s v="KC JAMBI"/>
    <s v="KC Jambi"/>
    <s v="Kontrak Teller/CS"/>
  </r>
  <r>
    <x v="3"/>
    <x v="2"/>
    <n v="352163"/>
    <s v="KC"/>
    <s v="Wiyono"/>
    <s v="Universal Banker - KC/KCP/KK"/>
    <s v="KC JAMBI"/>
    <s v="KC Jambi"/>
    <s v="Kontrak Teller/CS"/>
  </r>
  <r>
    <x v="3"/>
    <x v="2"/>
    <n v="384470"/>
    <s v="KC"/>
    <s v="Roslin Lieta Adventina Siahaan"/>
    <s v="Universal Banker - KC/KCP/KK"/>
    <s v="KC JAMBI"/>
    <s v="KC Jambi"/>
    <s v="Kontrak Teller/CS"/>
  </r>
  <r>
    <x v="3"/>
    <x v="2"/>
    <n v="410214"/>
    <s v="KC"/>
    <s v="Meilan Dea Frisca"/>
    <s v="Universal Banker - KC/KCP/KK"/>
    <s v="KC JAMBI"/>
    <s v="KC Jambi"/>
    <s v="Percobaan"/>
  </r>
  <r>
    <x v="4"/>
    <x v="0"/>
    <n v="364769"/>
    <s v="KC"/>
    <s v="Claudia Pertiwi"/>
    <s v="Customer Service"/>
    <s v="KC KAYU AGUNG"/>
    <s v="KC Kayu Agung"/>
    <s v="Kontrak Teller/CS"/>
  </r>
  <r>
    <x v="4"/>
    <x v="0"/>
    <n v="377473"/>
    <s v="KC"/>
    <s v="Alfina Suliswati"/>
    <s v="Customer Service"/>
    <s v="KC KAYU AGUNG"/>
    <s v="KC Kayu Agung"/>
    <s v="Kontrak Teller/CS"/>
  </r>
  <r>
    <x v="4"/>
    <x v="1"/>
    <n v="375667"/>
    <s v="KC"/>
    <s v="Adela Rastavela"/>
    <s v="Teller"/>
    <s v="KC KAYU AGUNG"/>
    <s v="KC Kayu Agung"/>
    <s v="Peserta Magang"/>
  </r>
  <r>
    <x v="4"/>
    <x v="1"/>
    <n v="391810"/>
    <s v="KC"/>
    <s v="Regina Patrisia"/>
    <s v="Teller"/>
    <s v="KC KAYU AGUNG"/>
    <s v="KC Kayu Agung"/>
    <s v="Peserta Magang"/>
  </r>
  <r>
    <x v="4"/>
    <x v="1"/>
    <n v="407422"/>
    <s v="KC"/>
    <s v="Sisil Lindia Putri"/>
    <s v="Teller"/>
    <s v="KC KAYU AGUNG"/>
    <s v="KC Kayu Agung"/>
    <s v="Kontrak Teller/CS"/>
  </r>
  <r>
    <x v="4"/>
    <x v="2"/>
    <n v="335633"/>
    <s v="KC"/>
    <s v="Rizka Aniza"/>
    <s v="Universal Banker - KC/KCP/KK"/>
    <s v="KC KAYU AGUNG"/>
    <s v="KC Kayu Agung"/>
    <s v="Kontrak Teller/CS"/>
  </r>
  <r>
    <x v="5"/>
    <x v="0"/>
    <n v="381400"/>
    <s v="KC"/>
    <s v="Artina Mayunita"/>
    <s v="Customer Service"/>
    <s v="KC KUALA TUNGKAL"/>
    <s v="KC Kuala Tungkal"/>
    <s v="Kontrak Teller/CS"/>
  </r>
  <r>
    <x v="5"/>
    <x v="0"/>
    <n v="393389"/>
    <s v="KC"/>
    <s v="Mayang Tri Pertiwi"/>
    <s v="Customer Service"/>
    <s v="KC KUALA TUNGKAL"/>
    <s v="KC Kuala Tungkal"/>
    <s v="Kontrak Teller/CS"/>
  </r>
  <r>
    <x v="5"/>
    <x v="1"/>
    <n v="387744"/>
    <s v="KC"/>
    <s v="Rizky Amelia"/>
    <s v="Teller"/>
    <s v="KC KUALA TUNGKAL"/>
    <s v="KC Kuala Tungkal"/>
    <s v="Peserta Magang"/>
  </r>
  <r>
    <x v="5"/>
    <x v="1"/>
    <n v="405303"/>
    <s v="KC"/>
    <s v="Indah Hermawati"/>
    <s v="Teller"/>
    <s v="KC KUALA TUNGKAL"/>
    <s v="KC Kuala Tungkal"/>
    <s v="Peserta Magang"/>
  </r>
  <r>
    <x v="5"/>
    <x v="1"/>
    <n v="413240"/>
    <s v="KC"/>
    <s v="Mustika Pamungkas"/>
    <s v="Teller"/>
    <s v="KC KUALA TUNGKAL"/>
    <s v="KC Kuala Tungkal"/>
    <s v="Peserta Magang"/>
  </r>
  <r>
    <x v="5"/>
    <x v="2"/>
    <n v="364545"/>
    <s v="KC"/>
    <s v="Ratna Hidayati"/>
    <s v="Universal Banker - KC/KCP/KK"/>
    <s v="KC KUALA TUNGKAL"/>
    <s v="KC Kuala Tungkal"/>
    <s v="Kontrak Teller/CS"/>
  </r>
  <r>
    <x v="6"/>
    <x v="0"/>
    <n v="352165"/>
    <s v="KC"/>
    <s v="Rendi Darma Syahputra"/>
    <s v="Customer Service"/>
    <s v="KC LAHAT"/>
    <s v="KC Lahat"/>
    <s v="Kontrak Teller/CS"/>
  </r>
  <r>
    <x v="6"/>
    <x v="0"/>
    <n v="378201"/>
    <s v="KC"/>
    <s v="Muhamad Fahjar"/>
    <s v="Customer Service"/>
    <s v="KC LAHAT"/>
    <s v="KC Lahat"/>
    <s v="PT (Pens. 36th)"/>
  </r>
  <r>
    <x v="6"/>
    <x v="1"/>
    <n v="381186"/>
    <s v="KC"/>
    <s v="Miftah Ferdiansyah"/>
    <s v="Teller"/>
    <s v="KC LAHAT"/>
    <s v="KC Lahat"/>
    <s v="Peserta Magang"/>
  </r>
  <r>
    <x v="6"/>
    <x v="1"/>
    <n v="404355"/>
    <s v="KC"/>
    <s v="Rizka Amalia"/>
    <s v="Teller"/>
    <s v="KC LAHAT"/>
    <s v="KC Lahat"/>
    <s v="Peserta Magang"/>
  </r>
  <r>
    <x v="6"/>
    <x v="1"/>
    <n v="413063"/>
    <s v="KC"/>
    <s v="Muhammad Nando Rivaldi"/>
    <s v="Teller"/>
    <s v="KC LAHAT"/>
    <s v="KC Lahat"/>
    <s v="Peserta Magang"/>
  </r>
  <r>
    <x v="6"/>
    <x v="3"/>
    <n v="413702"/>
    <s v="KC"/>
    <s v="Mia Azzahra"/>
    <s v="Teller (Buffer HCD)"/>
    <s v="KC LAHAT"/>
    <s v="KC Lahat"/>
    <s v="Peserta Magang"/>
  </r>
  <r>
    <x v="6"/>
    <x v="2"/>
    <n v="328399"/>
    <s v="KC"/>
    <s v="Aprillya Djunaidah Putri"/>
    <s v="Universal Banker - KC/KCP/KK"/>
    <s v="KC LAHAT"/>
    <s v="KC Lahat"/>
    <s v="Kontrak Teller/CS"/>
  </r>
  <r>
    <x v="7"/>
    <x v="0"/>
    <n v="375523"/>
    <s v="KC"/>
    <s v="Dea Destianingsih"/>
    <s v="Customer Service"/>
    <s v="KC LUBUK LINGGAU"/>
    <s v="KC Lubuk Linggau"/>
    <s v="Kontrak Teller/CS"/>
  </r>
  <r>
    <x v="7"/>
    <x v="0"/>
    <n v="379366"/>
    <s v="KC"/>
    <s v="Laurensia Ayu Paramitha"/>
    <s v="Customer Service"/>
    <s v="KC LUBUK LINGGAU"/>
    <s v="KC Lubuk Linggau"/>
    <s v="Kontrak Teller/CS"/>
  </r>
  <r>
    <x v="7"/>
    <x v="1"/>
    <n v="386996"/>
    <s v="KC"/>
    <s v="Sabna Vebriani"/>
    <s v="Teller"/>
    <s v="KC LUBUK LINGGAU"/>
    <s v="KC Lubuk Linggau"/>
    <s v="Peserta Magang"/>
  </r>
  <r>
    <x v="7"/>
    <x v="1"/>
    <n v="410696"/>
    <s v="KC"/>
    <s v="Amirah Sabrina"/>
    <s v="Teller"/>
    <s v="KC LUBUK LINGGAU"/>
    <s v="KC Lubuk Linggau"/>
    <s v="Kontrak Teller/CS"/>
  </r>
  <r>
    <x v="7"/>
    <x v="1"/>
    <n v="412920"/>
    <s v="KC"/>
    <s v="Andini Dwipatricia"/>
    <s v="Teller"/>
    <s v="KC LUBUK LINGGAU"/>
    <s v="KC Lubuk Linggau"/>
    <s v="Peserta Magang"/>
  </r>
  <r>
    <x v="7"/>
    <x v="1"/>
    <n v="412921"/>
    <s v="KC"/>
    <s v="Fely Ardevi Efendi Nungci"/>
    <s v="Teller"/>
    <s v="KC LUBUK LINGGAU"/>
    <s v="KC Lubuk Linggau"/>
    <s v="Peserta Magang"/>
  </r>
  <r>
    <x v="7"/>
    <x v="2"/>
    <n v="336815"/>
    <s v="KC"/>
    <s v="Hana Mahsa Almira"/>
    <s v="Universal Banker - KC/KCP/KK"/>
    <s v="KC LUBUK LINGGAU"/>
    <s v="KC Lubuk Linggau"/>
    <s v="Kontrak Teller/CS"/>
  </r>
  <r>
    <x v="8"/>
    <x v="0"/>
    <n v="382051"/>
    <s v="KC"/>
    <s v="A Syafrudin Fiqri"/>
    <s v="Customer Service"/>
    <s v="KC MUARA BULIAN"/>
    <s v="KC Muara Bulian"/>
    <s v="Kontrak Teller/CS"/>
  </r>
  <r>
    <x v="8"/>
    <x v="0"/>
    <n v="400458"/>
    <s v="KC"/>
    <s v="Angri Fameliani"/>
    <s v="Customer Service"/>
    <s v="KC MUARA BULIAN"/>
    <s v="KC Muara Bulian"/>
    <s v="Kontrak Teller/CS"/>
  </r>
  <r>
    <x v="8"/>
    <x v="1"/>
    <n v="391163"/>
    <s v="KC"/>
    <s v="Nabila Athaya Faiz"/>
    <s v="Teller"/>
    <s v="KC MUARA BULIAN"/>
    <s v="KC Muara Bulian"/>
    <s v="Peserta Magang"/>
  </r>
  <r>
    <x v="8"/>
    <x v="1"/>
    <n v="405957"/>
    <s v="KC"/>
    <s v="Tamara Tri Blenzisky"/>
    <s v="Teller"/>
    <s v="KC MUARA BULIAN"/>
    <s v="KC Muara Bulian"/>
    <s v="Peserta Magang"/>
  </r>
  <r>
    <x v="8"/>
    <x v="1"/>
    <n v="407218"/>
    <s v="KC"/>
    <s v="Cintha Aulia Putri"/>
    <s v="Teller"/>
    <s v="KC MUARA BULIAN"/>
    <s v="KC Muara Bulian"/>
    <s v="Peserta Magang"/>
  </r>
  <r>
    <x v="8"/>
    <x v="2"/>
    <n v="360732"/>
    <s v="KC"/>
    <s v="Ribka Veronika Sirait"/>
    <s v="Universal Banker - KC/KCP/KK"/>
    <s v="KC MUARA BULIAN"/>
    <s v="KC Muara Bulian"/>
    <s v="Kontrak Teller/CS"/>
  </r>
  <r>
    <x v="9"/>
    <x v="0"/>
    <n v="385203"/>
    <s v="KC"/>
    <s v="Indah Putri"/>
    <s v="Customer Service"/>
    <s v="KC MUARA BUNGO"/>
    <s v="KC Muara Bungo"/>
    <s v="Kontrak Teller/CS"/>
  </r>
  <r>
    <x v="9"/>
    <x v="0"/>
    <n v="412862"/>
    <s v="KC"/>
    <s v="Sekar Mayang Hindriyani"/>
    <s v="Customer Service"/>
    <s v="KC MUARA BUNGO"/>
    <s v="KC Muara Bungo"/>
    <s v="Kontrak Teller/CS"/>
  </r>
  <r>
    <x v="9"/>
    <x v="1"/>
    <n v="394967"/>
    <s v="KC"/>
    <s v="Tri Astuti"/>
    <s v="Teller"/>
    <s v="KC MUARA BUNGO"/>
    <s v="KC Muara Bungo"/>
    <s v="Peserta Magang"/>
  </r>
  <r>
    <x v="9"/>
    <x v="1"/>
    <n v="407332"/>
    <s v="KC"/>
    <s v="Arraya Sisilia Annisa"/>
    <s v="Teller"/>
    <s v="KC MUARA BUNGO"/>
    <s v="KC Muara Bungo"/>
    <s v="Peserta Magang"/>
  </r>
  <r>
    <x v="9"/>
    <x v="1"/>
    <n v="409934"/>
    <s v="KC"/>
    <s v="Serli Afriani"/>
    <s v="Teller"/>
    <s v="KC MUARA BUNGO"/>
    <s v="KC Muara Bungo"/>
    <s v="Peserta Magang"/>
  </r>
  <r>
    <x v="9"/>
    <x v="1"/>
    <n v="412757"/>
    <s v="KC"/>
    <s v="Alya Rivani Putri Erpana"/>
    <s v="Teller"/>
    <s v="KC MUARA BUNGO"/>
    <s v="KC Muara Bungo"/>
    <s v="Peserta Magang"/>
  </r>
  <r>
    <x v="9"/>
    <x v="2"/>
    <n v="332639"/>
    <s v="KC"/>
    <s v="Lavia Yunita Pratama Sari"/>
    <s v="Universal Banker - KC/KCP/KK"/>
    <s v="KC MUARA BUNGO"/>
    <s v="KC Muara Bungo"/>
    <s v="Kontrak Teller/CS"/>
  </r>
  <r>
    <x v="10"/>
    <x v="0"/>
    <n v="328359"/>
    <s v="KC"/>
    <s v="Melanda Dwi Sandi"/>
    <s v="Customer Service"/>
    <s v="KC MUARA ENIM"/>
    <s v="KC Muara Enim"/>
    <s v="Kontrak Teller/CS"/>
  </r>
  <r>
    <x v="10"/>
    <x v="0"/>
    <n v="405846"/>
    <s v="KC"/>
    <s v="Refy Puspitasari"/>
    <s v="Customer Service"/>
    <s v="KC MUARA ENIM"/>
    <s v="KC Muara Enim"/>
    <s v="Kontrak Teller/CS"/>
  </r>
  <r>
    <x v="10"/>
    <x v="1"/>
    <n v="373995"/>
    <s v="KC"/>
    <s v="Ersya Septiani"/>
    <s v="Teller"/>
    <s v="KC MUARA ENIM"/>
    <s v="KC Muara Enim"/>
    <s v="Peserta Magang"/>
  </r>
  <r>
    <x v="10"/>
    <x v="1"/>
    <n v="388310"/>
    <s v="KC"/>
    <s v="Nurjanah Apriani"/>
    <s v="Teller"/>
    <s v="KC MUARA ENIM"/>
    <s v="KC Muara Enim"/>
    <s v="Peserta Magang"/>
  </r>
  <r>
    <x v="10"/>
    <x v="1"/>
    <n v="401284"/>
    <s v="KC"/>
    <s v="Muhammad Fachri"/>
    <s v="Teller"/>
    <s v="KC MUARA ENIM"/>
    <s v="KC Muara Enim"/>
    <s v="Kontrak Teller/CS"/>
  </r>
  <r>
    <x v="10"/>
    <x v="2"/>
    <n v="355657"/>
    <s v="KC"/>
    <s v="Raden Ayu Felya"/>
    <s v="Universal Banker - KC/KCP/KK"/>
    <s v="KC MUARA ENIM"/>
    <s v="KC Muara Enim"/>
    <s v="Kontrak Teller/CS"/>
  </r>
  <r>
    <x v="10"/>
    <x v="2"/>
    <n v="361041"/>
    <s v="KC"/>
    <s v="Lisnalia Hafizah Anggraini"/>
    <s v="Universal Banker - KC/KCP/KK"/>
    <s v="KC MUARA ENIM"/>
    <s v="KC Muara Enim"/>
    <s v="Kontrak Teller/CS"/>
  </r>
  <r>
    <x v="11"/>
    <x v="0"/>
    <n v="358590"/>
    <s v="KC"/>
    <s v="Lutfiah Syahirah"/>
    <s v="Customer Service"/>
    <s v="KC PAGAR ALAM"/>
    <s v="KC Pagar Alam"/>
    <s v="Kontrak Teller/CS"/>
  </r>
  <r>
    <x v="11"/>
    <x v="0"/>
    <n v="377261"/>
    <s v="KC"/>
    <s v="Neo Cantiqi Putri"/>
    <s v="Customer Service"/>
    <s v="KC PAGAR ALAM"/>
    <s v="KC Pagar Alam"/>
    <s v="Kontrak Teller/CS"/>
  </r>
  <r>
    <x v="11"/>
    <x v="1"/>
    <n v="398833"/>
    <s v="KC"/>
    <s v="Mika Hartati"/>
    <s v="Teller"/>
    <s v="KC PAGAR ALAM"/>
    <s v="KC Pagar Alam"/>
    <s v="Kontrak Teller/CS"/>
  </r>
  <r>
    <x v="11"/>
    <x v="1"/>
    <n v="398834"/>
    <s v="KC"/>
    <s v="Octa Rizki Putri"/>
    <s v="Teller"/>
    <s v="KC PAGAR ALAM"/>
    <s v="KC Pagar Alam"/>
    <s v="Peserta Magang"/>
  </r>
  <r>
    <x v="11"/>
    <x v="1"/>
    <n v="410480"/>
    <s v="KC"/>
    <s v="Lathiifah Dwi Maharani"/>
    <s v="Teller"/>
    <s v="KC PAGAR ALAM"/>
    <s v="KC Pagar Alam"/>
    <s v="Peserta Magang"/>
  </r>
  <r>
    <x v="11"/>
    <x v="2"/>
    <n v="357772"/>
    <s v="KC"/>
    <s v="Retno Choirunisa"/>
    <s v="Universal Banker - KC/KCP/KK"/>
    <s v="KC PAGAR ALAM"/>
    <s v="KC Pagar Alam"/>
    <s v="Kontrak Teller/CS"/>
  </r>
  <r>
    <x v="12"/>
    <x v="0"/>
    <n v="366749"/>
    <s v="KC"/>
    <s v="Azhari Romadon"/>
    <s v="Customer Service"/>
    <s v="KC PALEMBANG A. RIVAI"/>
    <s v="KC Palembang A. Rivai"/>
    <s v="Kontrak Teller/CS"/>
  </r>
  <r>
    <x v="12"/>
    <x v="0"/>
    <n v="376535"/>
    <s v="KC"/>
    <s v="Aji Aidil Saputra"/>
    <s v="Customer Service"/>
    <s v="KC PALEMBANG A. RIVAI"/>
    <s v="KC Palembang A. Rivai"/>
    <s v="Kontrak Teller/CS"/>
  </r>
  <r>
    <x v="12"/>
    <x v="0"/>
    <n v="384113"/>
    <s v="KC"/>
    <s v="Prama Iswari"/>
    <s v="Customer Service"/>
    <s v="KC PALEMBANG A. RIVAI"/>
    <s v="KC Palembang A. Rivai"/>
    <s v="Kontrak Teller/CS"/>
  </r>
  <r>
    <x v="12"/>
    <x v="0"/>
    <n v="412645"/>
    <s v="KC"/>
    <s v="Desmita Anggraini"/>
    <s v="Customer Service"/>
    <s v="KC PALEMBANG A. RIVAI"/>
    <s v="KC Palembang A. Rivai"/>
    <s v="Kontrak Teller/CS"/>
  </r>
  <r>
    <x v="12"/>
    <x v="1"/>
    <n v="371110"/>
    <s v="KC"/>
    <s v="Salsabila Mifta Salama"/>
    <s v="Teller"/>
    <s v="KC PALEMBANG A. RIVAI"/>
    <s v="KC Palembang A. Rivai"/>
    <s v="Peserta Magang"/>
  </r>
  <r>
    <x v="12"/>
    <x v="1"/>
    <n v="373579"/>
    <s v="KC"/>
    <s v="Elin Wulandari"/>
    <s v="Teller"/>
    <s v="KC PALEMBANG A. RIVAI"/>
    <s v="KC Palembang A. Rivai"/>
    <s v="Kontrak Teller/CS"/>
  </r>
  <r>
    <x v="12"/>
    <x v="1"/>
    <n v="375180"/>
    <s v="KC"/>
    <s v="Jenny Shofiyusrira"/>
    <s v="Teller"/>
    <s v="KC PALEMBANG A. RIVAI"/>
    <s v="KC Palembang A. Rivai"/>
    <s v="Peserta Magang"/>
  </r>
  <r>
    <x v="12"/>
    <x v="1"/>
    <n v="382657"/>
    <s v="KC"/>
    <s v="M. R. Abdul Latief Hm"/>
    <s v="Teller"/>
    <s v="KC PALEMBANG A. RIVAI"/>
    <s v="KC Palembang A. Rivai"/>
    <s v="Peserta Magang"/>
  </r>
  <r>
    <x v="12"/>
    <x v="1"/>
    <n v="382658"/>
    <s v="KC"/>
    <s v="Delivia Agustina Permata Sari"/>
    <s v="Teller"/>
    <s v="KC PALEMBANG A. RIVAI"/>
    <s v="KC Palembang A. Rivai"/>
    <s v="Peserta Magang"/>
  </r>
  <r>
    <x v="12"/>
    <x v="1"/>
    <n v="389418"/>
    <s v="KC"/>
    <s v="Kenny Jonathan Effendi"/>
    <s v="Teller"/>
    <s v="KC PALEMBANG A. RIVAI"/>
    <s v="KC Palembang A. Rivai"/>
    <s v="Peserta Magang"/>
  </r>
  <r>
    <x v="12"/>
    <x v="1"/>
    <n v="409247"/>
    <s v="KC"/>
    <s v="Raissa Aurelia Putri"/>
    <s v="Teller"/>
    <s v="KC PALEMBANG A. RIVAI"/>
    <s v="KC Palembang A. Rivai"/>
    <s v="Kontrak Teller/CS"/>
  </r>
  <r>
    <x v="12"/>
    <x v="2"/>
    <n v="349668"/>
    <s v="KC"/>
    <s v="Reza Ardianti"/>
    <s v="Universal Banker - KC/KCP/KK"/>
    <s v="KC PALEMBANG A. RIVAI"/>
    <s v="KC Palembang A. Rivai"/>
    <s v="Kontrak Teller/CS"/>
  </r>
  <r>
    <x v="12"/>
    <x v="2"/>
    <n v="372396"/>
    <s v="KC"/>
    <s v="Chaetrin Elsa Olivia"/>
    <s v="Universal Banker - KC/KCP/KK"/>
    <s v="KC PALEMBANG A. RIVAI"/>
    <s v="KC Palembang A. Rivai"/>
    <s v="Kontrak Teller/CS"/>
  </r>
  <r>
    <x v="12"/>
    <x v="2"/>
    <n v="373727"/>
    <s v="KC"/>
    <s v="Nadia Ananda"/>
    <s v="Universal Banker - KC/KCP/KK"/>
    <s v="KC PALEMBANG A. RIVAI"/>
    <s v="KC Palembang A. Rivai"/>
    <s v="PT (Pens. 36th)"/>
  </r>
  <r>
    <x v="12"/>
    <x v="2"/>
    <n v="376905"/>
    <s v="KC"/>
    <s v="Eni Permona Jasen"/>
    <s v="Universal Banker - KC/KCP/KK"/>
    <s v="KC PALEMBANG A. RIVAI"/>
    <s v="KC Palembang A. Rivai"/>
    <s v="PT (Pens. 36th)"/>
  </r>
  <r>
    <x v="12"/>
    <x v="2"/>
    <n v="376906"/>
    <s v="KC"/>
    <s v="Panzurli"/>
    <s v="Universal Banker - KC/KCP/KK"/>
    <s v="KC PALEMBANG A. RIVAI"/>
    <s v="KC Palembang A. Rivai"/>
    <s v="PT (Pens. 36th)"/>
  </r>
  <r>
    <x v="12"/>
    <x v="2"/>
    <n v="379305"/>
    <s v="KC"/>
    <s v="Muhammad Rifki Bachtiar"/>
    <s v="Universal Banker - KC/KCP/KK"/>
    <s v="KC PALEMBANG A. RIVAI"/>
    <s v="KC Palembang A. Rivai"/>
    <s v="PT (Pens. 36th)"/>
  </r>
  <r>
    <x v="13"/>
    <x v="0"/>
    <n v="334925"/>
    <s v="KC"/>
    <s v="MAOLY DIA GANATRI"/>
    <s v="Customer Service"/>
    <s v="KC PALEMBANG SRIWIJAYA"/>
    <s v="KC Palembang Sriwijaya"/>
    <s v="Kontrak Teller/CS"/>
  </r>
  <r>
    <x v="13"/>
    <x v="0"/>
    <n v="371467"/>
    <s v="KC"/>
    <s v="Ariani Fransiska Agustina Marpaung"/>
    <s v="Customer Service"/>
    <s v="KC PALEMBANG SRIWIJAYA"/>
    <s v="KC Palembang Sriwijaya"/>
    <s v="Kontrak Teller/CS"/>
  </r>
  <r>
    <x v="13"/>
    <x v="0"/>
    <n v="405525"/>
    <s v="KC"/>
    <s v="Muhamad Maulana Ibrahim"/>
    <s v="Customer Service"/>
    <s v="KC PALEMBANG SRIWIJAYA"/>
    <s v="KC Palembang Sriwijaya"/>
    <s v="Kontrak Teller/CS"/>
  </r>
  <r>
    <x v="13"/>
    <x v="1"/>
    <n v="373716"/>
    <s v="KC"/>
    <s v="Ni Luh Ajeng Julietta Putri Widana"/>
    <s v="Teller"/>
    <s v="KC PALEMBANG SRIWIJAYA"/>
    <s v="KC Palembang Sriwijaya"/>
    <s v="Kontrak Teller/CS"/>
  </r>
  <r>
    <x v="13"/>
    <x v="1"/>
    <n v="377395"/>
    <s v="KC"/>
    <s v="Inayah Alifah Khairiah"/>
    <s v="Teller"/>
    <s v="KC PALEMBANG SRIWIJAYA"/>
    <s v="KC Palembang Sriwijaya"/>
    <s v="Peserta Magang"/>
  </r>
  <r>
    <x v="13"/>
    <x v="1"/>
    <n v="405523"/>
    <s v="KC"/>
    <s v="Irpan"/>
    <s v="Teller"/>
    <s v="KC PALEMBANG SRIWIJAYA"/>
    <s v="KC Palembang Sriwijaya"/>
    <s v="Peserta Magang"/>
  </r>
  <r>
    <x v="13"/>
    <x v="1"/>
    <n v="413509"/>
    <s v="KC"/>
    <s v="Elita Aditya"/>
    <s v="Teller"/>
    <s v="KC PALEMBANG SRIWIJAYA"/>
    <s v="KC Palembang Sriwijaya"/>
    <s v="Peserta Magang"/>
  </r>
  <r>
    <x v="13"/>
    <x v="2"/>
    <n v="362522"/>
    <s v="KC"/>
    <s v="Siti Safira"/>
    <s v="Universal Banker - KC/KCP/KK"/>
    <s v="KC PALEMBANG SRIWIJAYA"/>
    <s v="KC Palembang Sriwijaya"/>
    <s v="Kontrak Teller/CS"/>
  </r>
  <r>
    <x v="13"/>
    <x v="2"/>
    <n v="377654"/>
    <s v="KC"/>
    <s v="Salsabila Al Aisyah"/>
    <s v="Universal Banker - KC/KCP/KK"/>
    <s v="KC PALEMBANG SRIWIJAYA"/>
    <s v="KC Palembang Sriwijaya"/>
    <s v="Kontrak Teller/CS"/>
  </r>
  <r>
    <x v="14"/>
    <x v="0"/>
    <n v="336812"/>
    <s v="KC"/>
    <s v="Novita Amalia Putri"/>
    <s v="Customer Service"/>
    <s v="KC PANGKAL PINANG"/>
    <s v="KC Pangkal Pinang"/>
    <s v="Kontrak Teller/CS"/>
  </r>
  <r>
    <x v="14"/>
    <x v="0"/>
    <n v="390763"/>
    <s v="KC"/>
    <s v="Annisa Zahwa"/>
    <s v="Customer Service"/>
    <s v="KC PANGKAL PINANG"/>
    <s v="KC Pangkal Pinang"/>
    <s v="Kontrak Teller/CS"/>
  </r>
  <r>
    <x v="14"/>
    <x v="0"/>
    <n v="397560"/>
    <s v="KC"/>
    <s v="Yuda Deantara"/>
    <s v="Customer Service"/>
    <s v="KC PANGKAL PINANG"/>
    <s v="KC Pangkal Pinang"/>
    <s v="Kontrak Teller/CS"/>
  </r>
  <r>
    <x v="14"/>
    <x v="0"/>
    <n v="412981"/>
    <s v="KC"/>
    <s v="Marsanda Velati"/>
    <s v="Customer Service"/>
    <s v="KC PANGKAL PINANG"/>
    <s v="KC Pangkal Pinang"/>
    <s v="Kontrak Teller/CS"/>
  </r>
  <r>
    <x v="14"/>
    <x v="1"/>
    <n v="379091"/>
    <s v="KC"/>
    <s v="Maria Hesti Berliani"/>
    <s v="Teller"/>
    <s v="KC PANGKAL PINANG"/>
    <s v="KC Pangkal Pinang"/>
    <s v="Peserta Magang"/>
  </r>
  <r>
    <x v="14"/>
    <x v="1"/>
    <n v="389744"/>
    <s v="KC"/>
    <s v="Vira Febiola"/>
    <s v="Teller"/>
    <s v="KC PANGKAL PINANG"/>
    <s v="KC Pangkal Pinang"/>
    <s v="Peserta Magang"/>
  </r>
  <r>
    <x v="14"/>
    <x v="1"/>
    <n v="389766"/>
    <s v="KC"/>
    <s v="Bana Prilia Muharomah"/>
    <s v="Teller"/>
    <s v="KC PANGKAL PINANG"/>
    <s v="KC Pangkal Pinang"/>
    <s v="Kontrak Teller/CS"/>
  </r>
  <r>
    <x v="14"/>
    <x v="1"/>
    <n v="413681"/>
    <s v="KC"/>
    <s v="Kemas Darma Rivaldi"/>
    <s v="Teller"/>
    <s v="KC PANGKAL PINANG"/>
    <s v="KC Pangkal Pinang"/>
    <s v="Peserta Magang"/>
  </r>
  <r>
    <x v="14"/>
    <x v="2"/>
    <n v="389765"/>
    <s v="KC"/>
    <s v="Muhammad Nur Kalam"/>
    <s v="Universal Banker - KC/KCP/KK"/>
    <s v="KC PANGKAL PINANG"/>
    <s v="KC Pangkal Pinang"/>
    <s v="Kontrak Teller/CS"/>
  </r>
  <r>
    <x v="15"/>
    <x v="0"/>
    <n v="393021"/>
    <s v="KC"/>
    <s v="Fadhilatul Fajariyah"/>
    <s v="Customer Service"/>
    <s v="KC PRABUMULIH"/>
    <s v="KC Prabumulih"/>
    <s v="Kontrak Teller/CS"/>
  </r>
  <r>
    <x v="15"/>
    <x v="1"/>
    <n v="373996"/>
    <s v="KC"/>
    <s v="Karina Annisa Putri"/>
    <s v="Teller"/>
    <s v="KC PRABUMULIH"/>
    <s v="KC Prabumulih"/>
    <s v="Peserta Magang"/>
  </r>
  <r>
    <x v="15"/>
    <x v="1"/>
    <n v="379491"/>
    <s v="KC"/>
    <s v="Cindy Luttiani Mandaletah"/>
    <s v="Teller"/>
    <s v="KC PRABUMULIH"/>
    <s v="KC Prabumulih"/>
    <s v="Peserta Magang"/>
  </r>
  <r>
    <x v="15"/>
    <x v="1"/>
    <n v="409319"/>
    <s v="KC"/>
    <s v="Andriyani Harizta Corie"/>
    <s v="Teller"/>
    <s v="KC PRABUMULIH"/>
    <s v="KC Prabumulih"/>
    <s v="Kontrak Teller/CS"/>
  </r>
  <r>
    <x v="15"/>
    <x v="2"/>
    <n v="356742"/>
    <s v="KC"/>
    <s v="Eving Indri Lestari"/>
    <s v="Universal Banker - KC/KCP/KK"/>
    <s v="KC PRABUMULIH"/>
    <s v="KC Prabumulih"/>
    <s v="Kontrak Teller/CS"/>
  </r>
  <r>
    <x v="15"/>
    <x v="2"/>
    <n v="364549"/>
    <s v="KC"/>
    <s v="Dealani Firta Dilika"/>
    <s v="Universal Banker - KC/KCP/KK"/>
    <s v="KC PRABUMULIH"/>
    <s v="KC Prabumulih"/>
    <s v="Kontrak Teller/CS"/>
  </r>
  <r>
    <x v="16"/>
    <x v="0"/>
    <n v="346707"/>
    <s v="KC"/>
    <s v="Maya Ayuni"/>
    <s v="Customer Service"/>
    <s v="KC RIMBO BUJANG"/>
    <s v="KC Rimbo Bujang"/>
    <s v="Kontrak Teller/CS"/>
  </r>
  <r>
    <x v="16"/>
    <x v="0"/>
    <n v="385780"/>
    <s v="KC"/>
    <s v="Mahalani Gitsa Tiarhen"/>
    <s v="Customer Service"/>
    <s v="KC RIMBO BUJANG"/>
    <s v="KC Rimbo Bujang"/>
    <s v="Kontrak Teller/CS"/>
  </r>
  <r>
    <x v="16"/>
    <x v="1"/>
    <n v="388545"/>
    <s v="KC"/>
    <s v="Sylvi Diana Eka Putri"/>
    <s v="Teller"/>
    <s v="KC RIMBO BUJANG"/>
    <s v="KC Rimbo Bujang"/>
    <s v="Peserta Magang"/>
  </r>
  <r>
    <x v="16"/>
    <x v="1"/>
    <n v="408906"/>
    <s v="KC"/>
    <s v="Anggi Pratama"/>
    <s v="Teller"/>
    <s v="KC RIMBO BUJANG"/>
    <s v="KC Rimbo Bujang"/>
    <s v="Peserta Magang"/>
  </r>
  <r>
    <x v="16"/>
    <x v="2"/>
    <n v="344639"/>
    <s v="KC"/>
    <s v="Nurul Azizah Mahfudzoh"/>
    <s v="Universal Banker - KC/KCP/KK"/>
    <s v="KC RIMBO BUJANG"/>
    <s v="KC Rimbo Bujang"/>
    <s v="Kontrak Teller/CS"/>
  </r>
  <r>
    <x v="17"/>
    <x v="0"/>
    <n v="335740"/>
    <s v="KC"/>
    <s v="Desi Yenita"/>
    <s v="Customer Service"/>
    <s v="KC SAROLANGUN"/>
    <s v="KC Sarolangun"/>
    <s v="Kontrak Teller/CS"/>
  </r>
  <r>
    <x v="17"/>
    <x v="0"/>
    <n v="376064"/>
    <s v="KC"/>
    <s v="Rizka Ananda Bin Ladi"/>
    <s v="Customer Service"/>
    <s v="KC SAROLANGUN"/>
    <s v="KC Sarolangun"/>
    <s v="Kontrak Teller/CS"/>
  </r>
  <r>
    <x v="17"/>
    <x v="0"/>
    <n v="376738"/>
    <s v="KC"/>
    <s v="Fitria Wulandari"/>
    <s v="Customer Service"/>
    <s v="KC SAROLANGUN"/>
    <s v="KC Sarolangun"/>
    <s v="Kontrak Teller/CS"/>
  </r>
  <r>
    <x v="17"/>
    <x v="1"/>
    <n v="380755"/>
    <s v="KC"/>
    <s v="Yulia Kurniati"/>
    <s v="Teller"/>
    <s v="KC SAROLANGUN"/>
    <s v="KC Sarolangun"/>
    <s v="Peserta Magang"/>
  </r>
  <r>
    <x v="17"/>
    <x v="1"/>
    <n v="385411"/>
    <s v="KC"/>
    <s v="Tessa Putri Yani Lumbantoruan"/>
    <s v="Teller"/>
    <s v="KC SAROLANGUN"/>
    <s v="KC Sarolangun"/>
    <s v="Peserta Magang"/>
  </r>
  <r>
    <x v="17"/>
    <x v="1"/>
    <n v="411217"/>
    <s v="KC"/>
    <s v="Jesika Adelsa Putri"/>
    <s v="Teller"/>
    <s v="KC SAROLANGUN"/>
    <s v="KC Sarolangun"/>
    <s v="Peserta Magang"/>
  </r>
  <r>
    <x v="18"/>
    <x v="0"/>
    <n v="354683"/>
    <s v="KC"/>
    <s v="Romi Surya Armansyah"/>
    <s v="Customer Service"/>
    <s v="KC SEKAYU"/>
    <s v="KC Sekayu"/>
    <s v="Kontrak Teller/CS"/>
  </r>
  <r>
    <x v="18"/>
    <x v="0"/>
    <n v="367401"/>
    <s v="KC"/>
    <s v="Ice Nurmala"/>
    <s v="Customer Service"/>
    <s v="KC SEKAYU"/>
    <s v="KC Sekayu"/>
    <s v="Kontrak Teller/CS"/>
  </r>
  <r>
    <x v="18"/>
    <x v="0"/>
    <n v="375524"/>
    <s v="KC"/>
    <s v="Nora Rahmadhani Putri"/>
    <s v="Customer Service"/>
    <s v="KC SEKAYU"/>
    <s v="KC Sekayu"/>
    <s v="Kontrak Teller/CS"/>
  </r>
  <r>
    <x v="18"/>
    <x v="0"/>
    <n v="399653"/>
    <s v="KC"/>
    <s v="Alfina Hanifah"/>
    <s v="Customer Service"/>
    <s v="KC SEKAYU"/>
    <s v="KC Sekayu"/>
    <s v="Kontrak Teller/CS"/>
  </r>
  <r>
    <x v="18"/>
    <x v="1"/>
    <n v="400917"/>
    <s v="KC"/>
    <s v="Bambang Harianto"/>
    <s v="Teller"/>
    <s v="KC SEKAYU"/>
    <s v="KC Sekayu"/>
    <s v="Peserta Magang"/>
  </r>
  <r>
    <x v="18"/>
    <x v="1"/>
    <n v="410687"/>
    <s v="KC"/>
    <s v="Dwi Fitriani Al Muqhniah"/>
    <s v="Teller"/>
    <s v="KC SEKAYU"/>
    <s v="KC Sekayu"/>
    <s v="Peserta Magang"/>
  </r>
  <r>
    <x v="18"/>
    <x v="1"/>
    <n v="413697"/>
    <s v="KC"/>
    <s v="Meylina Tarissa"/>
    <s v="Teller"/>
    <s v="KC SEKAYU"/>
    <s v="KC Sekayu"/>
    <s v="Peserta Magang"/>
  </r>
  <r>
    <x v="18"/>
    <x v="1"/>
    <n v="413703"/>
    <s v="KC"/>
    <s v="Liza Amelia"/>
    <s v="Teller"/>
    <s v="KC SEKAYU"/>
    <s v="KC Sekayu"/>
    <s v="Peserta Magang"/>
  </r>
  <r>
    <x v="18"/>
    <x v="2"/>
    <n v="353923"/>
    <s v="KC"/>
    <s v="Adinda Audri Savira"/>
    <s v="Universal Banker - KC/KCP/KK"/>
    <s v="KC SEKAYU"/>
    <s v="KC Sekayu"/>
    <s v="Kontrak Teller/CS"/>
  </r>
  <r>
    <x v="19"/>
    <x v="0"/>
    <n v="381166"/>
    <s v="KC"/>
    <s v="Revi Yudhistira"/>
    <s v="Customer Service"/>
    <s v="KC SUNGAI LIAT"/>
    <s v="KC Sungai Liat"/>
    <s v="Kontrak Teller/CS"/>
  </r>
  <r>
    <x v="19"/>
    <x v="0"/>
    <n v="410380"/>
    <s v="KC"/>
    <s v="Ananda Eka Saputri"/>
    <s v="Customer Service"/>
    <s v="KC SUNGAI LIAT"/>
    <s v="KC Sungai Liat"/>
    <s v="Kontrak Teller/CS"/>
  </r>
  <r>
    <x v="19"/>
    <x v="1"/>
    <n v="392519"/>
    <s v="KC"/>
    <s v="Kayla Febriani"/>
    <s v="Teller"/>
    <s v="KC SUNGAI LIAT"/>
    <s v="KC Sungai Liat"/>
    <s v="Peserta Magang"/>
  </r>
  <r>
    <x v="19"/>
    <x v="1"/>
    <n v="394510"/>
    <s v="KC"/>
    <s v="Salisa Mahirah"/>
    <s v="Teller"/>
    <s v="KC SUNGAI LIAT"/>
    <s v="KC Sungai Liat"/>
    <s v="Peserta Magang"/>
  </r>
  <r>
    <x v="19"/>
    <x v="1"/>
    <n v="405956"/>
    <s v="KC"/>
    <s v="Dwi Wulansari"/>
    <s v="Teller"/>
    <s v="KC SUNGAI LIAT"/>
    <s v="KC Sungai Liat"/>
    <s v="Peserta Magang"/>
  </r>
  <r>
    <x v="19"/>
    <x v="2"/>
    <n v="346715"/>
    <s v="KC"/>
    <s v="Rizkia Meilani"/>
    <s v="Universal Banker - KC/KCP/KK"/>
    <s v="KC SUNGAI LIAT"/>
    <s v="KC Sungai Liat"/>
    <s v="Kontrak Teller/CS"/>
  </r>
  <r>
    <x v="20"/>
    <x v="0"/>
    <n v="328652"/>
    <s v="KC"/>
    <s v="Fitriwanti"/>
    <s v="Customer Service"/>
    <s v="KC TANJUNG PANDAN"/>
    <s v="KC Tanjung Pandan"/>
    <s v="Kontrak Teller/CS"/>
  </r>
  <r>
    <x v="20"/>
    <x v="0"/>
    <n v="340823"/>
    <s v="KC"/>
    <s v="Sundari Fatikasary"/>
    <s v="Customer Service"/>
    <s v="KC TANJUNG PANDAN"/>
    <s v="KC Tanjung Pandan"/>
    <s v="Kontrak Teller/CS"/>
  </r>
  <r>
    <x v="20"/>
    <x v="0"/>
    <n v="381183"/>
    <s v="KC"/>
    <s v="Nandiny Pratiwi Ariandi"/>
    <s v="Customer Service"/>
    <s v="KC TANJUNG PANDAN"/>
    <s v="KC Tanjung Pandan"/>
    <s v="Kontrak Teller/CS"/>
  </r>
  <r>
    <x v="20"/>
    <x v="1"/>
    <n v="375056"/>
    <s v="KC"/>
    <s v="Tasyah Syarmilati"/>
    <s v="Teller"/>
    <s v="KC TANJUNG PANDAN"/>
    <s v="KC Tanjung Pandan"/>
    <s v="Peserta Magang"/>
  </r>
  <r>
    <x v="20"/>
    <x v="1"/>
    <n v="376104"/>
    <s v="KC"/>
    <s v="Thalia Hievenandi"/>
    <s v="Teller"/>
    <s v="KC TANJUNG PANDAN"/>
    <s v="KC Tanjung Pandan"/>
    <s v="Kontrak Teller/CS"/>
  </r>
  <r>
    <x v="20"/>
    <x v="1"/>
    <n v="378444"/>
    <s v="KC"/>
    <s v="Yola Violita"/>
    <s v="Teller"/>
    <s v="KC TANJUNG PANDAN"/>
    <s v="KC Tanjung Pandan"/>
    <s v="Peserta Magang"/>
  </r>
  <r>
    <x v="20"/>
    <x v="1"/>
    <n v="403330"/>
    <s v="KC"/>
    <s v="Siti Sarah Doviant"/>
    <s v="Teller"/>
    <s v="KC TANJUNG PANDAN"/>
    <s v="KC Tanjung Pandan"/>
    <s v="Peserta Magang"/>
  </r>
  <r>
    <x v="20"/>
    <x v="2"/>
    <n v="341603"/>
    <s v="KC"/>
    <s v="Januarti Silviani"/>
    <s v="Universal Banker - KC/KCP/KK"/>
    <s v="KC TANJUNG PANDAN"/>
    <s v="KC Tanjung Pandan"/>
    <s v="Kontrak Teller/CS"/>
  </r>
  <r>
    <x v="21"/>
    <x v="4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s v="K495840124"/>
    <x v="0"/>
    <n v="371022"/>
    <s v="KCP"/>
    <s v="Dandi Putratama"/>
    <s v="Customer Service"/>
    <s v="KCP MARTAPURA"/>
    <s v="Region 04 Palembang"/>
    <s v="FUNGSI OPERASIONAL &amp; LAYANAN"/>
    <s v="Associate"/>
    <x v="0"/>
    <x v="0"/>
    <s v="Kontrak Teller/CS"/>
  </r>
  <r>
    <s v="-"/>
    <x v="0"/>
    <n v="404621"/>
    <s v="KCP"/>
    <s v="Padelito"/>
    <s v="Customer Service"/>
    <s v="KCP GUMAWANG"/>
    <s v="Region 04 Palembang"/>
    <s v="FUNGSI OPERASIONAL &amp; LAYANAN"/>
    <s v="Associate"/>
    <x v="0"/>
    <x v="1"/>
    <s v="Kontrak Teller/CS"/>
  </r>
  <r>
    <n v="0"/>
    <x v="1"/>
    <n v="398627"/>
    <s v="KCP"/>
    <s v="Cindy Nov Melenia"/>
    <s v="Teller"/>
    <s v="KCP GUMAWANG"/>
    <s v="Region 04 Palembang"/>
    <s v="FUNGSI OPERASIONAL &amp; LAYANAN"/>
    <s v="Associate"/>
    <x v="0"/>
    <x v="1"/>
    <s v="Peserta Magang"/>
  </r>
  <r>
    <n v="0"/>
    <x v="1"/>
    <n v="404674"/>
    <s v="KCP"/>
    <s v="Ines Rattri Puji Lestari"/>
    <s v="Teller"/>
    <s v="KCP MARTAPURA"/>
    <s v="Region 04 Palembang"/>
    <s v="FUNGSI OPERASIONAL &amp; LAYANAN"/>
    <s v="Associate"/>
    <x v="0"/>
    <x v="0"/>
    <s v="Peserta Magang"/>
  </r>
  <r>
    <s v="K621310125"/>
    <x v="0"/>
    <n v="392452"/>
    <s v="KCP"/>
    <s v="Aurelia Angela Siregar"/>
    <s v="Customer Service"/>
    <s v="KCP JELUTUNG"/>
    <s v="Region 04 Palembang"/>
    <s v="FUNGSI OPERASIONAL &amp; LAYANAN"/>
    <s v="Associate"/>
    <x v="1"/>
    <x v="2"/>
    <s v="Kontrak Teller/CS"/>
  </r>
  <r>
    <s v="-"/>
    <x v="0"/>
    <n v="400052"/>
    <s v="KCP"/>
    <s v="Mayzca Tanezia Putri"/>
    <s v="Customer Service"/>
    <s v="KCP JELUTUNG"/>
    <s v="Region 04 Palembang"/>
    <s v="FUNGSI OPERASIONAL &amp; LAYANAN"/>
    <s v="Associate"/>
    <x v="1"/>
    <x v="2"/>
    <s v="Kontrak Teller/CS"/>
  </r>
  <r>
    <s v="-"/>
    <x v="0"/>
    <n v="401631"/>
    <s v="KCP"/>
    <s v="Nuskiya Faradisa"/>
    <s v="Customer Service"/>
    <s v="KCP BATANGHARI"/>
    <s v="Region 04 Palembang"/>
    <s v="FUNGSI OPERASIONAL &amp; LAYANAN"/>
    <s v="Associate"/>
    <x v="1"/>
    <x v="3"/>
    <s v="Kontrak Teller/CS"/>
  </r>
  <r>
    <s v="M333980325"/>
    <x v="1"/>
    <n v="392655"/>
    <s v="KCP"/>
    <s v="Ranti Asmanita"/>
    <s v="Teller"/>
    <s v="KCP JELUTUNG"/>
    <s v="Region 04 Palembang"/>
    <s v="FUNGSI OPERASIONAL &amp; LAYANAN"/>
    <s v="Associate"/>
    <x v="1"/>
    <x v="2"/>
    <s v="Peserta Magang"/>
  </r>
  <r>
    <n v="0"/>
    <x v="1"/>
    <n v="408918"/>
    <s v="KCP"/>
    <s v="Syifaniya Azzahra"/>
    <s v="Teller"/>
    <s v="KCP BATANGHARI"/>
    <s v="Region 04 Palembang"/>
    <s v="FUNGSI OPERASIONAL &amp; LAYANAN"/>
    <s v="Associate"/>
    <x v="1"/>
    <x v="3"/>
    <s v="Peserta Magang"/>
  </r>
  <r>
    <s v="K248869823"/>
    <x v="0"/>
    <n v="332918"/>
    <s v="KCP"/>
    <s v="Nada Triyani"/>
    <s v="Customer Service"/>
    <s v="KCP TUGUMULYO"/>
    <s v="Region 04 Palembang"/>
    <s v="FUNGSI OPERASIONAL &amp; LAYANAN"/>
    <s v="Associate"/>
    <x v="2"/>
    <x v="4"/>
    <s v="Kontrak Teller/CS"/>
  </r>
  <r>
    <s v="K316629723"/>
    <x v="0"/>
    <n v="340773"/>
    <s v="KCP"/>
    <s v="Nazza Miftahul Jannah"/>
    <s v="Customer Service"/>
    <s v="KCP INDRALAYA"/>
    <s v="Region 04 Palembang"/>
    <s v="FUNGSI OPERASIONAL &amp; LAYANAN"/>
    <s v="Associate"/>
    <x v="2"/>
    <x v="5"/>
    <s v="Kontrak Teller/CS"/>
  </r>
  <r>
    <s v="K497859924"/>
    <x v="0"/>
    <n v="371690"/>
    <s v="KCP"/>
    <s v="Shinta Bella T. B"/>
    <s v="Customer Service"/>
    <s v="KCP TUGUMULYO"/>
    <s v="Region 04 Palembang"/>
    <s v="FUNGSI OPERASIONAL &amp; LAYANAN"/>
    <s v="Associate"/>
    <x v="2"/>
    <x v="4"/>
    <s v="Kontrak Teller/CS"/>
  </r>
  <r>
    <s v="K534750125"/>
    <x v="0"/>
    <n v="379508"/>
    <s v="KCP"/>
    <s v="Amelia Miranda"/>
    <s v="Customer Service"/>
    <s v="KCP INDRALAYA"/>
    <s v="Region 04 Palembang"/>
    <s v="FUNGSI OPERASIONAL &amp; LAYANAN"/>
    <s v="Associate"/>
    <x v="2"/>
    <x v="5"/>
    <s v="Kontrak Teller/CS"/>
  </r>
  <r>
    <s v="M288390125"/>
    <x v="1"/>
    <n v="379455"/>
    <s v="KCP"/>
    <s v="Ridho Kurniatullah"/>
    <s v="Teller"/>
    <s v="KCP TUGUMULYO"/>
    <s v="Region 04 Palembang"/>
    <s v="FUNGSI OPERASIONAL &amp; LAYANAN"/>
    <s v="Associate"/>
    <x v="2"/>
    <x v="4"/>
    <s v="Peserta Magang"/>
  </r>
  <r>
    <s v="-"/>
    <x v="1"/>
    <n v="396820"/>
    <s v="KCP"/>
    <s v="Dewari Nandita Virginia"/>
    <s v="Teller"/>
    <s v="KCP INDRALAYA"/>
    <s v="Region 04 Palembang"/>
    <s v="FUNGSI OPERASIONAL &amp; LAYANAN"/>
    <s v="Associate"/>
    <x v="2"/>
    <x v="5"/>
    <s v="Kontrak Teller/CS"/>
  </r>
  <r>
    <s v="K508289924"/>
    <x v="0"/>
    <n v="373581"/>
    <s v="KCP"/>
    <s v="Sari Dwi Kartika"/>
    <s v="Customer Service"/>
    <s v="KCP TANJUNG JABUNG TIMUR"/>
    <s v="Region 04 Palembang"/>
    <s v="FUNGSI OPERASIONAL &amp; LAYANAN"/>
    <s v="Associate"/>
    <x v="3"/>
    <x v="6"/>
    <s v="Kontrak Teller/CS"/>
  </r>
  <r>
    <s v="-"/>
    <x v="0"/>
    <n v="405306"/>
    <s v="KCP"/>
    <s v="Muhammad Baihaqy"/>
    <s v="Customer Service"/>
    <s v="KCP TANJUNG JABUNG TIMUR"/>
    <s v="Region 04 Palembang"/>
    <s v="FUNGSI OPERASIONAL &amp; LAYANAN"/>
    <s v="Associate"/>
    <x v="3"/>
    <x v="6"/>
    <s v="Kontrak Teller/CS"/>
  </r>
  <r>
    <s v="M305190125"/>
    <x v="1"/>
    <n v="385347"/>
    <s v="KCP"/>
    <s v="Eca Riska Viola"/>
    <s v="Teller"/>
    <s v="KCP TANJUNG JABUNG TIMUR"/>
    <s v="Region 04 Palembang"/>
    <s v="FUNGSI OPERASIONAL &amp; LAYANAN"/>
    <s v="Associate"/>
    <x v="3"/>
    <x v="6"/>
    <s v="Peserta Magang"/>
  </r>
  <r>
    <n v="0"/>
    <x v="1"/>
    <n v="412864"/>
    <s v="KCP"/>
    <s v="Yashifa Suci Rama"/>
    <s v="Teller"/>
    <s v="KCP TANJUNG JABUNG TIMUR"/>
    <s v="Region 04 Palembang"/>
    <s v="FUNGSI OPERASIONAL &amp; LAYANAN"/>
    <s v="Associate"/>
    <x v="3"/>
    <x v="6"/>
    <s v="Peserta Magang"/>
  </r>
  <r>
    <s v="K603650025"/>
    <x v="0"/>
    <n v="388713"/>
    <s v="KCP"/>
    <s v="Eriko Kurniawan"/>
    <s v="Customer Service"/>
    <s v="KCP TEBING TINGGI"/>
    <s v="Region 04 Palembang"/>
    <s v="FUNGSI OPERASIONAL &amp; LAYANAN"/>
    <s v="Associate"/>
    <x v="4"/>
    <x v="7"/>
    <s v="Kontrak Teller/CS"/>
  </r>
  <r>
    <s v="M325780225"/>
    <x v="1"/>
    <n v="389607"/>
    <s v="KCP"/>
    <s v="Msy Anisa Ripanda"/>
    <s v="Teller"/>
    <s v="KCP TEBING TINGGI"/>
    <s v="Region 04 Palembang"/>
    <s v="FUNGSI OPERASIONAL &amp; LAYANAN"/>
    <s v="Associate"/>
    <x v="4"/>
    <x v="7"/>
    <s v="Peserta Magang"/>
  </r>
  <r>
    <s v="K614950125"/>
    <x v="0"/>
    <n v="391128"/>
    <s v="KCP"/>
    <s v="Maria Risnawati"/>
    <s v="Customer Service"/>
    <s v="KCP SUNGAI BAHAR"/>
    <s v="Region 04 Palembang"/>
    <s v="FUNGSI OPERASIONAL &amp; LAYANAN"/>
    <s v="Associate"/>
    <x v="5"/>
    <x v="8"/>
    <s v="Kontrak Teller/CS"/>
  </r>
  <r>
    <s v="M289420125"/>
    <x v="1"/>
    <n v="380141"/>
    <s v="KCP"/>
    <s v="Khairani Fatihah"/>
    <s v="Teller"/>
    <s v="KCP SUNGAI BAHAR"/>
    <s v="Region 04 Palembang"/>
    <s v="FUNGSI OPERASIONAL &amp; LAYANAN"/>
    <s v="Associate"/>
    <x v="5"/>
    <x v="8"/>
    <s v="Peserta Magang"/>
  </r>
  <r>
    <s v="K319139923"/>
    <x v="0"/>
    <n v="341601"/>
    <s v="KCP"/>
    <s v="Nadia Putri Maghfira"/>
    <s v="Customer Service"/>
    <s v="KCP TANJUNG ENIM"/>
    <s v="Region 04 Palembang"/>
    <s v="FUNGSI OPERASIONAL &amp; LAYANAN"/>
    <s v="Associate"/>
    <x v="6"/>
    <x v="9"/>
    <s v="Kontrak Teller/CS"/>
  </r>
  <r>
    <s v="K621000225"/>
    <x v="0"/>
    <n v="392408"/>
    <s v="KCP"/>
    <s v="Itra Juasari"/>
    <s v="Customer Service"/>
    <s v="KCP TANJUNG ENIM"/>
    <s v="Region 04 Palembang"/>
    <s v="FUNGSI OPERASIONAL &amp; LAYANAN"/>
    <s v="Associate"/>
    <x v="6"/>
    <x v="9"/>
    <s v="Kontrak Teller/CS"/>
  </r>
  <r>
    <s v="K620990125"/>
    <x v="1"/>
    <n v="392407"/>
    <s v="KCP"/>
    <s v="Mutiara Putri"/>
    <s v="Teller"/>
    <s v="KCP TANJUNG ENIM"/>
    <s v="Region 04 Palembang"/>
    <s v="FUNGSI OPERASIONAL &amp; LAYANAN"/>
    <s v="Associate"/>
    <x v="6"/>
    <x v="9"/>
    <s v="Kontrak Teller/CS"/>
  </r>
  <r>
    <s v="K249029923"/>
    <x v="0"/>
    <n v="334941"/>
    <s v="KCP"/>
    <s v="Sintiya Nur Aliza"/>
    <s v="Customer Service"/>
    <s v="KCP ISKANDAR"/>
    <s v="Region 04 Palembang"/>
    <s v="FUNGSI OPERASIONAL &amp; LAYANAN"/>
    <s v="Associate"/>
    <x v="7"/>
    <x v="10"/>
    <s v="Kontrak Teller/CS"/>
  </r>
  <r>
    <s v="K403400123"/>
    <x v="0"/>
    <n v="351470"/>
    <s v="KCP"/>
    <s v="Yuniarti"/>
    <s v="Customer Service"/>
    <s v="KCP DEMANG"/>
    <s v="Region 04 Palembang"/>
    <s v="FUNGSI OPERASIONAL &amp; LAYANAN"/>
    <s v="Associate"/>
    <x v="7"/>
    <x v="11"/>
    <s v="Kontrak Teller/CS"/>
  </r>
  <r>
    <s v="K442479924"/>
    <x v="0"/>
    <n v="362086"/>
    <s v="KCP"/>
    <s v="Siska Juwita"/>
    <s v="Customer Service"/>
    <s v="KCP AMPERA"/>
    <s v="Region 04 Palembang"/>
    <s v="FUNGSI OPERASIONAL &amp; LAYANAN"/>
    <s v="Associate"/>
    <x v="7"/>
    <x v="12"/>
    <s v="Kontrak Teller/CS"/>
  </r>
  <r>
    <s v="K512869924"/>
    <x v="1"/>
    <n v="373721"/>
    <s v="KCP"/>
    <s v="Cantika Diva Ramadina"/>
    <s v="Teller"/>
    <s v="KCP DEMANG"/>
    <s v="Region 04 Palembang"/>
    <s v="FUNGSI OPERASIONAL &amp; LAYANAN"/>
    <s v="Associate"/>
    <x v="7"/>
    <x v="11"/>
    <s v="Kontrak Teller/CS"/>
  </r>
  <r>
    <s v="M297270325"/>
    <x v="1"/>
    <n v="382688"/>
    <s v="KCP"/>
    <s v="Oktaviani Dea Ananda Putri"/>
    <s v="Teller"/>
    <s v="KCP ISKANDAR"/>
    <s v="Region 04 Palembang"/>
    <s v="FUNGSI OPERASIONAL &amp; LAYANAN"/>
    <s v="Associate"/>
    <x v="7"/>
    <x v="10"/>
    <s v="Peserta Magang"/>
  </r>
  <r>
    <n v="0"/>
    <x v="1"/>
    <n v="409245"/>
    <s v="KCP"/>
    <s v="Siti Safirah Salsabila"/>
    <s v="Teller"/>
    <s v="KCP AMPERA"/>
    <s v="Region 04 Palembang"/>
    <s v="FUNGSI OPERASIONAL &amp; LAYANAN"/>
    <s v="Associate"/>
    <x v="7"/>
    <x v="12"/>
    <s v="Kontrak Teller/CS"/>
  </r>
  <r>
    <s v="K174459923"/>
    <x v="0"/>
    <n v="328385"/>
    <s v="KCP"/>
    <s v="Msy Nadia Hania Putri"/>
    <s v="Customer Service"/>
    <s v="KCP PASAR SAKO KENTEN"/>
    <s v="Region 04 Palembang"/>
    <s v="FUNGSI OPERASIONAL &amp; LAYANAN"/>
    <s v="Associate"/>
    <x v="8"/>
    <x v="13"/>
    <s v="Kontrak Teller/CS"/>
  </r>
  <r>
    <s v="K173989923"/>
    <x v="0"/>
    <n v="328637"/>
    <s v="KCP"/>
    <s v="Virgin Regina Aryani"/>
    <s v="Customer Service"/>
    <s v="KCP KM 5"/>
    <s v="Region 04 Palembang"/>
    <s v="FUNGSI OPERASIONAL &amp; LAYANAN"/>
    <s v="Associate"/>
    <x v="8"/>
    <x v="14"/>
    <s v="Kontrak Teller/CS"/>
  </r>
  <r>
    <s v="K426910024"/>
    <x v="0"/>
    <n v="358106"/>
    <s v="KCP"/>
    <s v="Muhammad Faihan Faswal"/>
    <s v="Customer Service"/>
    <s v="KCP PASAR 16 ILIR"/>
    <s v="Region 04 Palembang"/>
    <s v="FUNGSI OPERASIONAL &amp; LAYANAN"/>
    <s v="Associate"/>
    <x v="8"/>
    <x v="15"/>
    <s v="Kontrak Teller/CS"/>
  </r>
  <r>
    <s v="K432539824"/>
    <x v="0"/>
    <n v="360330"/>
    <s v="KCP"/>
    <s v="Tria Yuliyanti"/>
    <s v="Customer Service"/>
    <s v="KCP LEMABANG"/>
    <s v="Region 04 Palembang"/>
    <s v="FUNGSI OPERASIONAL &amp; LAYANAN"/>
    <s v="Associate"/>
    <x v="8"/>
    <x v="16"/>
    <s v="Kontrak Teller/CS"/>
  </r>
  <r>
    <s v="K512830024"/>
    <x v="0"/>
    <n v="373717"/>
    <s v="KCP"/>
    <s v="Olivia Paramitha Putriyani"/>
    <s v="Customer Service"/>
    <s v="KCP KM 5"/>
    <s v="Region 04 Palembang"/>
    <s v="FUNGSI OPERASIONAL &amp; LAYANAN"/>
    <s v="Associate"/>
    <x v="8"/>
    <x v="14"/>
    <s v="Kontrak Teller/CS"/>
  </r>
  <r>
    <s v="K555530125"/>
    <x v="0"/>
    <n v="382944"/>
    <s v="KCP"/>
    <s v="Zhafirah Atiqah Julean"/>
    <s v="Customer Service"/>
    <s v="KCP LEMABANG"/>
    <s v="Region 04 Palembang"/>
    <s v="FUNGSI OPERASIONAL &amp; LAYANAN"/>
    <s v="Associate"/>
    <x v="8"/>
    <x v="16"/>
    <s v="Kontrak Teller/CS"/>
  </r>
  <r>
    <n v="0"/>
    <x v="0"/>
    <n v="396867"/>
    <s v="KCP"/>
    <s v="Siti Aprini Rahayu"/>
    <s v="Customer Service"/>
    <s v="KCP PASAR SAKO KENTEN"/>
    <s v="Region 04 Palembang"/>
    <s v="FUNGSI OPERASIONAL &amp; LAYANAN"/>
    <s v="Associate"/>
    <x v="8"/>
    <x v="13"/>
    <s v="Kontrak Teller/CS"/>
  </r>
  <r>
    <n v="0"/>
    <x v="0"/>
    <n v="409372"/>
    <s v="KCP"/>
    <s v="Hervani Pratiwi"/>
    <s v="Customer Service"/>
    <s v="KCP KM 12"/>
    <s v="Region 04 Palembang"/>
    <s v="FUNGSI OPERASIONAL &amp; LAYANAN"/>
    <s v="Associate"/>
    <x v="8"/>
    <x v="17"/>
    <s v="Kontrak Teller/CS"/>
  </r>
  <r>
    <n v="0"/>
    <x v="0"/>
    <n v="413510"/>
    <s v="KCP"/>
    <s v="Dwita Ayu Larasati"/>
    <s v="Customer Service"/>
    <s v="KCP KM 12"/>
    <s v="Region 04 Palembang"/>
    <s v="FUNGSI OPERASIONAL &amp; LAYANAN"/>
    <s v="Associate"/>
    <x v="8"/>
    <x v="17"/>
    <s v="Kontrak Teller/CS"/>
  </r>
  <r>
    <n v="0"/>
    <x v="0"/>
    <n v="413520"/>
    <s v="KCP"/>
    <s v="Gratia Olivia Sihaloho"/>
    <s v="Customer Service"/>
    <s v="KCP PASAR 16 ILIR"/>
    <s v="Region 04 Palembang"/>
    <s v="FUNGSI OPERASIONAL &amp; LAYANAN"/>
    <s v="Associate"/>
    <x v="8"/>
    <x v="15"/>
    <s v="Kontrak Teller/CS"/>
  </r>
  <r>
    <s v="M297370325"/>
    <x v="1"/>
    <n v="382811"/>
    <s v="KCP"/>
    <s v="Nasywa Shafa Chania"/>
    <s v="Teller"/>
    <s v="KCP KM 12"/>
    <s v="Region 04 Palembang"/>
    <s v="FUNGSI OPERASIONAL &amp; LAYANAN"/>
    <s v="Associate"/>
    <x v="8"/>
    <x v="17"/>
    <s v="Peserta Magang"/>
  </r>
  <r>
    <s v="M298080025"/>
    <x v="1"/>
    <n v="382955"/>
    <s v="KCP"/>
    <s v="Muhammad  Ilham"/>
    <s v="Teller"/>
    <s v="KCP LEMABANG"/>
    <s v="Region 04 Palembang"/>
    <s v="FUNGSI OPERASIONAL &amp; LAYANAN"/>
    <s v="Associate"/>
    <x v="8"/>
    <x v="16"/>
    <s v="Peserta Magang"/>
  </r>
  <r>
    <n v="0"/>
    <x v="1"/>
    <n v="400000"/>
    <s v="KCP"/>
    <s v="Clarissa Adisthy"/>
    <s v="Teller"/>
    <s v="KCP PASAR SAKO KENTEN"/>
    <s v="Region 04 Palembang"/>
    <s v="FUNGSI OPERASIONAL &amp; LAYANAN"/>
    <s v="Associate"/>
    <x v="8"/>
    <x v="13"/>
    <s v="Peserta Magang"/>
  </r>
  <r>
    <n v="0"/>
    <x v="1"/>
    <n v="406387"/>
    <s v="KCP"/>
    <s v="Muhamad Tsamirul Qolbi"/>
    <s v="Teller"/>
    <s v="KCP KM 12"/>
    <s v="Region 04 Palembang"/>
    <s v="FUNGSI OPERASIONAL &amp; LAYANAN"/>
    <s v="Associate"/>
    <x v="8"/>
    <x v="17"/>
    <s v="Peserta Magang"/>
  </r>
  <r>
    <n v="0"/>
    <x v="1"/>
    <n v="413516"/>
    <s v="KCP"/>
    <s v="Yulia Putri"/>
    <s v="Teller"/>
    <s v="KCP KM 5"/>
    <s v="Region 04 Palembang"/>
    <s v="FUNGSI OPERASIONAL &amp; LAYANAN"/>
    <s v="Associate"/>
    <x v="8"/>
    <x v="14"/>
    <s v="Peserta Magang"/>
  </r>
  <r>
    <n v="0"/>
    <x v="1"/>
    <n v="413517"/>
    <s v="KCP"/>
    <s v="Ranaya Attia Hilla"/>
    <s v="Teller"/>
    <s v="KCP PASAR 16 ILIR"/>
    <s v="Region 04 Palembang"/>
    <s v="FUNGSI OPERASIONAL &amp; LAYANAN"/>
    <s v="Associate"/>
    <x v="8"/>
    <x v="15"/>
    <s v="Peserta Magang"/>
  </r>
  <r>
    <s v="K251779923"/>
    <x v="0"/>
    <n v="336813"/>
    <s v="KCP"/>
    <s v="Bunga Nadia Versia"/>
    <s v="Customer Service"/>
    <s v="KCP TOBOALI"/>
    <s v="Region 04 Palembang"/>
    <s v="FUNGSI OPERASIONAL &amp; LAYANAN"/>
    <s v="Associate"/>
    <x v="9"/>
    <x v="18"/>
    <s v="Kontrak Teller/CS"/>
  </r>
  <r>
    <s v="K533670125"/>
    <x v="0"/>
    <n v="379079"/>
    <s v="KCP"/>
    <s v="Berliana Febriyanti"/>
    <s v="Customer Service"/>
    <s v="KCP DEPATI AMIR"/>
    <s v="Region 04 Palembang"/>
    <s v="FUNGSI OPERASIONAL &amp; LAYANAN"/>
    <s v="Associate"/>
    <x v="9"/>
    <x v="19"/>
    <s v="Kontrak Teller/CS"/>
  </r>
  <r>
    <s v="-"/>
    <x v="0"/>
    <n v="401091"/>
    <s v="KCP"/>
    <s v="Razela Regina Putri"/>
    <s v="Customer Service"/>
    <s v="KCP KOBA"/>
    <s v="Region 04 Palembang"/>
    <s v="FUNGSI OPERASIONAL &amp; LAYANAN"/>
    <s v="Associate"/>
    <x v="9"/>
    <x v="20"/>
    <s v="Kontrak Teller/CS"/>
  </r>
  <r>
    <n v="0"/>
    <x v="1"/>
    <n v="397035"/>
    <s v="KCP"/>
    <s v="Muhamad Zidane"/>
    <s v="Teller"/>
    <s v="KCP DEPATI AMIR"/>
    <s v="Region 04 Palembang"/>
    <s v="KCP DEPATI AMIR"/>
    <s v="Associate"/>
    <x v="9"/>
    <x v="19"/>
    <s v="Peserta Magang"/>
  </r>
  <r>
    <n v="0"/>
    <x v="1"/>
    <n v="401516"/>
    <s v="KCP"/>
    <s v="Sofiah Rahma Diya"/>
    <s v="Teller"/>
    <s v="KCP KOBA"/>
    <s v="Region 04 Palembang"/>
    <s v="FUNGSI OPERASIONAL &amp; LAYANAN"/>
    <s v="Associate"/>
    <x v="9"/>
    <x v="20"/>
    <s v="Peserta Magang"/>
  </r>
  <r>
    <n v="0"/>
    <x v="1"/>
    <n v="413680"/>
    <s v="KCP"/>
    <s v="Azzura Puti Faradiba"/>
    <s v="Teller"/>
    <s v="KCP TOBOALI"/>
    <s v="Region 04 Palembang"/>
    <s v="FUNGSI OPERASIONAL &amp; LAYANAN"/>
    <s v="Associate"/>
    <x v="9"/>
    <x v="18"/>
    <s v="Peserta Magang"/>
  </r>
  <r>
    <s v="K553370025"/>
    <x v="0"/>
    <n v="382049"/>
    <s v="KCP"/>
    <s v="Melinia Febrianti"/>
    <s v="Customer Service"/>
    <s v="KCP PENDOPO"/>
    <s v="Region 04 Palembang"/>
    <s v="FUNGSI OPERASIONAL &amp; LAYANAN"/>
    <s v="Associate"/>
    <x v="10"/>
    <x v="21"/>
    <s v="Kontrak Teller/CS"/>
  </r>
  <r>
    <s v="K617620325"/>
    <x v="0"/>
    <n v="391805"/>
    <s v="KCP"/>
    <s v="Rakes"/>
    <s v="Customer Service"/>
    <s v="KCP PENDOPO"/>
    <s v="Region 04 Palembang"/>
    <s v="FUNGSI OPERASIONAL &amp; LAYANAN"/>
    <s v="Associate"/>
    <x v="10"/>
    <x v="21"/>
    <s v="Kontrak Teller/CS"/>
  </r>
  <r>
    <s v="M335960025"/>
    <x v="1"/>
    <n v="393369"/>
    <s v="KCP"/>
    <s v="Ra Silvi Oktaviani"/>
    <s v="Teller"/>
    <s v="KCP PENDOPO"/>
    <s v="Region 04 Palembang"/>
    <s v="FUNGSI OPERASIONAL &amp; LAYANAN"/>
    <s v="Associate"/>
    <x v="10"/>
    <x v="21"/>
    <s v="Peserta Magang"/>
  </r>
  <r>
    <s v="K532750025"/>
    <x v="0"/>
    <n v="378512"/>
    <s v="KCP"/>
    <s v="Igra Soliqin"/>
    <s v="Customer Service"/>
    <s v="KCP MUARA TEBO"/>
    <s v="Region 04 Palembang"/>
    <s v="FUNGSI OPERASIONAL &amp; LAYANAN"/>
    <s v="Associate"/>
    <x v="11"/>
    <x v="22"/>
    <s v="Kontrak Teller/CS"/>
  </r>
  <r>
    <s v="K536130025"/>
    <x v="0"/>
    <n v="379860"/>
    <s v="KCP"/>
    <s v="Efi Deni Piyana"/>
    <s v="Customer Service"/>
    <s v="KCP MUARA TEBO"/>
    <s v="Region 04 Palembang"/>
    <s v="FUNGSI OPERASIONAL &amp; LAYANAN"/>
    <s v="Associate"/>
    <x v="11"/>
    <x v="22"/>
    <s v="Kontrak Teller/CS"/>
  </r>
  <r>
    <s v="M295210125"/>
    <x v="1"/>
    <n v="382069"/>
    <s v="KCP"/>
    <s v="Dhea Aryona Putri"/>
    <s v="Teller"/>
    <s v="KCP MUARA TEBO"/>
    <s v="Region 04 Palembang"/>
    <s v="FUNGSI OPERASIONAL &amp; LAYANAN"/>
    <s v="Associate"/>
    <x v="11"/>
    <x v="22"/>
    <s v="Peserta Magang"/>
  </r>
  <r>
    <s v="K435530024"/>
    <x v="0"/>
    <n v="360917"/>
    <s v="KCP"/>
    <s v="Yulia Nabilah"/>
    <s v="Customer Service"/>
    <s v="KCP PANGKALAN BALAI"/>
    <s v="Region 04 Palembang"/>
    <s v="FUNGSI OPERASIONAL &amp; LAYANAN"/>
    <s v="Associate"/>
    <x v="12"/>
    <x v="23"/>
    <s v="Kontrak Teller/CS"/>
  </r>
  <r>
    <s v="K525390125"/>
    <x v="0"/>
    <n v="376940"/>
    <s v="KCP"/>
    <s v="Nesya Dinda Aricha"/>
    <s v="Customer Service"/>
    <s v="KCP SUNGAI LILIN"/>
    <s v="Region 04 Palembang"/>
    <s v="FUNGSI OPERASIONAL &amp; LAYANAN"/>
    <s v="Associate"/>
    <x v="12"/>
    <x v="24"/>
    <s v="Kontrak Teller/CS"/>
  </r>
  <r>
    <s v="K531939925"/>
    <x v="0"/>
    <n v="378186"/>
    <s v="KCP"/>
    <s v="Army Juniar Hidayat"/>
    <s v="Customer Service"/>
    <s v="KCP SUNGAI LILIN"/>
    <s v="Region 04 Palembang"/>
    <s v="FUNGSI OPERASIONAL &amp; LAYANAN"/>
    <s v="Associate"/>
    <x v="12"/>
    <x v="24"/>
    <s v="Kontrak Teller/CS"/>
  </r>
  <r>
    <s v="K547280025"/>
    <x v="0"/>
    <n v="381518"/>
    <s v="KCP"/>
    <s v="Dwi Rahayu Ningsih"/>
    <s v="Customer Service"/>
    <s v="KCP PANGKALAN BALAI"/>
    <s v="Region 04 Palembang"/>
    <s v="FUNGSI OPERASIONAL &amp; LAYANAN"/>
    <s v="Associate"/>
    <x v="12"/>
    <x v="23"/>
    <s v="Kontrak Teller/CS"/>
  </r>
  <r>
    <n v="0"/>
    <x v="1"/>
    <n v="399666"/>
    <s v="KCP"/>
    <s v="Shannia Chandra Kirana"/>
    <s v="Teller"/>
    <s v="KCP SUNGAI LILIN"/>
    <s v="Region 04 Palembang"/>
    <s v="FUNGSI OPERASIONAL &amp; LAYANAN"/>
    <s v="Associate"/>
    <x v="12"/>
    <x v="24"/>
    <s v="Peserta Magang"/>
  </r>
  <r>
    <n v="0"/>
    <x v="1"/>
    <n v="400901"/>
    <s v="KCP"/>
    <s v="Novrino Fika Wardana"/>
    <s v="Teller"/>
    <s v="KCP PANGKALAN BALAI"/>
    <s v="Region 04 Palembang"/>
    <s v="FUNGSI OPERASIONAL &amp; LAYANAN"/>
    <s v="Associate"/>
    <x v="12"/>
    <x v="23"/>
    <s v="Peserta Magang"/>
  </r>
  <r>
    <s v="K521779825"/>
    <x v="0"/>
    <n v="375742"/>
    <s v="KCP"/>
    <s v="Novika Farhandina"/>
    <s v="Customer Service"/>
    <s v="KCP MENTOK"/>
    <s v="Region 04 Palembang"/>
    <s v="FUNGSI OPERASIONAL &amp; LAYANAN"/>
    <s v="Associate"/>
    <x v="13"/>
    <x v="25"/>
    <s v="Kontrak Teller/CS"/>
  </r>
  <r>
    <s v="K543800025"/>
    <x v="0"/>
    <n v="380516"/>
    <s v="KCP"/>
    <s v="Cut Mutia"/>
    <s v="Customer Service"/>
    <s v="KCP BELINYU"/>
    <s v="Region 04 Palembang"/>
    <s v="FUNGSI OPERASIONAL &amp; LAYANAN"/>
    <s v="Associate"/>
    <x v="13"/>
    <x v="26"/>
    <s v="Kontrak Teller/CS"/>
  </r>
  <r>
    <s v="M317550225"/>
    <x v="1"/>
    <n v="385557"/>
    <s v="KCP"/>
    <s v="Finky Feibraroos"/>
    <s v="Teller"/>
    <s v="KCP BELINYU"/>
    <s v="Region 04 Palembang"/>
    <s v="FUNGSI OPERASIONAL &amp; LAYANAN"/>
    <s v="Associate"/>
    <x v="13"/>
    <x v="26"/>
    <s v="Peserta Magang"/>
  </r>
  <r>
    <s v="M333370325"/>
    <x v="1"/>
    <n v="392523"/>
    <s v="KCP"/>
    <s v="Sabina Salsabila"/>
    <s v="Teller"/>
    <s v="KCP MENTOK"/>
    <s v="Region 04 Palembang"/>
    <s v="FUNGSI OPERASIONAL &amp; LAYANAN"/>
    <s v="Associate"/>
    <x v="13"/>
    <x v="25"/>
    <s v="Peserta Magang"/>
  </r>
  <r>
    <s v="K517139824"/>
    <x v="0"/>
    <n v="375231"/>
    <s v="KCP"/>
    <s v="Oktavia Andita Putri"/>
    <s v="Customer Service"/>
    <s v="KCP MANGGAR"/>
    <s v="Region 04 Palembang"/>
    <s v="FUNGSI OPERASIONAL &amp; LAYANAN"/>
    <s v="Associate"/>
    <x v="14"/>
    <x v="27"/>
    <s v="Kontrak Teller/CS"/>
  </r>
  <r>
    <s v="M312650225"/>
    <x v="1"/>
    <n v="387871"/>
    <s v="KCP"/>
    <s v="Amanda Putri Mulyadi"/>
    <s v="Teller"/>
    <s v="KCP MANGGAR"/>
    <s v="Region 04 Palembang"/>
    <s v="FUNGSI OPERASIONAL &amp; LAYANAN"/>
    <s v="Associate"/>
    <x v="14"/>
    <x v="27"/>
    <s v="Peserta Magang"/>
  </r>
  <r>
    <n v="0"/>
    <x v="1"/>
    <n v="405032"/>
    <s v="KCP"/>
    <s v="Abyan Nauvall"/>
    <s v="Teller"/>
    <s v="KCP MANGGAR"/>
    <s v="Region 04 Palembang"/>
    <s v="FUNGSI OPERASIONAL &amp; LAYANAN"/>
    <s v="Associate"/>
    <x v="14"/>
    <x v="27"/>
    <s v="Peserta Magang"/>
  </r>
  <r>
    <m/>
    <x v="2"/>
    <m/>
    <m/>
    <m/>
    <m/>
    <m/>
    <m/>
    <m/>
    <m/>
    <x v="15"/>
    <x v="28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s v="-"/>
    <x v="0"/>
    <n v="400890"/>
    <s v="UN"/>
    <s v="Ananda Elsa Ifani"/>
    <s v="Customer Service"/>
    <s v="U_3388_BANGKO KOTA"/>
    <s v="Region 04 Palembang"/>
    <s v="TERAS PASAR BARU"/>
    <s v="Associate"/>
    <s v="KC Bangko"/>
    <x v="0"/>
    <s v="Kontrak Teller/CS"/>
  </r>
  <r>
    <n v="0"/>
    <x v="1"/>
    <n v="406876"/>
    <s v="UN"/>
    <s v="Anya Fidela Arista"/>
    <s v="Teller"/>
    <s v="U_3388_BANGKO KOTA"/>
    <s v="Region 04 Palembang"/>
    <s v="TERAS PASAR BARU"/>
    <s v="Associate"/>
    <s v="KC Bangko"/>
    <x v="0"/>
    <s v="Peserta Magang"/>
  </r>
  <r>
    <s v="K173509823"/>
    <x v="0"/>
    <n v="328405"/>
    <s v="UN"/>
    <s v="Tata Angraini"/>
    <s v="Customer Service"/>
    <s v="U_3286_KOTA BATURAJA"/>
    <s v="Region 04 Palembang"/>
    <s v="TERAS PASAR BARU BATURAJA"/>
    <s v="Associate"/>
    <s v="KC Baturaja"/>
    <x v="1"/>
    <s v="Kontrak Teller/CS"/>
  </r>
  <r>
    <s v="K495650224"/>
    <x v="0"/>
    <n v="370982"/>
    <s v="UN"/>
    <s v="Wardatuz Zakiatul Aufa"/>
    <s v="Customer Service"/>
    <s v="U_5611_MARTAPURA"/>
    <s v="Region 04 Palembang"/>
    <s v="TERAS MARTAPURA"/>
    <s v="Associate"/>
    <s v="KC Baturaja"/>
    <x v="2"/>
    <s v="Kontrak Teller/CS"/>
  </r>
  <r>
    <s v="-"/>
    <x v="0"/>
    <n v="400891"/>
    <s v="UN"/>
    <s v="Muhammad Fachran Reza"/>
    <s v="Customer Service"/>
    <s v="U_5605_BATUMARTA"/>
    <s v="Region 04 Palembang"/>
    <s v="TERAS UNIT 6"/>
    <s v="Associate"/>
    <s v="KC Baturaja"/>
    <x v="3"/>
    <s v="Kontrak Teller/CS"/>
  </r>
  <r>
    <s v="-"/>
    <x v="0"/>
    <n v="404720"/>
    <s v="UN"/>
    <s v="Repi Yanutri"/>
    <s v="Customer Service"/>
    <s v="U_5609_HARJOWINANGUN"/>
    <s v="Region 04 Palembang"/>
    <s v="TERAS SIDORAHAYU"/>
    <s v="Associate"/>
    <s v="KC Baturaja"/>
    <x v="4"/>
    <s v="Kontrak Teller/CS"/>
  </r>
  <r>
    <s v="M333330025"/>
    <x v="1"/>
    <n v="392517"/>
    <s v="UN"/>
    <s v="Restiyuan Cikomandalia"/>
    <s v="Teller"/>
    <s v="U_3286_KOTA BATURAJA"/>
    <s v="Region 04 Palembang"/>
    <s v="TERAS PASAR BARU BATURAJA"/>
    <s v="Associate"/>
    <s v="KC Baturaja"/>
    <x v="1"/>
    <s v="Peserta Magang"/>
  </r>
  <r>
    <n v="0"/>
    <x v="1"/>
    <n v="402020"/>
    <s v="UN"/>
    <s v="Ahmad Gandi"/>
    <s v="Teller"/>
    <s v="U_5605_BATUMARTA"/>
    <s v="Region 04 Palembang"/>
    <s v="TERAS UNIT 6"/>
    <s v="Associate"/>
    <s v="KC Baturaja"/>
    <x v="3"/>
    <s v="Peserta Magang"/>
  </r>
  <r>
    <n v="0"/>
    <x v="1"/>
    <n v="404669"/>
    <s v="UN"/>
    <s v="Shintia Apriani"/>
    <s v="Teller"/>
    <s v="U_5611_MARTAPURA"/>
    <s v="Region 04 Palembang"/>
    <s v="TERAS MARTAPURA"/>
    <s v="Associate"/>
    <s v="KC Baturaja"/>
    <x v="2"/>
    <s v="Peserta Magang"/>
  </r>
  <r>
    <n v="0"/>
    <x v="1"/>
    <n v="404675"/>
    <s v="UN"/>
    <s v="Nadia Frasiska"/>
    <s v="Teller"/>
    <s v="U_5609_HARJOWINANGUN"/>
    <s v="Region 04 Palembang"/>
    <s v="TERAS SIDORAHAYU"/>
    <s v="Associate"/>
    <s v="KC Baturaja"/>
    <x v="4"/>
    <s v="Peserta Magang"/>
  </r>
  <r>
    <s v="K429199824"/>
    <x v="1"/>
    <n v="359085"/>
    <s v="UN"/>
    <s v="Tika Wahyuni"/>
    <s v="Teller"/>
    <s v="U_5628_ANGSO DUO"/>
    <s v="Region 04 Palembang"/>
    <s v="TERAS ANGSO DUO"/>
    <s v="Associate"/>
    <s v="KC Jambi"/>
    <x v="5"/>
    <s v="Kontrak Teller/CS"/>
  </r>
  <r>
    <s v="K174209723"/>
    <x v="0"/>
    <n v="328548"/>
    <s v="UN"/>
    <s v="Syahira Hidaya"/>
    <s v="Customer Service"/>
    <s v="U_3550_TEBING TINGGI LAHAT"/>
    <s v="Region 04 Palembang"/>
    <s v="TERAS PASAR ILIR"/>
    <s v="Associate"/>
    <s v="KC Lahat"/>
    <x v="6"/>
    <s v="Kontrak Teller/CS"/>
  </r>
  <r>
    <s v="K521060025"/>
    <x v="0"/>
    <n v="375499"/>
    <s v="UN"/>
    <s v="Hani Juita Putri"/>
    <s v="Customer Service"/>
    <s v="U_3393_PASAR LAMA"/>
    <s v="Region 04 Palembang"/>
    <s v="TERAS KAVLING"/>
    <s v="Associate"/>
    <s v="KC Lahat"/>
    <x v="7"/>
    <s v="Kontrak Teller/CS"/>
  </r>
  <r>
    <s v="M284030125"/>
    <x v="1"/>
    <n v="378197"/>
    <s v="UN"/>
    <s v="Deni Triansyah"/>
    <s v="Teller"/>
    <s v="U_5675_PASAR LEMATANG"/>
    <s v="Region 04 Palembang"/>
    <s v="TERAS PTM SQUARE"/>
    <s v="Associate"/>
    <s v="KC Lahat"/>
    <x v="8"/>
    <s v="Peserta Magang"/>
  </r>
  <r>
    <s v="M315880125"/>
    <x v="1"/>
    <n v="388684"/>
    <s v="UN"/>
    <s v="Rizki Arya Nugraha"/>
    <s v="Teller"/>
    <s v="U_3550_TEBING TINGGI LAHAT"/>
    <s v="Region 04 Palembang"/>
    <s v="TERAS PASAR ILIR"/>
    <s v="Associate"/>
    <s v="KC Lahat"/>
    <x v="6"/>
    <s v="Peserta Magang"/>
  </r>
  <r>
    <n v="0"/>
    <x v="1"/>
    <n v="399624"/>
    <s v="UN"/>
    <s v="M Ridho"/>
    <s v="Teller"/>
    <s v="U_3393_PASAR LAMA"/>
    <s v="Region 04 Palembang"/>
    <s v="TERAS KAVLING"/>
    <s v="Associate"/>
    <s v="KC Lahat"/>
    <x v="7"/>
    <s v="Peserta Magang"/>
  </r>
  <r>
    <s v="K477639824"/>
    <x v="0"/>
    <n v="367987"/>
    <s v="UN"/>
    <s v="Tifani Claudi Arum"/>
    <s v="Customer Service"/>
    <s v="U_5730_SUDIRMAN MUARA ENIM"/>
    <s v="Region 04 Palembang"/>
    <s v="TERAS UJAN MAS"/>
    <s v="Associate"/>
    <s v="KC Muara Enim"/>
    <x v="9"/>
    <s v="Kontrak Teller/CS"/>
  </r>
  <r>
    <s v="K512900224"/>
    <x v="0"/>
    <n v="373726"/>
    <s v="UN"/>
    <s v="Vina Resalia"/>
    <s v="Customer Service"/>
    <s v="U_5732_TANJUNG ENIM"/>
    <s v="Region 04 Palembang"/>
    <s v="TERAS PASAR TANJUNG ENIM"/>
    <s v="Associate"/>
    <s v="KC Muara Enim"/>
    <x v="10"/>
    <s v="Kontrak Teller/CS"/>
  </r>
  <r>
    <s v="K552870125"/>
    <x v="0"/>
    <n v="381903"/>
    <s v="UN"/>
    <s v="Halimah Tusa'diah"/>
    <s v="Customer Service"/>
    <s v="U_5730_SUDIRMAN MUARA ENIM"/>
    <s v="Region 04 Palembang"/>
    <s v="TERAS MUARA HARAPAN"/>
    <s v="Associate"/>
    <s v="KC Muara Enim"/>
    <x v="9"/>
    <s v="Kontrak Teller/CS"/>
  </r>
  <r>
    <s v="K559780025"/>
    <x v="0"/>
    <n v="384112"/>
    <s v="UN"/>
    <s v="Warikon Wasi"/>
    <s v="Customer Service"/>
    <s v="U_5729_PULAU PANGGUNG"/>
    <s v="Region 04 Palembang"/>
    <s v="TERAS TG. TUBANG"/>
    <s v="Associate"/>
    <s v="KC Muara Enim"/>
    <x v="11"/>
    <s v="Kontrak Teller/CS"/>
  </r>
  <r>
    <s v="K602530225"/>
    <x v="0"/>
    <n v="388315"/>
    <s v="UN"/>
    <s v="Tiara Sri Rezki"/>
    <s v="Customer Service"/>
    <s v="U_5728_MUARA ENIM"/>
    <s v="Region 04 Palembang"/>
    <s v="TERAS PASAR MUARA ENIM"/>
    <s v="Associate"/>
    <s v="KC Muara Enim"/>
    <x v="12"/>
    <s v="Kontrak Teller/CS"/>
  </r>
  <r>
    <s v="-"/>
    <x v="0"/>
    <n v="413386"/>
    <s v="UN"/>
    <s v="Shah Jeehan Alied Fahlan"/>
    <s v="Customer Service"/>
    <s v="U_5727_GUNUNG MEGANG"/>
    <s v="Region 04 Palembang"/>
    <s v="TERAS SUMAJA MAKMUR"/>
    <s v="Associate"/>
    <s v="KC Muara Enim"/>
    <x v="13"/>
    <s v="Kontrak Teller/CS"/>
  </r>
  <r>
    <s v="M280320125"/>
    <x v="1"/>
    <n v="377302"/>
    <s v="UN"/>
    <s v="Adella Cahyani"/>
    <s v="Teller"/>
    <s v="U_5727_GUNUNG MEGANG"/>
    <s v="Region 04 Palembang"/>
    <s v="TERAS SUMAJA MAKMUR"/>
    <s v="Associate"/>
    <s v="KC Muara Enim"/>
    <x v="13"/>
    <s v="Peserta Magang"/>
  </r>
  <r>
    <n v="0"/>
    <x v="1"/>
    <n v="395380"/>
    <s v="UN"/>
    <s v="Melssy Fransisca"/>
    <s v="Teller"/>
    <s v="U_5730_SUDIRMAN MUARA ENIM"/>
    <s v="Region 04 Palembang"/>
    <s v="TERAS MUARA HARAPAN"/>
    <s v="Associate"/>
    <s v="KC Muara Enim"/>
    <x v="9"/>
    <s v="Peserta Magang"/>
  </r>
  <r>
    <n v="0"/>
    <x v="1"/>
    <n v="397090"/>
    <s v="UN"/>
    <s v="Moh Dewa Hary S"/>
    <s v="Teller"/>
    <s v="U_5728_MUARA ENIM"/>
    <s v="Region 04 Palembang"/>
    <s v="TERAS PASAR MUARA ENIM"/>
    <s v="Associate"/>
    <s v="KC Muara Enim"/>
    <x v="12"/>
    <s v="Peserta Magang"/>
  </r>
  <r>
    <n v="0"/>
    <x v="1"/>
    <n v="397872"/>
    <s v="UN"/>
    <s v="Agel Andrean"/>
    <s v="Teller"/>
    <s v="U_5729_PULAU PANGGUNG"/>
    <s v="Region 04 Palembang"/>
    <s v="TERAS TG. TUBANG"/>
    <s v="Associate"/>
    <s v="KC Muara Enim"/>
    <x v="11"/>
    <s v="Peserta Magang"/>
  </r>
  <r>
    <n v="0"/>
    <x v="1"/>
    <n v="403331"/>
    <s v="UN"/>
    <s v="Isaura Laprilia"/>
    <s v="Teller"/>
    <s v="U_5732_TANJUNG ENIM"/>
    <s v="Region 04 Palembang"/>
    <s v="TERAS PASAR TANJUNG ENIM"/>
    <s v="Associate"/>
    <s v="KC Muara Enim"/>
    <x v="10"/>
    <s v="Peserta Magang"/>
  </r>
  <r>
    <n v="0"/>
    <x v="1"/>
    <n v="403333"/>
    <s v="UN"/>
    <s v="M Rio Saragih"/>
    <s v="Teller"/>
    <s v="U_5730_SUDIRMAN MUARA ENIM"/>
    <s v="Region 04 Palembang"/>
    <s v="TERAS UJAN MAS"/>
    <s v="Associate"/>
    <s v="KC Muara Enim"/>
    <x v="9"/>
    <s v="Peserta Magang"/>
  </r>
  <r>
    <s v="-"/>
    <x v="0"/>
    <n v="398832"/>
    <s v="UN"/>
    <s v="Derimariani"/>
    <s v="Customer Service"/>
    <s v="U_5736_PAGAR ALAM"/>
    <s v="Region 04 Palembang"/>
    <s v="TERAS NENDAGUNG"/>
    <s v="Associate"/>
    <s v="KC Pagar Alam"/>
    <x v="14"/>
    <s v="Kontrak Teller/CS"/>
  </r>
  <r>
    <s v="K602639925"/>
    <x v="1"/>
    <n v="388349"/>
    <s v="UN"/>
    <s v="Zerra Novalina"/>
    <s v="Teller"/>
    <s v="U_5736_PAGAR ALAM"/>
    <s v="Region 04 Palembang"/>
    <s v="TERAS NENDAGUNG"/>
    <s v="Associate"/>
    <s v="KC Pagar Alam"/>
    <x v="14"/>
    <s v="Kontrak Teller/CS"/>
  </r>
  <r>
    <n v="0"/>
    <x v="0"/>
    <n v="396865"/>
    <s v="UN"/>
    <s v="DWI YULIANTI IRHAM"/>
    <s v="Customer Service"/>
    <s v="U_5739_KEBUN BUNGA"/>
    <s v="Region 04 Palembang"/>
    <s v="TERAS TALANG JAMBE"/>
    <s v="Associate"/>
    <s v="KC Palembang Sriwijaya"/>
    <x v="15"/>
    <s v="Kontrak Teller/CS"/>
  </r>
  <r>
    <n v="0"/>
    <x v="0"/>
    <n v="409373"/>
    <s v="UN"/>
    <s v="Fitriayu Iryanda Sekartaji"/>
    <s v="Customer Service"/>
    <s v="U_5788_SUKAJADI"/>
    <s v="Region 04 Palembang"/>
    <s v="TERAS TANJUNG SIAPI-API"/>
    <s v="Associate"/>
    <s v="KC Palembang Sriwijaya"/>
    <x v="16"/>
    <s v="Kontrak Teller/CS"/>
  </r>
  <r>
    <n v="0"/>
    <x v="0"/>
    <n v="413519"/>
    <s v="UN"/>
    <s v="Nyayu Afriza Alhusna"/>
    <s v="Customer Service"/>
    <s v="U_5761_KENTEN SAKO"/>
    <s v="Region 04 Palembang"/>
    <s v="TERAS PASAR SAKO"/>
    <s v="Associate"/>
    <s v="KC Palembang Sriwijaya"/>
    <x v="17"/>
    <s v="Kontrak Teller/CS"/>
  </r>
  <r>
    <n v="0"/>
    <x v="1"/>
    <n v="409384"/>
    <s v="UN"/>
    <s v="Muhammad Maulana Al Farizi"/>
    <s v="Teller"/>
    <s v="U_5761_KENTEN SAKO"/>
    <s v="Region 04 Palembang"/>
    <s v="TERAS PASAR SAKO"/>
    <s v="Associate"/>
    <s v="KC Palembang Sriwijaya"/>
    <x v="17"/>
    <s v="Peserta Magang"/>
  </r>
  <r>
    <n v="0"/>
    <x v="1"/>
    <n v="409385"/>
    <s v="UN"/>
    <s v="Alan Refaldi"/>
    <s v="Teller"/>
    <s v="U_5788_SUKAJADI"/>
    <s v="Region 04 Palembang"/>
    <s v="TERAS TANJUNG SIAPI-API"/>
    <s v="Associate"/>
    <s v="KC Palembang Sriwijaya"/>
    <x v="16"/>
    <s v="Peserta Magang"/>
  </r>
  <r>
    <n v="0"/>
    <x v="1"/>
    <n v="409386"/>
    <s v="UN"/>
    <s v="Rizki Dwi Rahmat"/>
    <s v="Teller"/>
    <s v="U_5739_KEBUN BUNGA"/>
    <s v="Region 04 Palembang"/>
    <s v="TERAS TALANG JAMBE"/>
    <s v="Associate"/>
    <s v="KC Palembang Sriwijaya"/>
    <x v="15"/>
    <s v="Peserta Magang"/>
  </r>
  <r>
    <s v="K400999923"/>
    <x v="0"/>
    <n v="349687"/>
    <s v="UN"/>
    <s v="Deasy Rahmiyana"/>
    <s v="Customer Service"/>
    <s v="U_5765_PANGKAL PINANG II"/>
    <s v="Region 04 Palembang"/>
    <s v="TERAS PASAR PAGI"/>
    <s v="Associate"/>
    <s v="KC Pangkal Pinang"/>
    <x v="18"/>
    <s v="Kontrak Teller/CS"/>
  </r>
  <r>
    <s v="K427320024"/>
    <x v="0"/>
    <n v="360731"/>
    <s v="UN"/>
    <s v="Mely Sintia"/>
    <s v="Customer Service"/>
    <s v="U_7142_SOEKARNO HATTA PANGKALPINANG"/>
    <s v="Region 04 Palembang"/>
    <s v="TERAS NAMANG"/>
    <s v="Associate"/>
    <s v="KC Pangkal Pinang"/>
    <x v="19"/>
    <s v="Kontrak Teller/CS"/>
  </r>
  <r>
    <s v="-"/>
    <x v="0"/>
    <n v="413605"/>
    <s v="UN"/>
    <s v="Anisa Meilianti"/>
    <s v="Customer Service"/>
    <s v="U_5764_KOBA"/>
    <s v="Region 04 Palembang"/>
    <s v="TERAS LUBUK BESAR"/>
    <s v="Associate"/>
    <s v="KC Pangkal Pinang"/>
    <x v="20"/>
    <s v="Kontrak Teller/CS"/>
  </r>
  <r>
    <s v="-"/>
    <x v="0"/>
    <n v="413711"/>
    <s v="UN"/>
    <s v="Grasia Viorina"/>
    <s v="Customer Service"/>
    <s v="U_3397_PANGKAL PINANG I"/>
    <s v="Region 04 Palembang"/>
    <s v="TERAS PASAR PASIR PUTIH"/>
    <s v="Associate"/>
    <s v="KC Pangkal Pinang"/>
    <x v="21"/>
    <s v="Kontrak Teller/CS"/>
  </r>
  <r>
    <s v="M326270325"/>
    <x v="1"/>
    <n v="389742"/>
    <s v="UN"/>
    <s v="Kevin Georgy Kilen"/>
    <s v="Teller"/>
    <s v="U_5764_KOBA"/>
    <s v="Region 04 Palembang"/>
    <s v="TERAS LUBUK BESAR"/>
    <s v="Associate"/>
    <s v="KC Pangkal Pinang"/>
    <x v="20"/>
    <s v="Peserta Magang"/>
  </r>
  <r>
    <s v="M336000525"/>
    <x v="1"/>
    <n v="393373"/>
    <s v="UN"/>
    <s v="Oloan Suryadjaya S"/>
    <s v="Teller"/>
    <s v="U_3397_PANGKAL PINANG I"/>
    <s v="Region 04 Palembang"/>
    <s v="TERAS PASAR PASIR PUTIH"/>
    <s v="Associate"/>
    <s v="KC Pangkal Pinang"/>
    <x v="21"/>
    <s v="Peserta Magang"/>
  </r>
  <r>
    <s v="M338620225"/>
    <x v="1"/>
    <n v="394572"/>
    <s v="UN"/>
    <s v="Christin Claudia Tambunan"/>
    <s v="Teller"/>
    <s v="U_7142_SOEKARNO HATTA PANGKALPINANG"/>
    <s v="Region 04 Palembang"/>
    <s v="TERAS NAMANG"/>
    <s v="Associate"/>
    <s v="KC Pangkal Pinang"/>
    <x v="19"/>
    <s v="Peserta Magang"/>
  </r>
  <r>
    <n v="0"/>
    <x v="1"/>
    <n v="413688"/>
    <s v="UN"/>
    <s v="Rendi"/>
    <s v="Teller"/>
    <s v="U_5765_PANGKAL PINANG II"/>
    <s v="Region 04 Palembang"/>
    <s v="TERAS PASAR PAGI"/>
    <s v="Associate"/>
    <s v="KC Pangkal Pinang"/>
    <x v="18"/>
    <s v="Peserta Magang"/>
  </r>
  <r>
    <s v="K173419623"/>
    <x v="0"/>
    <n v="328806"/>
    <s v="UN"/>
    <s v="Novika Vionita M"/>
    <s v="Customer Service"/>
    <s v="U_3554_MUARA TEBO"/>
    <s v="Region 04 Palembang"/>
    <s v="TERAS PASAR MUARA TEBO"/>
    <s v="Associate"/>
    <s v="KC Rimbo Bujang"/>
    <x v="22"/>
    <s v="Kontrak Teller/CS"/>
  </r>
  <r>
    <s v="-"/>
    <x v="0"/>
    <n v="408922"/>
    <s v="UN"/>
    <s v="Gendis Ajeng Windu Asri"/>
    <s v="Customer Service"/>
    <s v="U_3395_RIMBO BUJANG"/>
    <s v="Region 04 Palembang"/>
    <s v="TERAS PASAR SARINAH RIMBO BUJANG"/>
    <s v="Associate"/>
    <s v="KC Rimbo Bujang"/>
    <x v="23"/>
    <s v="Kontrak Teller/CS"/>
  </r>
  <r>
    <s v="-"/>
    <x v="0"/>
    <n v="410746"/>
    <s v="UN"/>
    <s v="Joko Suriadi"/>
    <s v="Customer Service"/>
    <s v="U_5725_SUNGAI BENGKAL"/>
    <s v="Region 04 Palembang"/>
    <s v="TERAS SIMPANG NIAM"/>
    <s v="Associate"/>
    <s v="KC Rimbo Bujang"/>
    <x v="24"/>
    <s v="Kontrak Teller/CS"/>
  </r>
  <r>
    <s v="M293280025"/>
    <x v="1"/>
    <n v="381397"/>
    <s v="UN"/>
    <s v="Fauzan Fernaldo"/>
    <s v="Teller"/>
    <s v="U_3395_RIMBO BUJANG"/>
    <s v="Region 04 Palembang"/>
    <s v="TERAS PASAR SARINAH RIMBO BUJANG"/>
    <s v="Associate"/>
    <s v="KC Rimbo Bujang"/>
    <x v="23"/>
    <s v="Peserta Magang"/>
  </r>
  <r>
    <s v="M334560125"/>
    <x v="1"/>
    <n v="392965"/>
    <s v="UN"/>
    <s v="M. Rafly Tri Harnanda"/>
    <s v="Teller"/>
    <s v="U_5725_SUNGAI BENGKAL"/>
    <s v="Region 04 Palembang"/>
    <s v="TERAS SIMPANG NIAM"/>
    <s v="Associate"/>
    <s v="KC Rimbo Bujang"/>
    <x v="24"/>
    <s v="Peserta Magang"/>
  </r>
  <r>
    <n v="0"/>
    <x v="1"/>
    <n v="410747"/>
    <s v="UN"/>
    <s v="Ayu Wulandari"/>
    <s v="Teller"/>
    <s v="U_3554_MUARA TEBO"/>
    <s v="Region 04 Palembang"/>
    <s v="TERAS PASAR MUARA TEBO"/>
    <s v="Associate"/>
    <s v="KC Rimbo Bujang"/>
    <x v="22"/>
    <s v="Peserta Magang"/>
  </r>
  <r>
    <s v="K522260125"/>
    <x v="0"/>
    <n v="375919"/>
    <s v="UN"/>
    <s v="Hafizah Nur Fadilla"/>
    <s v="Customer Service"/>
    <s v="U_3373_SAROLANGUN"/>
    <s v="Region 04 Palembang"/>
    <s v="TERAS PASAR SAROLANGUN"/>
    <s v="Associate"/>
    <s v="KC Sarolangun"/>
    <x v="25"/>
    <s v="Kontrak Teller/CS"/>
  </r>
  <r>
    <s v="K522270125"/>
    <x v="0"/>
    <n v="375921"/>
    <s v="UN"/>
    <s v="Munawaroh"/>
    <s v="Customer Service"/>
    <s v="U_5604_SINGKUT"/>
    <s v="Region 04 Palembang"/>
    <s v="TERAS PASAR SINGKUT"/>
    <s v="Associate"/>
    <s v="KC Sarolangun"/>
    <x v="26"/>
    <s v="Kontrak Teller/CS"/>
  </r>
  <r>
    <n v="0"/>
    <x v="0"/>
    <n v="396869"/>
    <s v="UN"/>
    <s v="Naufal Farhan"/>
    <s v="Customer Service"/>
    <s v="U_8062_LIMBUR"/>
    <s v="Region 04 Palembang"/>
    <s v="TERAS TANAH ABANG"/>
    <s v="Associate"/>
    <s v="KC Sarolangun"/>
    <x v="27"/>
    <s v="Kontrak Teller/CS"/>
  </r>
  <r>
    <s v="M278500125"/>
    <x v="1"/>
    <n v="376741"/>
    <s v="UN"/>
    <s v="Devin Arnouly Putra"/>
    <s v="Teller"/>
    <s v="U_8062_LIMBUR"/>
    <s v="Region 04 Palembang"/>
    <s v="TERAS TANAH ABANG"/>
    <s v="Associate"/>
    <s v="KC Sarolangun"/>
    <x v="27"/>
    <s v="Peserta Magang"/>
  </r>
  <r>
    <s v="M291730025"/>
    <x v="1"/>
    <n v="380784"/>
    <s v="UN"/>
    <s v="Uhuta Unggul Sabila"/>
    <s v="Teller"/>
    <s v="U_5604_SINGKUT"/>
    <s v="Region 04 Palembang"/>
    <s v="TERAS PASAR SINGKUT"/>
    <s v="Associate"/>
    <s v="KC Sarolangun"/>
    <x v="26"/>
    <s v="Peserta Magang"/>
  </r>
  <r>
    <s v="M317370225"/>
    <x v="1"/>
    <n v="385410"/>
    <s v="UN"/>
    <s v="Danisa Alzura Olpelda"/>
    <s v="Teller"/>
    <s v="U_3373_SAROLANGUN"/>
    <s v="Region 04 Palembang"/>
    <s v="TERAS PASAR SAROLANGUN"/>
    <s v="Associate"/>
    <s v="KC Sarolangun"/>
    <x v="25"/>
    <s v="Peserta Magang"/>
  </r>
  <r>
    <s v="-"/>
    <x v="0"/>
    <n v="400751"/>
    <s v="UN"/>
    <s v="Muhammad Bagus"/>
    <s v="Customer Service"/>
    <s v="U_5806_PASAR BAWAH"/>
    <s v="Region 04 Palembang"/>
    <s v="TERAS GANG KIMTING"/>
    <s v="Associate"/>
    <s v="KC Tanjung Pandan"/>
    <x v="28"/>
    <s v="Kontrak Teller/CS"/>
  </r>
  <r>
    <n v="0"/>
    <x v="1"/>
    <n v="403329"/>
    <s v="UN"/>
    <s v="Dwi Syalwah Safitri"/>
    <s v="Teller"/>
    <s v="U_5806_PASAR BAWAH"/>
    <s v="Region 04 Palembang"/>
    <s v="TERAS GANG KIMTING"/>
    <s v="Associate"/>
    <s v="KC Tanjung Pandan"/>
    <x v="28"/>
    <s v="Peserta Magang"/>
  </r>
  <r>
    <m/>
    <x v="2"/>
    <m/>
    <m/>
    <m/>
    <m/>
    <m/>
    <m/>
    <m/>
    <m/>
    <m/>
    <x v="29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1">
  <r>
    <s v="K173399823"/>
    <x v="0"/>
    <n v="328715"/>
    <s v="UN"/>
    <s v="Ananda Jihan"/>
    <s v="Customer Service"/>
    <s v="U_5630_SIMPANG KAWAT"/>
    <s v="Region 04 Palembang"/>
    <s v="UNIT SIMPANG KAWAT"/>
    <s v="Associate"/>
    <s v="KC Abunjani Sipin"/>
    <x v="0"/>
    <s v="Kontrak Teller/CS"/>
  </r>
  <r>
    <s v="K367430023"/>
    <x v="0"/>
    <n v="347095"/>
    <s v="UN"/>
    <s v="Chastity Delania Daeli"/>
    <s v="Customer Service"/>
    <s v="U_7042_FATAHILAH"/>
    <s v="Region 04 Palembang"/>
    <s v="UNIT FATAHILAH"/>
    <s v="Associate"/>
    <s v="KC Abunjani Sipin"/>
    <x v="1"/>
    <s v="Kontrak Teller/CS"/>
  </r>
  <r>
    <s v="K400950023"/>
    <x v="0"/>
    <n v="349672"/>
    <s v="UN"/>
    <s v="Elza Dwi Safitri"/>
    <s v="Customer Service"/>
    <s v="U_5631_SIMPANG RIMBO"/>
    <s v="Region 04 Palembang"/>
    <s v="UNIT SIMPANG RIMBO"/>
    <s v="Associate"/>
    <s v="KC Abunjani Sipin"/>
    <x v="2"/>
    <s v="Kontrak Teller/CS"/>
  </r>
  <r>
    <s v="K400969923"/>
    <x v="0"/>
    <n v="349673"/>
    <s v="UN"/>
    <s v="Sri Puji Rahayu"/>
    <s v="Customer Service"/>
    <s v="U_5633_SULTAN THAHA"/>
    <s v="Region 04 Palembang"/>
    <s v="UNIT SULTAN THAHA"/>
    <s v="Associate"/>
    <s v="KC Abunjani Sipin"/>
    <x v="3"/>
    <s v="Kontrak Teller/CS"/>
  </r>
  <r>
    <s v="K393279924"/>
    <x v="0"/>
    <n v="353821"/>
    <s v="UN"/>
    <s v="Elga Nurhavita"/>
    <s v="Customer Service"/>
    <s v="U_5714_MENDALO INDAH"/>
    <s v="Region 04 Palembang"/>
    <s v="UNIT MENDALO INDAH"/>
    <s v="Associate"/>
    <s v="KC Abunjani Sipin"/>
    <x v="4"/>
    <s v="Kontrak Teller/CS"/>
  </r>
  <r>
    <s v="K626110025"/>
    <x v="0"/>
    <n v="393713"/>
    <s v="UN"/>
    <s v="Muhammad Rivaldo"/>
    <s v="Customer Service"/>
    <s v="U_7105_PETALING"/>
    <s v="Region 04 Palembang"/>
    <s v="UNIT PETALING"/>
    <s v="Associate"/>
    <s v="KC Abunjani Sipin"/>
    <x v="5"/>
    <s v="Kontrak Teller/CS"/>
  </r>
  <r>
    <s v="K626120125"/>
    <x v="0"/>
    <n v="393714"/>
    <s v="UN"/>
    <s v="Widia Hastuti"/>
    <s v="Customer Service"/>
    <s v="U_7103_KASANG JAYA"/>
    <s v="Region 04 Palembang"/>
    <s v="UNIT KASANG JAYA"/>
    <s v="Associate"/>
    <s v="KC Abunjani Sipin"/>
    <x v="6"/>
    <s v="Kontrak Teller/CS"/>
  </r>
  <r>
    <n v="0"/>
    <x v="0"/>
    <n v="402426"/>
    <s v="UN"/>
    <s v="Azhar Sidik"/>
    <s v="Customer Service"/>
    <s v="U_7767_TALANG BAKUNG"/>
    <s v="Region 04 Palembang"/>
    <s v="UNIT TALANG BAKUNG"/>
    <s v="Associate"/>
    <s v="KC Abunjani Sipin"/>
    <x v="7"/>
    <s v="Kontrak Teller/CS"/>
  </r>
  <r>
    <s v="-"/>
    <x v="0"/>
    <n v="406319"/>
    <s v="UN"/>
    <s v="Muhammad Yuda Syaputra"/>
    <s v="Customer Service"/>
    <s v="U_7338_MAYANG"/>
    <s v="Region 04 Palembang"/>
    <s v="UNIT MAYANG"/>
    <s v="Associate"/>
    <s v="KC Abunjani Sipin"/>
    <x v="8"/>
    <s v="Kontrak Teller/CS"/>
  </r>
  <r>
    <s v="-"/>
    <x v="0"/>
    <n v="407210"/>
    <s v="UN"/>
    <s v="Meli Fitria"/>
    <s v="Customer Service"/>
    <s v="U_7338_MAYANG"/>
    <s v="Region 04 Palembang"/>
    <s v="UNIT MAYANG"/>
    <s v="Associate"/>
    <s v="KC Abunjani Sipin"/>
    <x v="8"/>
    <s v="Kontrak Teller/CS"/>
  </r>
  <r>
    <s v="-"/>
    <x v="0"/>
    <n v="407211"/>
    <s v="UN"/>
    <s v="Analysia Kinanti Kastaman"/>
    <s v="Customer Service"/>
    <s v="U_7608_KEBUN HANDIL"/>
    <s v="Region 04 Palembang"/>
    <s v="UNIT KEBUN HANDIL"/>
    <s v="Associate"/>
    <s v="KC Abunjani Sipin"/>
    <x v="9"/>
    <s v="Kontrak Teller/CS"/>
  </r>
  <r>
    <s v="M287870225"/>
    <x v="1"/>
    <n v="379306"/>
    <s v="UN"/>
    <s v="Febricha Larasati Putri"/>
    <s v="Teller"/>
    <s v="U_7767_TALANG BAKUNG"/>
    <s v="Region 04 Palembang"/>
    <s v="UNIT TALANG BAKUNG"/>
    <s v="Associate"/>
    <s v="KC Abunjani Sipin"/>
    <x v="7"/>
    <s v="Peserta Magang"/>
  </r>
  <r>
    <s v="M290980025"/>
    <x v="1"/>
    <n v="380521"/>
    <s v="UN"/>
    <s v="Audre Nabila Suandry"/>
    <s v="Teller"/>
    <s v="U_5633_SULTAN THAHA"/>
    <s v="Region 04 Palembang"/>
    <s v="UNIT SULTAN THAHA"/>
    <s v="Associate"/>
    <s v="KC Abunjani Sipin"/>
    <x v="3"/>
    <s v="Peserta Magang"/>
  </r>
  <r>
    <n v="0"/>
    <x v="1"/>
    <n v="400915"/>
    <s v="UN"/>
    <s v="Fahroza Suci Pratiwi"/>
    <s v="Teller"/>
    <s v="U_7608_KEBUN HANDIL"/>
    <s v="Region 04 Palembang"/>
    <s v="UNIT KEBUN HANDIL"/>
    <s v="Associate"/>
    <s v="KC Abunjani Sipin"/>
    <x v="9"/>
    <s v="Peserta Magang"/>
  </r>
  <r>
    <n v="0"/>
    <x v="1"/>
    <n v="402428"/>
    <s v="UN"/>
    <s v="Risca Rahmadana"/>
    <s v="Teller"/>
    <s v="U_5631_SIMPANG RIMBO"/>
    <s v="Region 04 Palembang"/>
    <s v="UNIT SIMPANG RIMBO"/>
    <s v="Associate"/>
    <s v="KC Abunjani Sipin"/>
    <x v="2"/>
    <s v="Peserta Magang"/>
  </r>
  <r>
    <n v="0"/>
    <x v="1"/>
    <n v="402429"/>
    <s v="UN"/>
    <s v="Putri Anggraini"/>
    <s v="Teller"/>
    <s v="U_7105_PETALING"/>
    <s v="Region 04 Palembang"/>
    <s v="UNIT PETALING"/>
    <s v="Associate"/>
    <s v="KC Abunjani Sipin"/>
    <x v="5"/>
    <s v="Peserta Magang"/>
  </r>
  <r>
    <s v="-"/>
    <x v="1"/>
    <n v="406318"/>
    <s v="UN"/>
    <s v="Delfia Wulandari"/>
    <s v="Teller"/>
    <s v="U_5630_SIMPANG KAWAT"/>
    <s v="Region 04 Palembang"/>
    <s v="UNIT SIMPANG KAWAT"/>
    <s v="Associate"/>
    <s v="KC Abunjani Sipin"/>
    <x v="0"/>
    <s v="Kontrak Teller/CS"/>
  </r>
  <r>
    <s v="-"/>
    <x v="1"/>
    <n v="407421"/>
    <s v="UN"/>
    <s v="Cici Agustina"/>
    <s v="Teller"/>
    <s v="U_7103_KASANG JAYA"/>
    <s v="Region 04 Palembang"/>
    <s v="UNIT KASANG JAYA"/>
    <s v="Associate"/>
    <s v="KC Abunjani Sipin"/>
    <x v="6"/>
    <s v="Kontrak Teller/CS"/>
  </r>
  <r>
    <n v="0"/>
    <x v="1"/>
    <n v="407495"/>
    <s v="UN"/>
    <s v="Fahira"/>
    <s v="Teller"/>
    <s v="U_7042_FATAHILAH"/>
    <s v="Region 04 Palembang"/>
    <s v="UNIT FATAHILAH"/>
    <s v="Associate"/>
    <s v="KC Abunjani Sipin"/>
    <x v="1"/>
    <s v="Peserta Magang"/>
  </r>
  <r>
    <n v="0"/>
    <x v="1"/>
    <n v="407544"/>
    <s v="UN"/>
    <s v="Fika Anjani"/>
    <s v="Teller"/>
    <s v="U_7338_MAYANG"/>
    <s v="Region 04 Palembang"/>
    <s v="UNIT MAYANG"/>
    <s v="Associate"/>
    <s v="KC Abunjani Sipin"/>
    <x v="8"/>
    <s v="Peserta Magang"/>
  </r>
  <r>
    <n v="0"/>
    <x v="1"/>
    <n v="413253"/>
    <s v="UN"/>
    <s v="Aninah Tuzarrah"/>
    <s v="Teller"/>
    <s v="U_5714_MENDALO INDAH"/>
    <s v="Region 04 Palembang"/>
    <s v="UNIT MENDALO INDAH"/>
    <s v="Associate"/>
    <s v="KC Abunjani Sipin"/>
    <x v="4"/>
    <s v="Peserta Magang"/>
  </r>
  <r>
    <s v="K347739923"/>
    <x v="0"/>
    <n v="344835"/>
    <s v="UN"/>
    <s v="Winda Pajriyanti"/>
    <s v="Customer Service"/>
    <s v="U_3389_MERANGIN"/>
    <s v="Region 04 Palembang"/>
    <s v="UNIT MERANGIN"/>
    <s v="Associate"/>
    <s v="KC Bangko"/>
    <x v="10"/>
    <s v="Kontrak Teller/CS"/>
  </r>
  <r>
    <s v="K347759823"/>
    <x v="0"/>
    <n v="344837"/>
    <s v="UN"/>
    <s v="Lipia Sepna Ningsih"/>
    <s v="Customer Service"/>
    <s v="U_5603_PAMENANG"/>
    <s v="Region 04 Palembang"/>
    <s v="UNIT PAMENANG"/>
    <s v="Associate"/>
    <s v="KC Bangko"/>
    <x v="11"/>
    <s v="Kontrak Teller/CS"/>
  </r>
  <r>
    <s v="K434119924"/>
    <x v="0"/>
    <n v="359716"/>
    <s v="UN"/>
    <s v="Suci Ayu Indah Pratiwi"/>
    <s v="Customer Service"/>
    <s v="U_5602_HITAM ULU"/>
    <s v="Region 04 Palembang"/>
    <s v="UNIT HITAM ULU"/>
    <s v="Associate"/>
    <s v="KC Bangko"/>
    <x v="12"/>
    <s v="Kontrak Teller/CS"/>
  </r>
  <r>
    <s v="K454410024"/>
    <x v="0"/>
    <n v="362547"/>
    <s v="UN"/>
    <s v="Dina Aprista"/>
    <s v="Customer Service"/>
    <s v="U_3389_MERANGIN"/>
    <s v="Region 04 Palembang"/>
    <s v="UNIT MERANGIN"/>
    <s v="Associate"/>
    <s v="KC Bangko"/>
    <x v="10"/>
    <s v="Kontrak Teller/CS"/>
  </r>
  <r>
    <s v="K480609924"/>
    <x v="0"/>
    <n v="368655"/>
    <s v="UN"/>
    <s v="Sherina Mutia Hamida"/>
    <s v="Customer Service"/>
    <s v="U_7339_TAMBANG EMAS"/>
    <s v="Region 04 Palembang"/>
    <s v="UNIT TAMBANG EMAS"/>
    <s v="Associate"/>
    <s v="KC Bangko"/>
    <x v="13"/>
    <s v="Kontrak Teller/CS"/>
  </r>
  <r>
    <s v="K520979925"/>
    <x v="0"/>
    <n v="375478"/>
    <s v="UN"/>
    <s v="Mawar Septiani"/>
    <s v="Customer Service"/>
    <s v="U_5602_HITAM ULU"/>
    <s v="Region 04 Palembang"/>
    <s v="UNIT HITAM ULU"/>
    <s v="Associate"/>
    <s v="KC Bangko"/>
    <x v="12"/>
    <s v="Kontrak Teller/CS"/>
  </r>
  <r>
    <s v="K522180125"/>
    <x v="0"/>
    <n v="375893"/>
    <s v="UN"/>
    <s v="Anik Rahmawaty"/>
    <s v="Customer Service"/>
    <s v="U_3388_BANGKO KOTA"/>
    <s v="Region 04 Palembang"/>
    <s v="UNIT BANGKO KOTA"/>
    <s v="Associate"/>
    <s v="KC Bangko"/>
    <x v="14"/>
    <s v="Kontrak Teller/CS"/>
  </r>
  <r>
    <s v="K529510025"/>
    <x v="0"/>
    <n v="377222"/>
    <s v="UN"/>
    <s v="Nurul Vitara"/>
    <s v="Customer Service"/>
    <s v="U_5603_PAMENANG"/>
    <s v="Region 04 Palembang"/>
    <s v="UNIT PAMENANG"/>
    <s v="Associate"/>
    <s v="KC Bangko"/>
    <x v="11"/>
    <s v="Kontrak Teller/CS"/>
  </r>
  <r>
    <s v="K628150125"/>
    <x v="0"/>
    <n v="393260"/>
    <s v="UN"/>
    <s v="Asyirah Alda Dwitami"/>
    <s v="Customer Service"/>
    <s v="U_7102_RANTAU PANJANG"/>
    <s v="Region 04 Palembang"/>
    <s v="UNIT RANTAU PANJANG"/>
    <s v="Associate"/>
    <s v="KC Bangko"/>
    <x v="15"/>
    <s v="Kontrak Teller/CS"/>
  </r>
  <r>
    <s v="-"/>
    <x v="0"/>
    <n v="404605"/>
    <s v="UN"/>
    <s v="Aya Sopia"/>
    <s v="Customer Service"/>
    <s v="U_3388_BANGKO KOTA"/>
    <s v="Region 04 Palembang"/>
    <s v="UNIT BANGKO KOTA"/>
    <s v="Associate"/>
    <s v="KC Bangko"/>
    <x v="14"/>
    <s v="Kontrak Teller/CS"/>
  </r>
  <r>
    <s v="-"/>
    <x v="0"/>
    <n v="404615"/>
    <s v="UN"/>
    <s v="Alda Fariska Dewi"/>
    <s v="Customer Service"/>
    <s v="U_7663_MARGOYOSO"/>
    <s v="Region 04 Palembang"/>
    <s v="UNIT MARGOYOSO"/>
    <s v="Associate"/>
    <s v="KC Bangko"/>
    <x v="16"/>
    <s v="Kontrak Teller/CS"/>
  </r>
  <r>
    <s v="-"/>
    <x v="0"/>
    <n v="406877"/>
    <s v="UN"/>
    <s v="Anggun Dwi Prameswari"/>
    <s v="Customer Service"/>
    <s v="U_8149_PINANG MERAH"/>
    <s v="Region 04 Palembang"/>
    <s v="UNIT PINANG MERAH"/>
    <s v="Associate"/>
    <s v="KC Bangko"/>
    <x v="17"/>
    <s v="Kontrak Teller/CS"/>
  </r>
  <r>
    <s v="M280190225"/>
    <x v="1"/>
    <n v="377265"/>
    <s v="UN"/>
    <s v="Kartika Malika Putri"/>
    <s v="Teller"/>
    <s v="U_5603_PAMENANG"/>
    <s v="Region 04 Palembang"/>
    <s v="UNIT PAMENANG"/>
    <s v="Associate"/>
    <s v="KC Bangko"/>
    <x v="11"/>
    <s v="Peserta Magang"/>
  </r>
  <r>
    <s v="M333290225"/>
    <x v="1"/>
    <n v="392501"/>
    <s v="UN"/>
    <s v="Evi Nur Saputri"/>
    <s v="Teller"/>
    <s v="U_5602_HITAM ULU"/>
    <s v="Region 04 Palembang"/>
    <s v="UNIT HITAM ULU"/>
    <s v="Associate"/>
    <s v="KC Bangko"/>
    <x v="12"/>
    <s v="Peserta Magang"/>
  </r>
  <r>
    <n v="0"/>
    <x v="1"/>
    <n v="401204"/>
    <s v="UN"/>
    <s v="Elsa Miranda R"/>
    <s v="Teller"/>
    <s v="U_3388_BANGKO KOTA"/>
    <s v="Region 04 Palembang"/>
    <s v="UNIT BANGKO KOTA"/>
    <s v="Associate"/>
    <s v="KC Bangko"/>
    <x v="14"/>
    <s v="Peserta Magang"/>
  </r>
  <r>
    <s v="-"/>
    <x v="1"/>
    <n v="404604"/>
    <s v="UN"/>
    <s v="Annisa Vini Azwar"/>
    <s v="Teller"/>
    <s v="U_5603_PAMENANG"/>
    <s v="Region 04 Palembang"/>
    <s v="UNIT PAMENANG"/>
    <s v="Associate"/>
    <s v="KC Bangko"/>
    <x v="11"/>
    <s v="Kontrak Teller/CS"/>
  </r>
  <r>
    <s v="-"/>
    <x v="1"/>
    <n v="404606"/>
    <s v="UN"/>
    <s v="Iftina Athifah"/>
    <s v="Teller"/>
    <s v="U_3388_BANGKO KOTA"/>
    <s v="Region 04 Palembang"/>
    <s v="UNIT BANGKO KOTA"/>
    <s v="Associate"/>
    <s v="KC Bangko"/>
    <x v="14"/>
    <s v="Kontrak Teller/CS"/>
  </r>
  <r>
    <s v="-"/>
    <x v="1"/>
    <n v="404607"/>
    <s v="UN"/>
    <s v="Frieska Amanda Yovita"/>
    <s v="Teller"/>
    <s v="U_7663_MARGOYOSO"/>
    <s v="Region 04 Palembang"/>
    <s v="UNIT MARGOYOSO"/>
    <s v="Associate"/>
    <s v="KC Bangko"/>
    <x v="16"/>
    <s v="Kontrak Teller/CS"/>
  </r>
  <r>
    <s v="-"/>
    <x v="1"/>
    <n v="404608"/>
    <s v="UN"/>
    <s v="Dia Fadila Handini"/>
    <s v="Teller"/>
    <s v="U_7339_TAMBANG EMAS"/>
    <s v="Region 04 Palembang"/>
    <s v="UNIT TAMBANG EMAS"/>
    <s v="Associate"/>
    <s v="KC Bangko"/>
    <x v="13"/>
    <s v="Kontrak Teller/CS"/>
  </r>
  <r>
    <s v="-"/>
    <x v="1"/>
    <n v="404623"/>
    <s v="UN"/>
    <s v="Ririn Widya Ningsih"/>
    <s v="Teller"/>
    <s v="U_3389_MERANGIN"/>
    <s v="Region 04 Palembang"/>
    <s v="UNIT MERANGIN"/>
    <s v="Associate"/>
    <s v="KC Bangko"/>
    <x v="10"/>
    <s v="Kontrak Teller/CS"/>
  </r>
  <r>
    <s v="-"/>
    <x v="1"/>
    <n v="404624"/>
    <s v="UN"/>
    <s v="Radha Salsabilla Elyndra"/>
    <s v="Teller"/>
    <s v="U_8149_PINANG MERAH"/>
    <s v="Region 04 Palembang"/>
    <s v="UNIT PINANG MERAH"/>
    <s v="Associate"/>
    <s v="KC Bangko"/>
    <x v="17"/>
    <s v="Kontrak Teller/CS"/>
  </r>
  <r>
    <n v="0"/>
    <x v="1"/>
    <n v="407447"/>
    <s v="UN"/>
    <s v="Desi Fitriani"/>
    <s v="Teller"/>
    <s v="U_7102_RANTAU PANJANG"/>
    <s v="Region 04 Palembang"/>
    <s v="UNIT RANTAU PANJANG"/>
    <s v="Associate"/>
    <s v="KC Bangko"/>
    <x v="15"/>
    <s v="Peserta Magang"/>
  </r>
  <r>
    <s v="K174319623"/>
    <x v="0"/>
    <n v="328386"/>
    <s v="UN"/>
    <s v="Yohanes Abdi Prayogo"/>
    <s v="Customer Service"/>
    <s v="U_8052_PASAR ILIR"/>
    <s v="Region 04 Palembang"/>
    <s v="UNIT PASAR ILIR"/>
    <s v="Associate"/>
    <s v="KC Baturaja"/>
    <x v="18"/>
    <s v="Kontrak Teller/CS"/>
  </r>
  <r>
    <s v="K174129723"/>
    <x v="0"/>
    <n v="328394"/>
    <s v="UN"/>
    <s v="Sri Siswanti"/>
    <s v="Customer Service"/>
    <s v="U_5610_LINTAS SUMATERA"/>
    <s v="Region 04 Palembang"/>
    <s v="UNIT LINTAS SUMATERA"/>
    <s v="Associate"/>
    <s v="KC Baturaja"/>
    <x v="19"/>
    <s v="Kontrak Teller/CS"/>
  </r>
  <r>
    <s v="K401140023"/>
    <x v="0"/>
    <n v="349711"/>
    <s v="UN"/>
    <s v="Relin Permata Sari"/>
    <s v="Customer Service"/>
    <s v="U_5606_GATOT SUBROTO BATURAJA"/>
    <s v="Region 04 Palembang"/>
    <s v="UNIT GATOT SUBROTO BATURAJA"/>
    <s v="Associate"/>
    <s v="KC Baturaja"/>
    <x v="20"/>
    <s v="Kontrak Teller/CS"/>
  </r>
  <r>
    <s v="K401169923"/>
    <x v="0"/>
    <n v="349713"/>
    <s v="UN"/>
    <s v="Deffia Indah Kuswari"/>
    <s v="Customer Service"/>
    <s v="U_5608_GUMAWANG I"/>
    <s v="Region 04 Palembang"/>
    <s v="UNIT GUMAWANG I"/>
    <s v="Associate"/>
    <s v="KC Baturaja"/>
    <x v="21"/>
    <s v="Kontrak Teller/CS"/>
  </r>
  <r>
    <s v="K401170023"/>
    <x v="0"/>
    <n v="349714"/>
    <s v="UN"/>
    <s v="Indri Nabela"/>
    <s v="Customer Service"/>
    <s v="U_3286_KOTA BATURAJA"/>
    <s v="Region 04 Palembang"/>
    <s v="UNIT KOTA BATURAJA"/>
    <s v="Associate"/>
    <s v="KC Baturaja"/>
    <x v="22"/>
    <s v="Kontrak Teller/CS"/>
  </r>
  <r>
    <s v="K428759724"/>
    <x v="0"/>
    <n v="357773"/>
    <s v="UN"/>
    <s v="Bella Lorenza"/>
    <s v="Customer Service"/>
    <s v="U_5613_RAWA BENING"/>
    <s v="Region 04 Palembang"/>
    <s v="UNIT RAWA BENING"/>
    <s v="Associate"/>
    <s v="KC Baturaja"/>
    <x v="23"/>
    <s v="Kontrak Teller/CS"/>
  </r>
  <r>
    <s v="K443099924"/>
    <x v="0"/>
    <n v="362378"/>
    <s v="UN"/>
    <s v="Raymun Batara Marpaung"/>
    <s v="Customer Service"/>
    <s v="U_8150_SUMBER JAYA BELITANG"/>
    <s v="Region 04 Palembang"/>
    <s v="UNIT SUMBER JAYA BELITANG"/>
    <s v="Associate"/>
    <s v="KC Baturaja"/>
    <x v="24"/>
    <s v="Kontrak Teller/CS"/>
  </r>
  <r>
    <s v="K465889924"/>
    <x v="0"/>
    <n v="366661"/>
    <s v="UN"/>
    <s v="Septia Ramadila"/>
    <s v="Customer Service"/>
    <s v="U_7412_PENINJAUAN"/>
    <s v="Region 04 Palembang"/>
    <s v="UNIT PENINJAUAN"/>
    <s v="Associate"/>
    <s v="KC Baturaja"/>
    <x v="25"/>
    <s v="Kontrak Teller/CS"/>
  </r>
  <r>
    <s v="K495640024"/>
    <x v="0"/>
    <n v="370981"/>
    <s v="UN"/>
    <s v="Yovera Ariesta"/>
    <s v="Customer Service"/>
    <s v="U_5613_RAWA BENING"/>
    <s v="Region 04 Palembang"/>
    <s v="UNIT RAWA BENING"/>
    <s v="Associate"/>
    <s v="KC Baturaja"/>
    <x v="23"/>
    <s v="Kontrak Teller/CS"/>
  </r>
  <r>
    <s v="K495699824"/>
    <x v="0"/>
    <n v="370991"/>
    <s v="UN"/>
    <s v="Anggun Soraya Dyhati"/>
    <s v="Customer Service"/>
    <s v="U_5611_MARTAPURA"/>
    <s v="Region 04 Palembang"/>
    <s v="UNIT MARTAPURA"/>
    <s v="Associate"/>
    <s v="KC Baturaja"/>
    <x v="26"/>
    <s v="Kontrak Teller/CS"/>
  </r>
  <r>
    <s v="K495700224"/>
    <x v="0"/>
    <n v="370992"/>
    <s v="UN"/>
    <s v="Anisha Monadiza"/>
    <s v="Customer Service"/>
    <s v="U_5611_MARTAPURA"/>
    <s v="Region 04 Palembang"/>
    <s v="UNIT MARTAPURA"/>
    <s v="Associate"/>
    <s v="KC Baturaja"/>
    <x v="26"/>
    <s v="Kontrak Teller/CS"/>
  </r>
  <r>
    <s v="K495710024"/>
    <x v="0"/>
    <n v="370993"/>
    <s v="UN"/>
    <s v="Dwi Yuni Hartati"/>
    <s v="Customer Service"/>
    <s v="U_5612_MUARADUA"/>
    <s v="Region 04 Palembang"/>
    <s v="UNIT MUARADUA"/>
    <s v="Associate"/>
    <s v="KC Baturaja"/>
    <x v="27"/>
    <s v="Kontrak Teller/CS"/>
  </r>
  <r>
    <s v="K495850124"/>
    <x v="0"/>
    <n v="371023"/>
    <s v="UN"/>
    <s v="Tasha Aurellia"/>
    <s v="Customer Service"/>
    <s v="U_5609_HARJOWINANGUN"/>
    <s v="Region 04 Palembang"/>
    <s v="UNIT HARJOWINANGUN"/>
    <s v="Associate"/>
    <s v="KC Baturaja"/>
    <x v="28"/>
    <s v="Kontrak Teller/CS"/>
  </r>
  <r>
    <s v="K495880124"/>
    <x v="0"/>
    <n v="371055"/>
    <s v="UN"/>
    <s v="Hairani Pratiwi"/>
    <s v="Customer Service"/>
    <s v="U_5606_GATOT SUBROTO BATURAJA"/>
    <s v="Region 04 Palembang"/>
    <s v="UNIT GATOT SUBROTO BATURAJA"/>
    <s v="Associate"/>
    <s v="KC Baturaja"/>
    <x v="20"/>
    <s v="Kontrak Teller/CS"/>
  </r>
  <r>
    <s v="K617650125"/>
    <x v="0"/>
    <n v="391811"/>
    <s v="UN"/>
    <s v="Ilham Panutan"/>
    <s v="Customer Service"/>
    <s v="U_5605_BATUMARTA"/>
    <s v="Region 04 Palembang"/>
    <s v="UNIT BATUMARTA"/>
    <s v="Associate"/>
    <s v="KC Baturaja"/>
    <x v="29"/>
    <s v="Kontrak Teller/CS"/>
  </r>
  <r>
    <s v="K617710125"/>
    <x v="0"/>
    <n v="391832"/>
    <s v="UN"/>
    <s v="Gina Sonia"/>
    <s v="Customer Service"/>
    <s v="U_5614_PURWODADI"/>
    <s v="Region 04 Palembang"/>
    <s v="UNIT PURWODADI"/>
    <s v="Associate"/>
    <s v="KC Baturaja"/>
    <x v="30"/>
    <s v="Kontrak Teller/CS"/>
  </r>
  <r>
    <s v="K627180225"/>
    <x v="0"/>
    <n v="394570"/>
    <s v="UN"/>
    <s v="Aji Anugrah"/>
    <s v="Customer Service"/>
    <s v="U_5614_PURWODADI"/>
    <s v="Region 04 Palembang"/>
    <s v="UNIT PURWODADI"/>
    <s v="Associate"/>
    <s v="KC Baturaja"/>
    <x v="30"/>
    <s v="Kontrak Teller/CS"/>
  </r>
  <r>
    <s v="K627200225"/>
    <x v="0"/>
    <n v="394575"/>
    <s v="UN"/>
    <s v="Della Adawiyah"/>
    <s v="Customer Service"/>
    <s v="U_3286_KOTA BATURAJA"/>
    <s v="Region 04 Palembang"/>
    <s v="UNIT KOTA BATURAJA"/>
    <s v="Associate"/>
    <s v="KC Baturaja"/>
    <x v="22"/>
    <s v="Kontrak Teller/CS"/>
  </r>
  <r>
    <s v="K627210125"/>
    <x v="0"/>
    <n v="394577"/>
    <s v="UN"/>
    <s v="Elda Falina"/>
    <s v="Customer Service"/>
    <s v="U_5608_GUMAWANG I"/>
    <s v="Region 04 Palembang"/>
    <s v="UNIT GUMAWANG I"/>
    <s v="Associate"/>
    <s v="KC Baturaja"/>
    <x v="21"/>
    <s v="Kontrak Teller/CS"/>
  </r>
  <r>
    <s v="K627230025"/>
    <x v="0"/>
    <n v="394584"/>
    <s v="UN"/>
    <s v="Febriyanti"/>
    <s v="Customer Service"/>
    <s v="U_8052_PASAR ILIR"/>
    <s v="Region 04 Palembang"/>
    <s v="UNIT PASAR ILIR"/>
    <s v="Associate"/>
    <s v="KC Baturaja"/>
    <x v="18"/>
    <s v="Kontrak Teller/CS"/>
  </r>
  <r>
    <s v="K627430225"/>
    <x v="0"/>
    <n v="394690"/>
    <s v="UN"/>
    <s v="Selvi Oktavioni"/>
    <s v="Customer Service"/>
    <s v="U_7041_SINAR PENIJAUAN"/>
    <s v="Region 04 Palembang"/>
    <s v="UNIT SINAR PENIJAUAN"/>
    <s v="Associate"/>
    <s v="KC Baturaja"/>
    <x v="31"/>
    <s v="Kontrak Teller/CS"/>
  </r>
  <r>
    <s v="-"/>
    <x v="0"/>
    <n v="400889"/>
    <s v="UN"/>
    <s v="Sheli Novriyanti"/>
    <s v="Customer Service"/>
    <s v="U_5609_HARJOWINANGUN"/>
    <s v="Region 04 Palembang"/>
    <s v="UNIT HARJOWINANGUN"/>
    <s v="Associate"/>
    <s v="KC Baturaja"/>
    <x v="28"/>
    <s v="Kontrak Teller/CS"/>
  </r>
  <r>
    <s v="-"/>
    <x v="0"/>
    <n v="404620"/>
    <s v="UN"/>
    <s v="Aldi Fernando"/>
    <s v="Customer Service"/>
    <s v="U_5605_BATUMARTA"/>
    <s v="Region 04 Palembang"/>
    <s v="UNIT BATUMARTA"/>
    <s v="Associate"/>
    <s v="KC Baturaja"/>
    <x v="29"/>
    <s v="Kontrak Teller/CS"/>
  </r>
  <r>
    <s v="-"/>
    <x v="0"/>
    <n v="404633"/>
    <s v="UN"/>
    <s v="Tiana Muhfariza"/>
    <s v="Customer Service"/>
    <s v="U_5607_NUSA BAKTI"/>
    <s v="Region 04 Palembang"/>
    <s v="UNIT NUSA BAKTI"/>
    <s v="Associate"/>
    <s v="KC Baturaja"/>
    <x v="32"/>
    <s v="Kontrak Teller/CS"/>
  </r>
  <r>
    <s v="M335310125"/>
    <x v="1"/>
    <n v="393165"/>
    <s v="UN"/>
    <s v="Esti Dia Pramisti"/>
    <s v="Teller"/>
    <s v="U_5608_GUMAWANG I"/>
    <s v="Region 04 Palembang"/>
    <s v="UNIT GUMAWANG I"/>
    <s v="Associate"/>
    <s v="KC Baturaja"/>
    <x v="21"/>
    <s v="Peserta Magang"/>
  </r>
  <r>
    <s v="M335320125"/>
    <x v="1"/>
    <n v="393166"/>
    <s v="UN"/>
    <s v="Setya Fahira"/>
    <s v="Teller"/>
    <s v="U_5611_MARTAPURA"/>
    <s v="Region 04 Palembang"/>
    <s v="UNIT MARTAPURA"/>
    <s v="Associate"/>
    <s v="KC Baturaja"/>
    <x v="26"/>
    <s v="Peserta Magang"/>
  </r>
  <r>
    <s v="M335330125"/>
    <x v="1"/>
    <n v="393167"/>
    <s v="UN"/>
    <s v="Dwiki Dewantara"/>
    <s v="Teller"/>
    <s v="U_5614_PURWODADI"/>
    <s v="Region 04 Palembang"/>
    <s v="UNIT PURWODADI"/>
    <s v="Associate"/>
    <s v="KC Baturaja"/>
    <x v="30"/>
    <s v="Peserta Magang"/>
  </r>
  <r>
    <n v="0"/>
    <x v="1"/>
    <n v="398628"/>
    <s v="UN"/>
    <s v="Vanessa"/>
    <s v="Teller"/>
    <s v="U_3286_KOTA BATURAJA"/>
    <s v="Region 04 Palembang"/>
    <s v="UNIT KOTA BATURAJA"/>
    <s v="Associate"/>
    <s v="KC Baturaja"/>
    <x v="22"/>
    <s v="Peserta Magang"/>
  </r>
  <r>
    <n v="0"/>
    <x v="1"/>
    <n v="398630"/>
    <s v="UN"/>
    <s v="Julyana"/>
    <s v="Teller"/>
    <s v="U_5613_RAWA BENING"/>
    <s v="Region 04 Palembang"/>
    <s v="UNIT RAWA BENING"/>
    <s v="Associate"/>
    <s v="KC Baturaja"/>
    <x v="23"/>
    <s v="Peserta Magang"/>
  </r>
  <r>
    <n v="0"/>
    <x v="1"/>
    <n v="398631"/>
    <s v="UN"/>
    <s v="Putri Ayu Andini"/>
    <s v="Teller"/>
    <s v="U_5607_NUSA BAKTI"/>
    <s v="Region 04 Palembang"/>
    <s v="UNIT NUSA BAKTI"/>
    <s v="Associate"/>
    <s v="KC Baturaja"/>
    <x v="32"/>
    <s v="Peserta Magang"/>
  </r>
  <r>
    <n v="0"/>
    <x v="1"/>
    <n v="398632"/>
    <s v="UN"/>
    <s v="Intan Debby Melani"/>
    <s v="Teller"/>
    <s v="U_5612_MUARADUA"/>
    <s v="Region 04 Palembang"/>
    <s v="UNIT MUARADUA"/>
    <s v="Associate"/>
    <s v="KC Baturaja"/>
    <x v="27"/>
    <s v="Peserta Magang"/>
  </r>
  <r>
    <n v="0"/>
    <x v="1"/>
    <n v="398633"/>
    <s v="UN"/>
    <s v="Diva Alifia Raudha"/>
    <s v="Teller"/>
    <s v="U_5610_LINTAS SUMATERA"/>
    <s v="Region 04 Palembang"/>
    <s v="UNIT LINTAS SUMATERA"/>
    <s v="Associate"/>
    <s v="KC Baturaja"/>
    <x v="19"/>
    <s v="Peserta Magang"/>
  </r>
  <r>
    <n v="0"/>
    <x v="1"/>
    <n v="402017"/>
    <s v="UN"/>
    <s v="Martin Huda Firdiansyah"/>
    <s v="Teller"/>
    <s v="U_8150_SUMBER JAYA BELITANG"/>
    <s v="Region 04 Palembang"/>
    <s v="UNIT SUMBER JAYA BELITANG"/>
    <s v="Associate"/>
    <s v="KC Baturaja"/>
    <x v="24"/>
    <s v="Peserta Magang"/>
  </r>
  <r>
    <n v="0"/>
    <x v="1"/>
    <n v="402018"/>
    <s v="UN"/>
    <s v="Dewi Sekar Wangi"/>
    <s v="Teller"/>
    <s v="U_5605_BATUMARTA"/>
    <s v="Region 04 Palembang"/>
    <s v="UNIT BATUMARTA"/>
    <s v="Associate"/>
    <s v="KC Baturaja"/>
    <x v="29"/>
    <s v="Peserta Magang"/>
  </r>
  <r>
    <n v="0"/>
    <x v="1"/>
    <n v="402173"/>
    <s v="UN"/>
    <s v="Ketrin Purnama Sari"/>
    <s v="Teller"/>
    <s v="U_5611_MARTAPURA"/>
    <s v="Region 04 Palembang"/>
    <s v="UNIT MARTAPURA"/>
    <s v="Associate"/>
    <s v="KC Baturaja"/>
    <x v="26"/>
    <s v="Peserta Magang"/>
  </r>
  <r>
    <n v="0"/>
    <x v="1"/>
    <n v="404619"/>
    <s v="UN"/>
    <s v="Tiara Poetri Syaharani"/>
    <s v="Teller"/>
    <s v="U_5612_MUARADUA"/>
    <s v="Region 04 Palembang"/>
    <s v="UNIT MUARADUA"/>
    <s v="Associate"/>
    <s v="KC Baturaja"/>
    <x v="27"/>
    <s v="Peserta Magang"/>
  </r>
  <r>
    <n v="0"/>
    <x v="1"/>
    <n v="404627"/>
    <s v="UN"/>
    <s v="Prima Putri Rahayu"/>
    <s v="Teller"/>
    <s v="U_5606_GATOT SUBROTO BATURAJA"/>
    <s v="Region 04 Palembang"/>
    <s v="UNIT GATOT SUBROTO BATURAJA"/>
    <s v="Associate"/>
    <s v="KC Baturaja"/>
    <x v="20"/>
    <s v="Peserta Magang"/>
  </r>
  <r>
    <n v="0"/>
    <x v="1"/>
    <n v="404629"/>
    <s v="UN"/>
    <s v="Pancha Sonya Racha Prasadewi"/>
    <s v="Teller"/>
    <s v="U_7041_SINAR PENIJAUAN"/>
    <s v="Region 04 Palembang"/>
    <s v="UNIT SINAR PENIJAUAN"/>
    <s v="Associate"/>
    <s v="KC Baturaja"/>
    <x v="31"/>
    <s v="Peserta Magang"/>
  </r>
  <r>
    <n v="0"/>
    <x v="1"/>
    <n v="404632"/>
    <s v="UN"/>
    <s v="Grevita Hefiananda Velani"/>
    <s v="Teller"/>
    <s v="U_5605_BATUMARTA"/>
    <s v="Region 04 Palembang"/>
    <s v="UNIT BATUMARTA"/>
    <s v="Associate"/>
    <s v="KC Baturaja"/>
    <x v="29"/>
    <s v="Peserta Magang"/>
  </r>
  <r>
    <n v="0"/>
    <x v="1"/>
    <n v="409259"/>
    <s v="UN"/>
    <s v="Rifqa Aulia Syalasani"/>
    <s v="Teller"/>
    <s v="U_5606_GATOT SUBROTO BATURAJA"/>
    <s v="Region 04 Palembang"/>
    <s v="UNIT GATOT SUBROTO BATURAJA"/>
    <s v="Associate"/>
    <s v="KC Baturaja"/>
    <x v="20"/>
    <s v="Peserta Magang"/>
  </r>
  <r>
    <s v="-"/>
    <x v="1"/>
    <n v="412399"/>
    <s v="UN"/>
    <s v="Imelda Sari"/>
    <s v="Teller"/>
    <s v="U_8052_PASAR ILIR"/>
    <s v="Region 04 Palembang"/>
    <s v="UNIT PASAR ILIR"/>
    <s v="Associate"/>
    <s v="KC Baturaja"/>
    <x v="18"/>
    <s v="Kontrak Teller/CS"/>
  </r>
  <r>
    <s v="-"/>
    <x v="1"/>
    <n v="412400"/>
    <s v="UN"/>
    <s v="Azmarilia"/>
    <s v="Teller"/>
    <s v="U_5609_HARJOWINANGUN"/>
    <s v="Region 04 Palembang"/>
    <s v="UNIT HARJOWINANGUN"/>
    <s v="Associate"/>
    <s v="KC Baturaja"/>
    <x v="28"/>
    <s v="Kontrak Teller/CS"/>
  </r>
  <r>
    <s v="-"/>
    <x v="1"/>
    <n v="412401"/>
    <s v="UN"/>
    <s v="Selvy Yani"/>
    <s v="Teller"/>
    <s v="U_7412_PENINJAUAN"/>
    <s v="Region 04 Palembang"/>
    <s v="UNIT PENINJAUAN"/>
    <s v="Associate"/>
    <s v="KC Baturaja"/>
    <x v="25"/>
    <s v="Kontrak Teller/CS"/>
  </r>
  <r>
    <s v="K481169924"/>
    <x v="0"/>
    <n v="368892"/>
    <s v="UN"/>
    <s v="Nada Aprillia"/>
    <s v="Customer Service"/>
    <s v="U_5722_UNIVERSITAS JAMBI"/>
    <s v="Region 04 Palembang"/>
    <s v="UNIT UNIVERSITAS JAMBI"/>
    <s v="Associate"/>
    <s v="KC Jambi"/>
    <x v="33"/>
    <s v="Kontrak Teller/CS"/>
  </r>
  <r>
    <s v="K494460024"/>
    <x v="0"/>
    <n v="370609"/>
    <s v="UN"/>
    <s v="Saniyyah Afrileoni Mikiu"/>
    <s v="Customer Service"/>
    <s v="U_5632_SP IV SIPIN"/>
    <s v="Region 04 Palembang"/>
    <s v="UNIT SP IV SIPIN"/>
    <s v="Associate"/>
    <s v="KC Jambi"/>
    <x v="34"/>
    <s v="Kontrak Teller/CS"/>
  </r>
  <r>
    <s v="K522760025"/>
    <x v="0"/>
    <n v="376063"/>
    <s v="UN"/>
    <s v="Verdianto"/>
    <s v="Customer Service"/>
    <s v="U_5634_TALANG BANJAR"/>
    <s v="Region 04 Palembang"/>
    <s v="UNIT TALANG BANJAR"/>
    <s v="Associate"/>
    <s v="KC Jambi"/>
    <x v="35"/>
    <s v="Kontrak Teller/CS"/>
  </r>
  <r>
    <s v="K522809925"/>
    <x v="0"/>
    <n v="376085"/>
    <s v="UN"/>
    <s v="Aditya Widianto"/>
    <s v="Customer Service"/>
    <s v="U_5718_SIMPANG PRAMUKA"/>
    <s v="Region 04 Palembang"/>
    <s v="UNIT SIMPANG PRAMUKA"/>
    <s v="Associate"/>
    <s v="KC Jambi"/>
    <x v="36"/>
    <s v="Kontrak Teller/CS"/>
  </r>
  <r>
    <s v="K529520025"/>
    <x v="0"/>
    <n v="377223"/>
    <s v="UN"/>
    <s v="Yurike Faticasari"/>
    <s v="Customer Service"/>
    <s v="U_5635_THE HOK"/>
    <s v="Region 04 Palembang"/>
    <s v="UNIT THE HOK"/>
    <s v="Associate"/>
    <s v="KC Jambi"/>
    <x v="37"/>
    <s v="Kontrak Teller/CS"/>
  </r>
  <r>
    <s v="K546420025"/>
    <x v="0"/>
    <n v="381396"/>
    <s v="UN"/>
    <s v="Edwin Juan Sinaga"/>
    <s v="Customer Service"/>
    <s v="U_3552_SENGETI"/>
    <s v="Region 04 Palembang"/>
    <s v="UNIT SENGETI"/>
    <s v="Associate"/>
    <s v="KC Jambi"/>
    <x v="38"/>
    <s v="Kontrak Teller/CS"/>
  </r>
  <r>
    <s v="K546440125"/>
    <x v="0"/>
    <n v="381401"/>
    <s v="UN"/>
    <s v="Sindi Permata Sari"/>
    <s v="Customer Service"/>
    <s v="U_5634_TALANG BANJAR"/>
    <s v="Region 04 Palembang"/>
    <s v="UNIT TALANG BANJAR"/>
    <s v="Associate"/>
    <s v="KC Jambi"/>
    <x v="35"/>
    <s v="Kontrak Teller/CS"/>
  </r>
  <r>
    <s v="K560849925"/>
    <x v="0"/>
    <n v="384469"/>
    <s v="UN"/>
    <s v="Ahmad Rian Fathoni"/>
    <s v="Customer Service"/>
    <s v="U_5721_TEMPINO"/>
    <s v="Region 04 Palembang"/>
    <s v="UNIT TEMPINO"/>
    <s v="Associate"/>
    <s v="KC Jambi"/>
    <x v="39"/>
    <s v="Kontrak Teller/CS"/>
  </r>
  <r>
    <s v="K621209925"/>
    <x v="0"/>
    <n v="392435"/>
    <s v="UN"/>
    <s v="Tiara Ramadhanti"/>
    <s v="Customer Service"/>
    <s v="U_5628_ANGSO DUO"/>
    <s v="Region 04 Palembang"/>
    <s v="UNIT ANGSO DUO"/>
    <s v="Associate"/>
    <s v="KC Jambi"/>
    <x v="40"/>
    <s v="Kontrak Teller/CS"/>
  </r>
  <r>
    <s v="K621220225"/>
    <x v="0"/>
    <n v="392437"/>
    <s v="UN"/>
    <s v="Maudila Putri Maharani"/>
    <s v="Customer Service"/>
    <s v="U_5629_AUR_DURI"/>
    <s v="Region 04 Palembang"/>
    <s v="UNIT AUR DURI"/>
    <s v="Associate"/>
    <s v="KC Jambi"/>
    <x v="41"/>
    <s v="Kontrak Teller/CS"/>
  </r>
  <r>
    <s v="K621320025"/>
    <x v="0"/>
    <n v="392453"/>
    <s v="UN"/>
    <s v="Anggi Permata Sari"/>
    <s v="Customer Service"/>
    <s v="U_5628_ANGSO DUO"/>
    <s v="Region 04 Palembang"/>
    <s v="UNIT ANGSO DUO"/>
    <s v="Associate"/>
    <s v="KC Jambi"/>
    <x v="40"/>
    <s v="Kontrak Teller/CS"/>
  </r>
  <r>
    <s v="-"/>
    <x v="0"/>
    <n v="400051"/>
    <s v="UN"/>
    <s v="Nabella Rizky Stevania"/>
    <s v="Customer Service"/>
    <s v="U_5629_AUR_DURI"/>
    <s v="Region 04 Palembang"/>
    <s v="UNIT AUR DURI"/>
    <s v="Associate"/>
    <s v="KC Jambi"/>
    <x v="41"/>
    <s v="Kontrak Teller/CS"/>
  </r>
  <r>
    <s v="-"/>
    <x v="0"/>
    <n v="401625"/>
    <s v="UN"/>
    <s v="Indah Ayu Amelia Suci Gulo"/>
    <s v="Customer Service"/>
    <s v="U_5722_UNIVERSITAS JAMBI"/>
    <s v="Region 04 Palembang"/>
    <s v="UNIT UNIVERSITAS JAMBI"/>
    <s v="Associate"/>
    <s v="KC Jambi"/>
    <x v="33"/>
    <s v="Kontrak Teller/CS"/>
  </r>
  <r>
    <s v="-"/>
    <x v="0"/>
    <n v="401627"/>
    <s v="UN"/>
    <s v="Moch. Evan Andreswara"/>
    <s v="Customer Service"/>
    <s v="U_5718_SIMPANG PRAMUKA"/>
    <s v="Region 04 Palembang"/>
    <s v="UNIT SIMPANG PRAMUKA"/>
    <s v="Associate"/>
    <s v="KC Jambi"/>
    <x v="36"/>
    <s v="Kontrak Teller/CS"/>
  </r>
  <r>
    <s v="-"/>
    <x v="0"/>
    <n v="401685"/>
    <s v="UN"/>
    <s v="Putri Nur Indah Susanti Nababan"/>
    <s v="Customer Service"/>
    <s v="U_5635_THE HOK"/>
    <s v="Region 04 Palembang"/>
    <s v="UNIT THE HOK"/>
    <s v="Associate"/>
    <s v="KC Jambi"/>
    <x v="37"/>
    <s v="Kontrak Teller/CS"/>
  </r>
  <r>
    <s v="-"/>
    <x v="0"/>
    <n v="401821"/>
    <s v="UN"/>
    <s v="Nicho Fernando"/>
    <s v="Customer Service"/>
    <s v="U_3552_SENGETI"/>
    <s v="Region 04 Palembang"/>
    <s v="UNIT SENGETI"/>
    <s v="Associate"/>
    <s v="KC Jambi"/>
    <x v="38"/>
    <s v="Kontrak Teller/CS"/>
  </r>
  <r>
    <s v="M293640125"/>
    <x v="1"/>
    <n v="381527"/>
    <s v="UN"/>
    <s v="Claristha Virzha Audri"/>
    <s v="Teller"/>
    <s v="U_5632_SP IV SIPIN"/>
    <s v="Region 04 Palembang"/>
    <s v="UNIT SP IV SIPIN"/>
    <s v="Associate"/>
    <s v="KC Jambi"/>
    <x v="34"/>
    <s v="Peserta Magang"/>
  </r>
  <r>
    <s v="M333320225"/>
    <x v="1"/>
    <n v="392513"/>
    <s v="UN"/>
    <s v="Septya Dwihanny Aulia"/>
    <s v="Teller"/>
    <s v="U_5635_THE HOK"/>
    <s v="Region 04 Palembang"/>
    <s v="UNIT THE HOK"/>
    <s v="Associate"/>
    <s v="KC Jambi"/>
    <x v="37"/>
    <s v="Peserta Magang"/>
  </r>
  <r>
    <n v="0"/>
    <x v="1"/>
    <n v="401619"/>
    <s v="UN"/>
    <s v="Annisa Risna Azzahra"/>
    <s v="Teller"/>
    <s v="U_5721_TEMPINO"/>
    <s v="Region 04 Palembang"/>
    <s v="UNIT TEMPINO"/>
    <s v="Associate"/>
    <s v="KC Jambi"/>
    <x v="39"/>
    <s v="Peserta Magang"/>
  </r>
  <r>
    <n v="0"/>
    <x v="1"/>
    <n v="401622"/>
    <s v="UN"/>
    <s v="Mutiara Hamsah"/>
    <s v="Teller"/>
    <s v="U_5722_UNIVERSITAS JAMBI"/>
    <s v="Region 04 Palembang"/>
    <s v="UNIT UNIVERSITAS JAMBI"/>
    <s v="Associate"/>
    <s v="KC Jambi"/>
    <x v="33"/>
    <s v="Peserta Magang"/>
  </r>
  <r>
    <n v="0"/>
    <x v="1"/>
    <n v="401623"/>
    <s v="UN"/>
    <s v="Taufik Hidayah"/>
    <s v="Teller"/>
    <s v="U_5718_SIMPANG PRAMUKA"/>
    <s v="Region 04 Palembang"/>
    <s v="UNIT SIMPANG PRAMUKA"/>
    <s v="Associate"/>
    <s v="KC Jambi"/>
    <x v="36"/>
    <s v="Peserta Magang"/>
  </r>
  <r>
    <n v="0"/>
    <x v="1"/>
    <n v="401628"/>
    <s v="UN"/>
    <s v="Heldy Basa Angelita Br Hutasoit"/>
    <s v="Teller"/>
    <s v="U_5628_ANGSO DUO"/>
    <s v="Region 04 Palembang"/>
    <s v="UNIT ANGSO DUO"/>
    <s v="Associate"/>
    <s v="KC Jambi"/>
    <x v="40"/>
    <s v="Peserta Magang"/>
  </r>
  <r>
    <n v="0"/>
    <x v="1"/>
    <n v="401877"/>
    <s v="UN"/>
    <s v="Rahma Deni Putri Haimda"/>
    <s v="Teller"/>
    <s v="U_3552_SENGETI"/>
    <s v="Region 04 Palembang"/>
    <s v="UNIT SENGETI"/>
    <s v="Associate"/>
    <s v="KC Jambi"/>
    <x v="38"/>
    <s v="Peserta Magang"/>
  </r>
  <r>
    <n v="0"/>
    <x v="1"/>
    <n v="406321"/>
    <s v="UN"/>
    <s v="Alvin Alfarino"/>
    <s v="Teller"/>
    <s v="U_5629_AUR_DURI"/>
    <s v="Region 04 Palembang"/>
    <s v="UNIT AUR DURI"/>
    <s v="Associate"/>
    <s v="KC Jambi"/>
    <x v="41"/>
    <s v="Peserta Magang"/>
  </r>
  <r>
    <n v="0"/>
    <x v="1"/>
    <n v="408923"/>
    <s v="UN"/>
    <s v="Haura Farikha Prameshwari"/>
    <s v="Teller"/>
    <s v="U_5634_TALANG BANJAR"/>
    <s v="Region 04 Palembang"/>
    <s v="UNIT TALANG BANJAR"/>
    <s v="Associate"/>
    <s v="KC Jambi"/>
    <x v="35"/>
    <s v="Peserta Magang"/>
  </r>
  <r>
    <n v="0"/>
    <x v="1"/>
    <n v="410295"/>
    <s v="UN"/>
    <s v="Ahmad Nur Rohman"/>
    <s v="Teller"/>
    <s v="U_5635_THE HOK"/>
    <s v="Region 04 Palembang"/>
    <s v="UNIT THE HOK"/>
    <s v="Associate"/>
    <s v="KC Jambi"/>
    <x v="37"/>
    <s v="Peserta Magang"/>
  </r>
  <r>
    <s v="K174519623"/>
    <x v="0"/>
    <n v="328351"/>
    <s v="UN"/>
    <s v="Mayasari"/>
    <s v="Customer Service"/>
    <s v="U_5638_KAYU AGUNG I"/>
    <s v="Region 04 Palembang"/>
    <s v="UNIT KAYU AGUNG I"/>
    <s v="Associate"/>
    <s v="KC Kayu Agung"/>
    <x v="42"/>
    <s v="Kontrak Teller/CS"/>
  </r>
  <r>
    <s v="K173009823"/>
    <x v="0"/>
    <n v="328354"/>
    <s v="UN"/>
    <s v="Rahma Ayu Antika"/>
    <s v="Customer Service"/>
    <s v="U_5647_TANJUNG RAJA"/>
    <s v="Region 04 Palembang"/>
    <s v="UNIT TANJUNG RAJA"/>
    <s v="Associate"/>
    <s v="KC Kayu Agung"/>
    <x v="43"/>
    <s v="Kontrak Teller/CS"/>
  </r>
  <r>
    <s v="K173799823"/>
    <x v="0"/>
    <n v="328357"/>
    <s v="UN"/>
    <s v="Bunga Islamiati"/>
    <s v="Customer Service"/>
    <s v="U_5645_TANJUNG BATU"/>
    <s v="Region 04 Palembang"/>
    <s v="UNIT TANJUNG BATU"/>
    <s v="Associate"/>
    <s v="KC Kayu Agung"/>
    <x v="44"/>
    <s v="Kontrak Teller/CS"/>
  </r>
  <r>
    <s v="K174150223"/>
    <x v="0"/>
    <n v="328367"/>
    <s v="UN"/>
    <s v="Muhammad Rehan Ilyasa"/>
    <s v="Customer Service"/>
    <s v="U_5638_KAYU AGUNG I"/>
    <s v="Region 04 Palembang"/>
    <s v="UNIT KAYU AGUNG I"/>
    <s v="Associate"/>
    <s v="KC Kayu Agung"/>
    <x v="42"/>
    <s v="Kontrak Teller/CS"/>
  </r>
  <r>
    <s v="K248879723"/>
    <x v="0"/>
    <n v="332919"/>
    <s v="UN"/>
    <s v="Fifi Fariska"/>
    <s v="Customer Service"/>
    <s v="U_5644_SIMPANG TIMBANGAN"/>
    <s v="Region 04 Palembang"/>
    <s v="UNIT SIMPANG TIMBANGAN"/>
    <s v="Associate"/>
    <s v="KC Kayu Agung"/>
    <x v="45"/>
    <s v="Kontrak Teller/CS"/>
  </r>
  <r>
    <s v="K249339723"/>
    <x v="0"/>
    <n v="335631"/>
    <s v="UN"/>
    <s v="Indriansyah"/>
    <s v="Customer Service"/>
    <s v="U_5641_PAMPANGAN"/>
    <s v="Region 04 Palembang"/>
    <s v="UNIT PAMPANGAN"/>
    <s v="Associate"/>
    <s v="KC Kayu Agung"/>
    <x v="46"/>
    <s v="Kontrak Teller/CS"/>
  </r>
  <r>
    <s v="K249369823"/>
    <x v="0"/>
    <n v="335634"/>
    <s v="UN"/>
    <s v="Putri Misbawati"/>
    <s v="Customer Service"/>
    <s v="U_5643_SIRAH PULAU PADANG"/>
    <s v="Region 04 Palembang"/>
    <s v="UNIT SIRAH PULAU PADANG"/>
    <s v="Associate"/>
    <s v="KC Kayu Agung"/>
    <x v="47"/>
    <s v="Kontrak Teller/CS"/>
  </r>
  <r>
    <s v="K251489723"/>
    <x v="0"/>
    <n v="336811"/>
    <s v="UN"/>
    <s v="Indah Suci Lestari"/>
    <s v="Customer Service"/>
    <s v="U_5636_CINTA MANIS"/>
    <s v="Region 04 Palembang"/>
    <s v="UNIT CINTA MANIS"/>
    <s v="Associate"/>
    <s v="KC Kayu Agung"/>
    <x v="48"/>
    <s v="Kontrak Teller/CS"/>
  </r>
  <r>
    <s v="K319009923"/>
    <x v="0"/>
    <n v="341494"/>
    <s v="UN"/>
    <s v="Ayu Meiliani"/>
    <s v="Customer Service"/>
    <s v="U_5644_SIMPANG TIMBANGAN"/>
    <s v="Region 04 Palembang"/>
    <s v="UNIT SIMPANG TIMBANGAN"/>
    <s v="Associate"/>
    <s v="KC Kayu Agung"/>
    <x v="45"/>
    <s v="Kontrak Teller/CS"/>
  </r>
  <r>
    <s v="K400880023"/>
    <x v="0"/>
    <n v="349665"/>
    <s v="UN"/>
    <s v="Annisa Shevania Zahara"/>
    <s v="Customer Service"/>
    <s v="U_5640_LUBUK SEBERUK"/>
    <s v="Region 04 Palembang"/>
    <s v="UNIT LUBUK SEBERUK"/>
    <s v="Associate"/>
    <s v="KC Kayu Agung"/>
    <x v="49"/>
    <s v="Kontrak Teller/CS"/>
  </r>
  <r>
    <s v="K428370224"/>
    <x v="0"/>
    <n v="358095"/>
    <s v="UN"/>
    <s v="Nanditha Eka Fitri"/>
    <s v="Customer Service"/>
    <s v="U_5643_SIRAH PULAU PADANG"/>
    <s v="Region 04 Palembang"/>
    <s v="UNIT SIRAH PULAU PADANG"/>
    <s v="Associate"/>
    <s v="KC Kayu Agung"/>
    <x v="47"/>
    <s v="Kontrak Teller/CS"/>
  </r>
  <r>
    <s v="K440689824"/>
    <x v="0"/>
    <n v="362107"/>
    <s v="UN"/>
    <s v="Indah Nispi Handayani"/>
    <s v="Customer Service"/>
    <s v="U_7217_KEMANG INDAH"/>
    <s v="Region 04 Palembang"/>
    <s v="UNIT KEMANG INDAH"/>
    <s v="Associate"/>
    <s v="KC Kayu Agung"/>
    <x v="50"/>
    <s v="Kontrak Teller/CS"/>
  </r>
  <r>
    <s v="K512790124"/>
    <x v="0"/>
    <n v="373713"/>
    <s v="UN"/>
    <s v="Adinda Faranisa"/>
    <s v="Customer Service"/>
    <s v="U_5637_INDRALAYA"/>
    <s v="Region 04 Palembang"/>
    <s v="UNIT INDRALAYA"/>
    <s v="Associate"/>
    <s v="KC Kayu Agung"/>
    <x v="51"/>
    <s v="Kontrak Teller/CS"/>
  </r>
  <r>
    <s v="K512809924"/>
    <x v="0"/>
    <n v="373714"/>
    <s v="UN"/>
    <s v="Putri Indah Sari"/>
    <s v="Customer Service"/>
    <s v="U_5637_INDRALAYA"/>
    <s v="Region 04 Palembang"/>
    <s v="UNIT INDRALAYA"/>
    <s v="Associate"/>
    <s v="KC Kayu Agung"/>
    <x v="51"/>
    <s v="Kontrak Teller/CS"/>
  </r>
  <r>
    <s v="K513310224"/>
    <x v="0"/>
    <n v="373883"/>
    <s v="UN"/>
    <s v="Shella Gita Parissa"/>
    <s v="Customer Service"/>
    <s v="U_5648_TUGU MULYO"/>
    <s v="Region 04 Palembang"/>
    <s v="UNIT TUGU MULYO"/>
    <s v="Associate"/>
    <s v="KC Kayu Agung"/>
    <x v="52"/>
    <s v="Kontrak Teller/CS"/>
  </r>
  <r>
    <s v="K521350025"/>
    <x v="0"/>
    <n v="375634"/>
    <s v="UN"/>
    <s v="Vina Oktarianti"/>
    <s v="Customer Service"/>
    <s v="U_5640_LUBUK SEBERUK"/>
    <s v="Region 04 Palembang"/>
    <s v="UNIT LUBUK SEBERUK"/>
    <s v="Associate"/>
    <s v="KC Kayu Agung"/>
    <x v="49"/>
    <s v="Kontrak Teller/CS"/>
  </r>
  <r>
    <s v="K521520225"/>
    <x v="0"/>
    <n v="375665"/>
    <s v="UN"/>
    <s v="Nabila Febriyanti Putri Iswan"/>
    <s v="Customer Service"/>
    <s v="U_5647_TANJUNG RAJA"/>
    <s v="Region 04 Palembang"/>
    <s v="UNIT TANJUNG RAJA"/>
    <s v="Associate"/>
    <s v="KC Kayu Agung"/>
    <x v="43"/>
    <s v="Kontrak Teller/CS"/>
  </r>
  <r>
    <s v="K522170225"/>
    <x v="0"/>
    <n v="375892"/>
    <s v="UN"/>
    <s v="Aulia Nurkolifah"/>
    <s v="Customer Service"/>
    <s v="U_5642_PEMATANG PANGGANG"/>
    <s v="Region 04 Palembang"/>
    <s v="UNIT PEMATANG PANGGANG"/>
    <s v="Associate"/>
    <s v="KC Kayu Agung"/>
    <x v="53"/>
    <s v="Kontrak Teller/CS"/>
  </r>
  <r>
    <s v="K530420125"/>
    <x v="0"/>
    <n v="377491"/>
    <s v="UN"/>
    <s v="Nia Selistia"/>
    <s v="Customer Service"/>
    <s v="U_7786_SUMBER HIDUP"/>
    <s v="Region 04 Palembang"/>
    <s v="UNIT SUMBER HIDUP"/>
    <s v="Associate"/>
    <s v="KC Kayu Agung"/>
    <x v="54"/>
    <s v="Kontrak Teller/CS"/>
  </r>
  <r>
    <s v="K534730025"/>
    <x v="0"/>
    <n v="379506"/>
    <s v="UN"/>
    <s v="Aulia Rahmani Putri"/>
    <s v="Customer Service"/>
    <s v="U_7786_SUMBER HIDUP"/>
    <s v="Region 04 Palembang"/>
    <s v="UNIT SUMBER HIDUP"/>
    <s v="Associate"/>
    <s v="KC Kayu Agung"/>
    <x v="54"/>
    <s v="Kontrak Teller/CS"/>
  </r>
  <r>
    <s v="K548530225"/>
    <x v="0"/>
    <n v="381759"/>
    <s v="UN"/>
    <s v="Vera Mayrani"/>
    <s v="Customer Service"/>
    <s v="U_5646_TANJUNG LUBUK"/>
    <s v="Region 04 Palembang"/>
    <s v="UNIT TANJUNG LUBUK"/>
    <s v="Associate"/>
    <s v="KC Kayu Agung"/>
    <x v="55"/>
    <s v="Kontrak Teller/CS"/>
  </r>
  <r>
    <s v="K593510025"/>
    <x v="0"/>
    <n v="385529"/>
    <s v="UN"/>
    <s v="Muhammad Sholahuddin Al-ayubi"/>
    <s v="Customer Service"/>
    <s v="U_5645_TANJUNG BATU"/>
    <s v="Region 04 Palembang"/>
    <s v="UNIT TANJUNG BATU"/>
    <s v="Associate"/>
    <s v="KC Kayu Agung"/>
    <x v="44"/>
    <s v="Kontrak Teller/CS"/>
  </r>
  <r>
    <s v="K576210225"/>
    <x v="0"/>
    <n v="387082"/>
    <s v="UN"/>
    <s v="Yessy Retno Ardianti"/>
    <s v="Customer Service"/>
    <s v="U_7785_MUARA BURNAI"/>
    <s v="Region 04 Palembang"/>
    <s v="UNIT MUARA BURNAI"/>
    <s v="Associate"/>
    <s v="KC Kayu Agung"/>
    <x v="56"/>
    <s v="Kontrak Teller/CS"/>
  </r>
  <r>
    <s v="-"/>
    <x v="0"/>
    <n v="399865"/>
    <s v="UN"/>
    <s v="Sodikin"/>
    <s v="Customer Service"/>
    <s v="U_5648_TUGU MULYO"/>
    <s v="Region 04 Palembang"/>
    <s v="UNIT TUGU MULYO"/>
    <s v="Associate"/>
    <s v="KC Kayu Agung"/>
    <x v="52"/>
    <s v="Kontrak Teller/CS"/>
  </r>
  <r>
    <s v="-"/>
    <x v="0"/>
    <n v="403258"/>
    <s v="UN"/>
    <s v="Tasya Manna Salsabila"/>
    <s v="Customer Service"/>
    <s v="U_7217_KEMANG INDAH"/>
    <s v="Region 04 Palembang"/>
    <s v="UNIT KEMANG INDAH"/>
    <s v="Associate"/>
    <s v="KC Kayu Agung"/>
    <x v="50"/>
    <s v="Kontrak Teller/CS"/>
  </r>
  <r>
    <s v="-"/>
    <x v="0"/>
    <n v="403266"/>
    <s v="UN"/>
    <s v="Prima Widya Astuti"/>
    <s v="Customer Service"/>
    <s v="U_5636_CINTA MANIS"/>
    <s v="Region 04 Palembang"/>
    <s v="UNIT CINTA MANIS"/>
    <s v="Associate"/>
    <s v="KC Kayu Agung"/>
    <x v="48"/>
    <s v="Kontrak Teller/CS"/>
  </r>
  <r>
    <s v="-"/>
    <x v="0"/>
    <n v="404670"/>
    <s v="UN"/>
    <s v="Adi Tiansa"/>
    <s v="Customer Service"/>
    <s v="U_7432_CATUR TUNGGAL"/>
    <s v="Region 04 Palembang"/>
    <s v="UNIT CATUR TUNGGAL"/>
    <s v="Associate"/>
    <s v="KC Kayu Agung"/>
    <x v="57"/>
    <s v="Kontrak Teller/CS"/>
  </r>
  <r>
    <s v="-"/>
    <x v="0"/>
    <n v="406875"/>
    <s v="UN"/>
    <s v="Muhamad Yuda Prasetyo"/>
    <s v="Customer Service"/>
    <s v="U_7432_CATUR TUNGGAL"/>
    <s v="Region 04 Palembang"/>
    <s v="UNIT CATUR TUNGGAL"/>
    <s v="Associate"/>
    <s v="KC Kayu Agung"/>
    <x v="57"/>
    <s v="Kontrak Teller/CS"/>
  </r>
  <r>
    <s v="-"/>
    <x v="0"/>
    <n v="406886"/>
    <s v="UN"/>
    <s v="Sephiani"/>
    <s v="Customer Service"/>
    <s v="U_5642_PEMATANG PANGGANG"/>
    <s v="Region 04 Palembang"/>
    <s v="UNIT PEMATANG PANGGANG"/>
    <s v="Associate"/>
    <s v="KC Kayu Agung"/>
    <x v="53"/>
    <s v="Kontrak Teller/CS"/>
  </r>
  <r>
    <s v="-"/>
    <x v="0"/>
    <n v="411995"/>
    <s v="UN"/>
    <s v="Laura Nindya Asmanata"/>
    <s v="Customer Service"/>
    <s v="U_7785_MUARA BURNAI"/>
    <s v="Region 04 Palembang"/>
    <s v="UNIT MUARA BURNAI"/>
    <s v="Associate"/>
    <s v="KC Kayu Agung"/>
    <x v="56"/>
    <s v="Kontrak Teller/CS"/>
  </r>
  <r>
    <s v="-"/>
    <x v="0"/>
    <n v="413395"/>
    <s v="UN"/>
    <s v="Karda Reza"/>
    <s v="Customer Service"/>
    <s v="U_5646_TANJUNG LUBUK"/>
    <s v="Region 04 Palembang"/>
    <s v="UNIT TANJUNG LUBUK"/>
    <s v="Associate"/>
    <s v="KC Kayu Agung"/>
    <x v="55"/>
    <s v="Kontrak Teller/CS"/>
  </r>
  <r>
    <s v="K458589724"/>
    <x v="1"/>
    <n v="364794"/>
    <s v="UN"/>
    <s v="Hardiyanti"/>
    <s v="Teller"/>
    <s v="U_5638_KAYU AGUNG I"/>
    <s v="Region 04 Palembang"/>
    <s v="UNIT KAYU AGUNG I"/>
    <s v="Associate"/>
    <s v="KC Kayu Agung"/>
    <x v="42"/>
    <s v="Kontrak Teller/CS"/>
  </r>
  <r>
    <s v="K458639824"/>
    <x v="1"/>
    <n v="364799"/>
    <s v="UN"/>
    <s v="M. T Prawiratama Wijaya"/>
    <s v="Teller"/>
    <s v="U_5644_SIMPANG TIMBANGAN"/>
    <s v="Region 04 Palembang"/>
    <s v="UNIT SIMPANG TIMBANGAN"/>
    <s v="Associate"/>
    <s v="KC Kayu Agung"/>
    <x v="45"/>
    <s v="Kontrak Teller/CS"/>
  </r>
  <r>
    <s v="M281300225"/>
    <x v="1"/>
    <n v="377536"/>
    <s v="UN"/>
    <s v="Pratiwi Amalia"/>
    <s v="Teller"/>
    <s v="U_5637_INDRALAYA"/>
    <s v="Region 04 Palembang"/>
    <s v="UNIT INDRALAYA"/>
    <s v="Associate"/>
    <s v="KC Kayu Agung"/>
    <x v="51"/>
    <s v="Peserta Magang"/>
  </r>
  <r>
    <s v="M284420225"/>
    <x v="1"/>
    <n v="378374"/>
    <s v="UN"/>
    <s v="Stephani Syahnaz Elshanda"/>
    <s v="Teller"/>
    <s v="U_7786_SUMBER HIDUP"/>
    <s v="Region 04 Palembang"/>
    <s v="UNIT SUMBER HIDUP"/>
    <s v="Associate"/>
    <s v="KC Kayu Agung"/>
    <x v="54"/>
    <s v="Peserta Magang"/>
  </r>
  <r>
    <s v="M288380225"/>
    <x v="1"/>
    <n v="379454"/>
    <s v="UN"/>
    <s v="Talitha Amanda Permata Wijaya"/>
    <s v="Teller"/>
    <s v="U_5647_TANJUNG RAJA"/>
    <s v="Region 04 Palembang"/>
    <s v="UNIT TANJUNG RAJA"/>
    <s v="Associate"/>
    <s v="KC Kayu Agung"/>
    <x v="43"/>
    <s v="Peserta Magang"/>
  </r>
  <r>
    <s v="M288400225"/>
    <x v="1"/>
    <n v="379456"/>
    <s v="UN"/>
    <s v="Ida Marshella"/>
    <s v="Teller"/>
    <s v="U_5640_LUBUK SEBERUK"/>
    <s v="Region 04 Palembang"/>
    <s v="UNIT LUBUK SEBERUK"/>
    <s v="Associate"/>
    <s v="KC Kayu Agung"/>
    <x v="49"/>
    <s v="Peserta Magang"/>
  </r>
  <r>
    <s v="M292430025"/>
    <x v="1"/>
    <n v="381146"/>
    <s v="UN"/>
    <s v="Ridha Maharani"/>
    <s v="Teller"/>
    <s v="U_7785_MUARA BURNAI"/>
    <s v="Region 04 Palembang"/>
    <s v="UNIT MUARA BURNAI"/>
    <s v="Associate"/>
    <s v="KC Kayu Agung"/>
    <x v="56"/>
    <s v="Peserta Magang"/>
  </r>
  <r>
    <s v="M292450125"/>
    <x v="1"/>
    <n v="381155"/>
    <s v="UN"/>
    <s v="Yeni Safera"/>
    <s v="Teller"/>
    <s v="U_5646_TANJUNG LUBUK"/>
    <s v="Region 04 Palembang"/>
    <s v="UNIT TANJUNG LUBUK"/>
    <s v="Associate"/>
    <s v="KC Kayu Agung"/>
    <x v="55"/>
    <s v="Peserta Magang"/>
  </r>
  <r>
    <s v="M292510425"/>
    <x v="1"/>
    <n v="381185"/>
    <s v="UN"/>
    <s v="Amanda Putri Gianti"/>
    <s v="Teller"/>
    <s v="U_7217_KEMANG INDAH"/>
    <s v="Region 04 Palembang"/>
    <s v="UNIT KEMANG INDAH"/>
    <s v="Associate"/>
    <s v="KC Kayu Agung"/>
    <x v="50"/>
    <s v="Peserta Magang"/>
  </r>
  <r>
    <s v="M300260325"/>
    <x v="1"/>
    <n v="383638"/>
    <s v="UN"/>
    <s v="Nana Mardiana"/>
    <s v="Teller"/>
    <s v="U_5648_TUGU MULYO"/>
    <s v="Region 04 Palembang"/>
    <s v="UNIT TUGU MULYO"/>
    <s v="Associate"/>
    <s v="KC Kayu Agung"/>
    <x v="52"/>
    <s v="Peserta Magang"/>
  </r>
  <r>
    <s v="M316970025"/>
    <x v="1"/>
    <n v="385132"/>
    <s v="UN"/>
    <s v="Della Dwi Rani"/>
    <s v="Teller"/>
    <s v="U_5643_SIRAH PULAU PADANG"/>
    <s v="Region 04 Palembang"/>
    <s v="UNIT SIRAH PULAU PADANG"/>
    <s v="Associate"/>
    <s v="KC Kayu Agung"/>
    <x v="47"/>
    <s v="Peserta Magang"/>
  </r>
  <r>
    <s v="M317500025"/>
    <x v="1"/>
    <n v="385527"/>
    <s v="UN"/>
    <s v="Tasya Kartika Maharani"/>
    <s v="Teller"/>
    <s v="U_5648_TUGU MULYO"/>
    <s v="Region 04 Palembang"/>
    <s v="UNIT TUGU MULYO"/>
    <s v="Associate"/>
    <s v="KC Kayu Agung"/>
    <x v="52"/>
    <s v="Peserta Magang"/>
  </r>
  <r>
    <s v="M305820225"/>
    <x v="1"/>
    <n v="385528"/>
    <s v="UN"/>
    <s v="Fara Nourachma"/>
    <s v="Teller"/>
    <s v="U_5645_TANJUNG BATU"/>
    <s v="Region 04 Palembang"/>
    <s v="UNIT TANJUNG BATU"/>
    <s v="Associate"/>
    <s v="KC Kayu Agung"/>
    <x v="44"/>
    <s v="Peserta Magang"/>
  </r>
  <r>
    <s v="M323080325"/>
    <x v="1"/>
    <n v="388685"/>
    <s v="UN"/>
    <s v="Aditya Teguh Mahendra"/>
    <s v="Teller"/>
    <s v="U_5642_PEMATANG PANGGANG"/>
    <s v="Region 04 Palembang"/>
    <s v="UNIT PEMATANG PANGGANG"/>
    <s v="Associate"/>
    <s v="KC Kayu Agung"/>
    <x v="53"/>
    <s v="Peserta Magang"/>
  </r>
  <r>
    <s v="M338210025"/>
    <x v="1"/>
    <n v="394443"/>
    <s v="UN"/>
    <s v="Intan Wanda Permata"/>
    <s v="Teller"/>
    <s v="U_5636_CINTA MANIS"/>
    <s v="Region 04 Palembang"/>
    <s v="UNIT CINTA MANIS"/>
    <s v="Associate"/>
    <s v="KC Kayu Agung"/>
    <x v="48"/>
    <s v="Peserta Magang"/>
  </r>
  <r>
    <n v="0"/>
    <x v="1"/>
    <n v="396870"/>
    <s v="UN"/>
    <s v="Clara Oktariani"/>
    <s v="Teller"/>
    <s v="U_5645_TANJUNG BATU"/>
    <s v="Region 04 Palembang"/>
    <s v="UNIT TANJUNG BATU"/>
    <s v="Associate"/>
    <s v="KC Kayu Agung"/>
    <x v="44"/>
    <s v="Peserta Magang"/>
  </r>
  <r>
    <n v="0"/>
    <x v="1"/>
    <n v="404616"/>
    <s v="UN"/>
    <s v="Muhammad Tegar Rahmatullah"/>
    <s v="Teller"/>
    <s v="U_5641_PAMPANGAN"/>
    <s v="Region 04 Palembang"/>
    <s v="UNIT PAMPANGAN"/>
    <s v="Associate"/>
    <s v="KC Kayu Agung"/>
    <x v="46"/>
    <s v="Peserta Magang"/>
  </r>
  <r>
    <n v="0"/>
    <x v="1"/>
    <n v="404672"/>
    <s v="UN"/>
    <s v="Muhammad Nauval Aldenry"/>
    <s v="Teller"/>
    <s v="U_7432_CATUR TUNGGAL"/>
    <s v="Region 04 Palembang"/>
    <s v="UNIT CATUR TUNGGAL"/>
    <s v="Associate"/>
    <s v="KC Kayu Agung"/>
    <x v="57"/>
    <s v="Peserta Magang"/>
  </r>
  <r>
    <n v="0"/>
    <x v="1"/>
    <n v="404673"/>
    <s v="UN"/>
    <s v="Tiara Syifa Salsabila"/>
    <s v="Teller"/>
    <s v="U_5643_SIRAH PULAU PADANG"/>
    <s v="Region 04 Palembang"/>
    <s v="UNIT SIRAH PULAU PADANG"/>
    <s v="Associate"/>
    <s v="KC Kayu Agung"/>
    <x v="47"/>
    <s v="Peserta Magang"/>
  </r>
  <r>
    <n v="0"/>
    <x v="1"/>
    <n v="408323"/>
    <s v="UN"/>
    <s v="Septiani Indriyati"/>
    <s v="Teller"/>
    <s v="U_5644_SIMPANG TIMBANGAN"/>
    <s v="Region 04 Palembang"/>
    <s v="UNIT SIMPANG TIMBANGAN"/>
    <s v="Associate"/>
    <s v="KC Kayu Agung"/>
    <x v="45"/>
    <s v="Peserta Magang"/>
  </r>
  <r>
    <n v="0"/>
    <x v="1"/>
    <n v="408405"/>
    <s v="UN"/>
    <s v="Prisca Laura"/>
    <s v="Teller"/>
    <s v="U_5638_KAYU AGUNG I"/>
    <s v="Region 04 Palembang"/>
    <s v="UNIT KAYU AGUNG I"/>
    <s v="Associate"/>
    <s v="KC Kayu Agung"/>
    <x v="42"/>
    <s v="Peserta Magang"/>
  </r>
  <r>
    <n v="0"/>
    <x v="1"/>
    <n v="408960"/>
    <s v="UN"/>
    <s v="Dimas Agil Demara"/>
    <s v="Teller"/>
    <s v="U_5642_PEMATANG PANGGANG"/>
    <s v="Region 04 Palembang"/>
    <s v="UNIT PEMATANG PANGGANG"/>
    <s v="Associate"/>
    <s v="KC Kayu Agung"/>
    <x v="53"/>
    <s v="Peserta Magang"/>
  </r>
  <r>
    <n v="0"/>
    <x v="1"/>
    <n v="411993"/>
    <s v="UN"/>
    <s v="Ricke Dwi Ningsih"/>
    <s v="Teller"/>
    <s v="U_5637_INDRALAYA"/>
    <s v="Region 04 Palembang"/>
    <s v="UNIT INDRALAYA"/>
    <s v="Associate"/>
    <s v="KC Kayu Agung"/>
    <x v="51"/>
    <s v="Peserta Magang"/>
  </r>
  <r>
    <n v="0"/>
    <x v="1"/>
    <n v="412139"/>
    <s v="UN"/>
    <s v="Zweta Anggun Syafara"/>
    <s v="Teller"/>
    <s v="U_5640_LUBUK SEBERUK"/>
    <s v="Region 04 Palembang"/>
    <s v="UNIT LUBUK SEBERUK"/>
    <s v="Associate"/>
    <s v="KC Kayu Agung"/>
    <x v="49"/>
    <s v="Peserta Magang"/>
  </r>
  <r>
    <n v="0"/>
    <x v="1"/>
    <n v="413396"/>
    <s v="UN"/>
    <s v="Iva Andini Putri"/>
    <s v="Teller"/>
    <s v="U_5647_TANJUNG RAJA"/>
    <s v="Region 04 Palembang"/>
    <s v="UNIT TANJUNG RAJA"/>
    <s v="Associate"/>
    <s v="KC Kayu Agung"/>
    <x v="43"/>
    <s v="Peserta Magang"/>
  </r>
  <r>
    <s v="K174279723"/>
    <x v="0"/>
    <n v="328684"/>
    <s v="UN"/>
    <s v="Novita Anggraeni Tamba"/>
    <s v="Customer Service"/>
    <s v="U_5670_PELABUHAN DAGANG"/>
    <s v="Region 04 Palembang"/>
    <s v="UNIT PELABUHAN DAGANG"/>
    <s v="Associate"/>
    <s v="KC Kuala Tungkal"/>
    <x v="58"/>
    <s v="Kontrak Teller/CS"/>
  </r>
  <r>
    <s v="K173439723"/>
    <x v="0"/>
    <n v="330957"/>
    <s v="UN"/>
    <s v="Dini Amelia Dwiputri"/>
    <s v="Customer Service"/>
    <s v="U_5666_KOTA KUALA TUNGKAL"/>
    <s v="Region 04 Palembang"/>
    <s v="UNIT KOTA KUALA TUNGKAL"/>
    <s v="Associate"/>
    <s v="KC Kuala Tungkal"/>
    <x v="59"/>
    <s v="Kontrak Teller/CS"/>
  </r>
  <r>
    <s v="K407309924"/>
    <x v="0"/>
    <n v="355153"/>
    <s v="UN"/>
    <s v="Ade Apriliyanti"/>
    <s v="Customer Service"/>
    <s v="U_5666_KOTA KUALA TUNGKAL"/>
    <s v="Region 04 Palembang"/>
    <s v="UNIT KOTA KUALA TUNGKAL"/>
    <s v="Associate"/>
    <s v="KC Kuala Tungkal"/>
    <x v="59"/>
    <s v="Kontrak Teller/CS"/>
  </r>
  <r>
    <s v="K490129924"/>
    <x v="0"/>
    <n v="370032"/>
    <s v="UN"/>
    <s v="Reka Maiza  Epralia"/>
    <s v="Customer Service"/>
    <s v="U_5667_MERLUNG"/>
    <s v="Region 04 Palembang"/>
    <s v="UNIT MERLUNG"/>
    <s v="Associate"/>
    <s v="KC Kuala Tungkal"/>
    <x v="60"/>
    <s v="Kontrak Teller/CS"/>
  </r>
  <r>
    <s v="K508300224"/>
    <x v="0"/>
    <n v="373588"/>
    <s v="UN"/>
    <s v="Raihanna Dewi Amanta"/>
    <s v="Customer Service"/>
    <s v="U_7850_SUDIRMAN KUALA TUNGKAL"/>
    <s v="Region 04 Palembang"/>
    <s v="UNIT SUDIRMAN KUALA TUNGKAL"/>
    <s v="Associate"/>
    <s v="KC Kuala Tungkal"/>
    <x v="61"/>
    <s v="Kontrak Teller/CS"/>
  </r>
  <r>
    <s v="K520829825"/>
    <x v="0"/>
    <n v="375380"/>
    <s v="UN"/>
    <s v="Yosi Amalia Puri"/>
    <s v="Customer Service"/>
    <s v="U_7104_GERAGAI"/>
    <s v="Region 04 Palembang"/>
    <s v="UNIT GERAGAI"/>
    <s v="Associate"/>
    <s v="KC Kuala Tungkal"/>
    <x v="62"/>
    <s v="Kontrak Teller/CS"/>
  </r>
  <r>
    <s v="K546459925"/>
    <x v="0"/>
    <n v="381402"/>
    <s v="UN"/>
    <s v="Anggi Melva Oktavia"/>
    <s v="Customer Service"/>
    <s v="U_7288_TEBING TINGGI"/>
    <s v="Region 04 Palembang"/>
    <s v="UNIT TEBING TINGGI"/>
    <s v="Associate"/>
    <s v="KC Kuala Tungkal"/>
    <x v="63"/>
    <s v="Kontrak Teller/CS"/>
  </r>
  <r>
    <s v="K571310125"/>
    <x v="0"/>
    <n v="385233"/>
    <s v="UN"/>
    <s v="Fransiska Elisabeth Oktaviani"/>
    <s v="Customer Service"/>
    <s v="U_5671_PURWODADI KUALA TUNGKAL"/>
    <s v="Region 04 Palembang"/>
    <s v="UNIT PURWODADI KUALA TUNGKAL"/>
    <s v="Associate"/>
    <s v="KC Kuala Tungkal"/>
    <x v="64"/>
    <s v="Kontrak Teller/CS"/>
  </r>
  <r>
    <s v="K571320125"/>
    <x v="0"/>
    <n v="385234"/>
    <s v="UN"/>
    <s v="Sefri Aisatul Kholifah"/>
    <s v="Customer Service"/>
    <s v="U_5667_MERLUNG"/>
    <s v="Region 04 Palembang"/>
    <s v="UNIT MERLUNG"/>
    <s v="Associate"/>
    <s v="KC Kuala Tungkal"/>
    <x v="60"/>
    <s v="Kontrak Teller/CS"/>
  </r>
  <r>
    <s v="K571340125"/>
    <x v="0"/>
    <n v="385237"/>
    <s v="UN"/>
    <s v="Jevita Sari"/>
    <s v="Customer Service"/>
    <s v="U_7289_RANTAU BADAK"/>
    <s v="Region 04 Palembang"/>
    <s v="UNIT RANTAU BADAK"/>
    <s v="Associate"/>
    <s v="KC Kuala Tungkal"/>
    <x v="65"/>
    <s v="Kontrak Teller/CS"/>
  </r>
  <r>
    <s v="K593120025"/>
    <x v="0"/>
    <n v="385348"/>
    <s v="UN"/>
    <s v="Widya Rahmawati"/>
    <s v="Customer Service"/>
    <s v="U_5668_MUARA SABAK"/>
    <s v="Region 04 Palembang"/>
    <s v="UNIT MUARA SABAK"/>
    <s v="Associate"/>
    <s v="KC Kuala Tungkal"/>
    <x v="66"/>
    <s v="Kontrak Teller/CS"/>
  </r>
  <r>
    <s v="K571830125"/>
    <x v="0"/>
    <n v="385461"/>
    <s v="UN"/>
    <s v="Yusmi Sagita"/>
    <s v="Customer Service"/>
    <s v="U_5670_PELABUHAN DAGANG"/>
    <s v="Region 04 Palembang"/>
    <s v="UNIT PELABUHAN DAGANG"/>
    <s v="Associate"/>
    <s v="KC Kuala Tungkal"/>
    <x v="58"/>
    <s v="Kontrak Teller/CS"/>
  </r>
  <r>
    <s v="K604530125"/>
    <x v="0"/>
    <n v="388977"/>
    <s v="UN"/>
    <s v="Dina Ayu Nabela"/>
    <s v="Customer Service"/>
    <s v="U_8144_PENGABUAN"/>
    <s v="Region 04 Palembang"/>
    <s v="UNIT PENGABUAN"/>
    <s v="Associate"/>
    <s v="KC Kuala Tungkal"/>
    <x v="67"/>
    <s v="Kontrak Teller/CS"/>
  </r>
  <r>
    <s v="-"/>
    <x v="0"/>
    <n v="402337"/>
    <s v="UN"/>
    <s v="Shela Septia Ningsih"/>
    <s v="Customer Service"/>
    <s v="U_7080_SERDANG JAYA"/>
    <s v="Region 04 Palembang"/>
    <s v="UNIT SERDANG JAYA"/>
    <s v="Associate"/>
    <s v="KC Kuala Tungkal"/>
    <x v="68"/>
    <s v="Kontrak Teller/CS"/>
  </r>
  <r>
    <n v="1"/>
    <x v="0"/>
    <n v="402338"/>
    <s v="UN"/>
    <s v="Randa Aslam Putra"/>
    <s v="Customer Service"/>
    <s v="U_7739_PELITA"/>
    <s v="Region 04 Palembang"/>
    <s v="UNIT PELITA"/>
    <s v="Associate"/>
    <s v="KC Kuala Tungkal"/>
    <x v="69"/>
    <s v="Kontrak Teller/CS"/>
  </r>
  <r>
    <s v="-"/>
    <x v="0"/>
    <n v="404302"/>
    <s v="UN"/>
    <s v="Nurul Apriananda"/>
    <s v="Customer Service"/>
    <s v="U_5669_NIPAH PANJANG"/>
    <s v="Region 04 Palembang"/>
    <s v="UNIT NIPAH PANJANG"/>
    <s v="Associate"/>
    <s v="KC Kuala Tungkal"/>
    <x v="70"/>
    <s v="Kontrak Teller/CS"/>
  </r>
  <r>
    <s v="-"/>
    <x v="0"/>
    <n v="405305"/>
    <s v="UN"/>
    <s v="Des Winanda Rosalia"/>
    <s v="Customer Service"/>
    <s v="U_7738_SIDOMUKTI"/>
    <s v="Region 04 Palembang"/>
    <s v="UNIT SIDOMUKTI"/>
    <s v="Associate"/>
    <s v="KC Kuala Tungkal"/>
    <x v="71"/>
    <s v="Kontrak Teller/CS"/>
  </r>
  <r>
    <s v="-"/>
    <x v="0"/>
    <n v="410350"/>
    <s v="UN"/>
    <s v="Widya"/>
    <s v="Customer Service"/>
    <s v="U_7739_PELITA"/>
    <s v="Region 04 Palembang"/>
    <s v="UNIT PELITA"/>
    <s v="Associate"/>
    <s v="KC Kuala Tungkal"/>
    <x v="69"/>
    <s v="Kontrak Teller/CS"/>
  </r>
  <r>
    <s v="-"/>
    <x v="0"/>
    <n v="410352"/>
    <s v="UN"/>
    <s v="M. Ikmalul Amal"/>
    <s v="Customer Service"/>
    <s v="U_5668_MUARA SABAK"/>
    <s v="Region 04 Palembang"/>
    <s v="UNIT MUARA SABAK"/>
    <s v="Associate"/>
    <s v="KC Kuala Tungkal"/>
    <x v="66"/>
    <s v="Kontrak Teller/CS"/>
  </r>
  <r>
    <s v="M317170125"/>
    <x v="1"/>
    <n v="385245"/>
    <s v="UN"/>
    <s v="Rifki Aryani"/>
    <s v="Teller"/>
    <s v="U_5671_PURWODADI KUALA TUNGKAL"/>
    <s v="Region 04 Palembang"/>
    <s v="UNIT PURWODADI KUALA TUNGKAL"/>
    <s v="Associate"/>
    <s v="KC Kuala Tungkal"/>
    <x v="64"/>
    <s v="Peserta Magang"/>
  </r>
  <r>
    <s v="M323090225"/>
    <x v="1"/>
    <n v="388688"/>
    <s v="UN"/>
    <s v="Sheli Puspita"/>
    <s v="Teller"/>
    <s v="U_7288_TEBING TINGGI"/>
    <s v="Region 04 Palembang"/>
    <s v="UNIT TEBING TINGGI"/>
    <s v="Associate"/>
    <s v="KC Kuala Tungkal"/>
    <x v="63"/>
    <s v="Peserta Magang"/>
  </r>
  <r>
    <s v="M323200125"/>
    <x v="1"/>
    <n v="388714"/>
    <s v="UN"/>
    <s v="Putri Musdalifah"/>
    <s v="Teller"/>
    <s v="U_8144_PENGABUAN"/>
    <s v="Region 04 Palembang"/>
    <s v="UNIT PENGABUAN"/>
    <s v="Associate"/>
    <s v="KC Kuala Tungkal"/>
    <x v="67"/>
    <s v="Peserta Magang"/>
  </r>
  <r>
    <s v="M336130225"/>
    <x v="1"/>
    <n v="393452"/>
    <s v="UN"/>
    <s v="Ria Ardiyanti"/>
    <s v="Teller"/>
    <s v="U_7739_PELITA"/>
    <s v="Region 04 Palembang"/>
    <s v="UNIT PELITA"/>
    <s v="Associate"/>
    <s v="KC Kuala Tungkal"/>
    <x v="69"/>
    <s v="Peserta Magang"/>
  </r>
  <r>
    <n v="0"/>
    <x v="1"/>
    <n v="401345"/>
    <s v="UN"/>
    <s v="Muhammad Satria Mubin"/>
    <s v="Teller"/>
    <s v="U_7289_RANTAU BADAK"/>
    <s v="Region 04 Palembang"/>
    <s v="UNIT RANTAU BADAK"/>
    <s v="Associate"/>
    <s v="KC Kuala Tungkal"/>
    <x v="65"/>
    <s v="Peserta Magang"/>
  </r>
  <r>
    <n v="0"/>
    <x v="1"/>
    <n v="401943"/>
    <s v="UN"/>
    <s v="Tiara Amanda"/>
    <s v="Teller"/>
    <s v="U_5666_KOTA KUALA TUNGKAL"/>
    <s v="Region 04 Palembang"/>
    <s v="UNIT KOTA KUALA TUNGKAL"/>
    <s v="Associate"/>
    <s v="KC Kuala Tungkal"/>
    <x v="59"/>
    <s v="Peserta Magang"/>
  </r>
  <r>
    <n v="0"/>
    <x v="1"/>
    <n v="403427"/>
    <s v="UN"/>
    <s v="Sapna Hafiza Ariesty"/>
    <s v="Teller"/>
    <s v="U_7850_SUDIRMAN KUALA TUNGKAL"/>
    <s v="Region 04 Palembang"/>
    <s v="UNIT SUDIRMAN KUALA TUNGKAL"/>
    <s v="Associate"/>
    <s v="KC Kuala Tungkal"/>
    <x v="61"/>
    <s v="Peserta Magang"/>
  </r>
  <r>
    <n v="0"/>
    <x v="1"/>
    <n v="405304"/>
    <s v="UN"/>
    <s v="Nur Diana Putri"/>
    <s v="Teller"/>
    <s v="U_7738_SIDOMUKTI"/>
    <s v="Region 04 Palembang"/>
    <s v="UNIT SIDOMUKTI"/>
    <s v="Associate"/>
    <s v="KC Kuala Tungkal"/>
    <x v="71"/>
    <s v="Peserta Magang"/>
  </r>
  <r>
    <n v="0"/>
    <x v="1"/>
    <n v="405307"/>
    <s v="UN"/>
    <s v="Nur Anggraini"/>
    <s v="Teller"/>
    <s v="U_7080_SERDANG JAYA"/>
    <s v="Region 04 Palembang"/>
    <s v="UNIT SERDANG JAYA"/>
    <s v="Associate"/>
    <s v="KC Kuala Tungkal"/>
    <x v="68"/>
    <s v="Peserta Magang"/>
  </r>
  <r>
    <n v="0"/>
    <x v="1"/>
    <n v="407729"/>
    <s v="UN"/>
    <s v="Riska Sundari Oktarina"/>
    <s v="Teller"/>
    <s v="U_5670_PELABUHAN DAGANG"/>
    <s v="Region 04 Palembang"/>
    <s v="UNIT PELABUHAN DAGANG"/>
    <s v="Associate"/>
    <s v="KC Kuala Tungkal"/>
    <x v="58"/>
    <s v="Peserta Magang"/>
  </r>
  <r>
    <n v="0"/>
    <x v="1"/>
    <n v="409891"/>
    <s v="UN"/>
    <s v="Luchiana Aryadita Wijaya"/>
    <s v="Teller"/>
    <s v="U_5668_MUARA SABAK"/>
    <s v="Region 04 Palembang"/>
    <s v="UNIT MUARA SABAK"/>
    <s v="Associate"/>
    <s v="KC Kuala Tungkal"/>
    <x v="66"/>
    <s v="Peserta Magang"/>
  </r>
  <r>
    <s v="-"/>
    <x v="1"/>
    <n v="410351"/>
    <s v="UN"/>
    <s v="Suci Lestari Oktaviani"/>
    <s v="Teller"/>
    <s v="U_7104_GERAGAI"/>
    <s v="Region 04 Palembang"/>
    <s v="UNIT GERAGAI"/>
    <s v="Associate"/>
    <s v="KC Kuala Tungkal"/>
    <x v="62"/>
    <s v="Kontrak Teller/CS"/>
  </r>
  <r>
    <n v="0"/>
    <x v="1"/>
    <n v="412865"/>
    <s v="UN"/>
    <s v="Muhamad Aditya Junior"/>
    <s v="Teller"/>
    <s v="U_5667_MERLUNG"/>
    <s v="Region 04 Palembang"/>
    <s v="UNIT MERLUNG"/>
    <s v="Associate"/>
    <s v="KC Kuala Tungkal"/>
    <x v="60"/>
    <s v="Peserta Magang"/>
  </r>
  <r>
    <n v="0"/>
    <x v="1"/>
    <n v="413241"/>
    <s v="UN"/>
    <s v="Rosma Windah"/>
    <s v="Teller"/>
    <s v="U_5669_NIPAH PANJANG"/>
    <s v="Region 04 Palembang"/>
    <s v="UNIT NIPAH PANJANG"/>
    <s v="Associate"/>
    <s v="KC Kuala Tungkal"/>
    <x v="70"/>
    <s v="Peserta Magang"/>
  </r>
  <r>
    <s v="K174199923"/>
    <x v="0"/>
    <n v="328542"/>
    <s v="UN"/>
    <s v="Dzalza Billa"/>
    <s v="Customer Service"/>
    <s v="U_5675_PASAR LEMATANG"/>
    <s v="Region 04 Palembang"/>
    <s v="UNIT PASAR LEMATANG"/>
    <s v="Associate"/>
    <s v="KC Lahat"/>
    <x v="72"/>
    <s v="Kontrak Teller/CS"/>
  </r>
  <r>
    <s v="K174040023"/>
    <x v="0"/>
    <n v="328543"/>
    <s v="UN"/>
    <s v="Dimas Prasetya Nugraha"/>
    <s v="Customer Service"/>
    <s v="U_7461_TANJUNG AUR"/>
    <s v="Region 04 Palembang"/>
    <s v="UNIT TANJUNG AUR"/>
    <s v="Associate"/>
    <s v="KC Lahat"/>
    <x v="73"/>
    <s v="Kontrak Teller/CS"/>
  </r>
  <r>
    <s v="K401969723"/>
    <x v="0"/>
    <n v="350331"/>
    <s v="UN"/>
    <s v="Ade Andita"/>
    <s v="Customer Service"/>
    <s v="U_7461_TANJUNG AUR"/>
    <s v="Region 04 Palembang"/>
    <s v="UNIT TANJUNG AUR"/>
    <s v="Associate"/>
    <s v="KC Lahat"/>
    <x v="73"/>
    <s v="Kontrak Teller/CS"/>
  </r>
  <r>
    <s v="K444449924"/>
    <x v="0"/>
    <n v="364355"/>
    <s v="UN"/>
    <s v="Surya Ramadhan"/>
    <s v="Customer Service"/>
    <s v="U_3550_TEBING TINGGI LAHAT"/>
    <s v="Region 04 Palembang"/>
    <s v="UNIT TEBING TINGGI LAHAT"/>
    <s v="Associate"/>
    <s v="KC Lahat"/>
    <x v="74"/>
    <s v="Kontrak Teller/CS"/>
  </r>
  <r>
    <s v="K512840224"/>
    <x v="0"/>
    <n v="373719"/>
    <s v="UN"/>
    <s v="Alya Nathania Putri Rifa"/>
    <s v="Customer Service"/>
    <s v="U_5673_KOTA AGUNG LAHAT"/>
    <s v="Region 04 Palembang"/>
    <s v="UNIT KOTA AGUNG LAHAT"/>
    <s v="Associate"/>
    <s v="KC Lahat"/>
    <x v="75"/>
    <s v="Kontrak Teller/CS"/>
  </r>
  <r>
    <s v="K550420225"/>
    <x v="0"/>
    <n v="381002"/>
    <s v="UN"/>
    <s v="Shendy Septian"/>
    <s v="Customer Service"/>
    <s v="U_5672_BUNGAMAS"/>
    <s v="Region 04 Palembang"/>
    <s v="UNIT BUNGAMAS"/>
    <s v="Associate"/>
    <s v="KC Lahat"/>
    <x v="76"/>
    <s v="Kontrak Teller/CS"/>
  </r>
  <r>
    <s v="K620930125"/>
    <x v="0"/>
    <n v="392401"/>
    <s v="UN"/>
    <s v="Afdhil Yopandi"/>
    <s v="Customer Service"/>
    <s v="U_5675_PASAR LEMATANG"/>
    <s v="Region 04 Palembang"/>
    <s v="UNIT PASAR LEMATANG"/>
    <s v="Associate"/>
    <s v="KC Lahat"/>
    <x v="72"/>
    <s v="Kontrak Teller/CS"/>
  </r>
  <r>
    <s v="K620949925"/>
    <x v="0"/>
    <n v="392402"/>
    <s v="UN"/>
    <s v="Akbar Gumelar"/>
    <s v="Customer Service"/>
    <s v="U_5674_MERAPI"/>
    <s v="Region 04 Palembang"/>
    <s v="UNIT MERAPI"/>
    <s v="Associate"/>
    <s v="KC Lahat"/>
    <x v="77"/>
    <s v="Kontrak Teller/CS"/>
  </r>
  <r>
    <s v="K621180125"/>
    <x v="0"/>
    <n v="392428"/>
    <s v="UN"/>
    <s v="Khairul Hidayat"/>
    <s v="Customer Service"/>
    <s v="U_3393_PASAR LAMA"/>
    <s v="Region 04 Palembang"/>
    <s v="UNIT PASAR LAMA"/>
    <s v="Associate"/>
    <s v="KC Lahat"/>
    <x v="78"/>
    <s v="Kontrak Teller/CS"/>
  </r>
  <r>
    <s v="M274530125"/>
    <x v="1"/>
    <n v="375677"/>
    <s v="UN"/>
    <s v="Muhammad Farizal"/>
    <s v="Teller"/>
    <s v="U_5673_KOTA AGUNG LAHAT"/>
    <s v="Region 04 Palembang"/>
    <s v="UNIT KOTA AGUNG LAHAT"/>
    <s v="Associate"/>
    <s v="KC Lahat"/>
    <x v="75"/>
    <s v="Peserta Magang"/>
  </r>
  <r>
    <s v="M292490325"/>
    <x v="1"/>
    <n v="381179"/>
    <s v="UN"/>
    <s v="Eva Novita Sari"/>
    <s v="Teller"/>
    <s v="U_3393_PASAR LAMA"/>
    <s v="Region 04 Palembang"/>
    <s v="UNIT PASAR LAMA"/>
    <s v="Associate"/>
    <s v="KC Lahat"/>
    <x v="78"/>
    <s v="Peserta Magang"/>
  </r>
  <r>
    <s v="M292500025"/>
    <x v="1"/>
    <n v="381184"/>
    <s v="UN"/>
    <s v="Yuliza Afifah"/>
    <s v="Teller"/>
    <s v="U_5672_BUNGAMAS"/>
    <s v="Region 04 Palembang"/>
    <s v="UNIT BUNGAMAS"/>
    <s v="Associate"/>
    <s v="KC Lahat"/>
    <x v="76"/>
    <s v="Peserta Magang"/>
  </r>
  <r>
    <s v="M323210125"/>
    <x v="1"/>
    <n v="388715"/>
    <s v="UN"/>
    <s v="Yusril Ferdinan"/>
    <s v="Teller"/>
    <s v="U_3393_PASAR LAMA"/>
    <s v="Region 04 Palembang"/>
    <s v="UNIT PASAR LAMA"/>
    <s v="Associate"/>
    <s v="KC Lahat"/>
    <x v="78"/>
    <s v="Peserta Magang"/>
  </r>
  <r>
    <s v="M329220125"/>
    <x v="1"/>
    <n v="390768"/>
    <s v="UN"/>
    <s v="Dyah Ayu Banowati"/>
    <s v="Teller"/>
    <s v="U_7461_TANJUNG AUR"/>
    <s v="Region 04 Palembang"/>
    <s v="UNIT TANJUNG AUR"/>
    <s v="Associate"/>
    <s v="KC Lahat"/>
    <x v="73"/>
    <s v="Peserta Magang"/>
  </r>
  <r>
    <s v="K620980325"/>
    <x v="1"/>
    <n v="392406"/>
    <s v="UN"/>
    <s v="Kemala Hayati"/>
    <s v="Teller"/>
    <s v="U_5675_PASAR LEMATANG"/>
    <s v="Region 04 Palembang"/>
    <s v="UNIT PASAR LEMATANG"/>
    <s v="Associate"/>
    <s v="KC Lahat"/>
    <x v="72"/>
    <s v="Kontrak Teller/CS"/>
  </r>
  <r>
    <s v="K621029825"/>
    <x v="1"/>
    <n v="392410"/>
    <s v="UN"/>
    <s v="Amelia Widiyanti"/>
    <s v="Teller"/>
    <s v="U_5674_MERAPI"/>
    <s v="Region 04 Palembang"/>
    <s v="UNIT MERAPI"/>
    <s v="Associate"/>
    <s v="KC Lahat"/>
    <x v="77"/>
    <s v="Kontrak Teller/CS"/>
  </r>
  <r>
    <s v="K621030025"/>
    <x v="1"/>
    <n v="392412"/>
    <s v="UN"/>
    <s v="Dinaresa Jesica"/>
    <s v="Teller"/>
    <s v="U_3550_TEBING TINGGI LAHAT"/>
    <s v="Region 04 Palembang"/>
    <s v="UNIT TEBING TINGGI LAHAT"/>
    <s v="Associate"/>
    <s v="KC Lahat"/>
    <x v="74"/>
    <s v="Kontrak Teller/CS"/>
  </r>
  <r>
    <n v="0"/>
    <x v="1"/>
    <n v="401188"/>
    <s v="UN"/>
    <s v="Belinda Zayanti"/>
    <s v="Teller"/>
    <s v="U_5675_PASAR LEMATANG"/>
    <s v="Region 04 Palembang"/>
    <s v="UNIT PASAR LEMATANG"/>
    <s v="Associate"/>
    <s v="KC Lahat"/>
    <x v="72"/>
    <s v="Peserta Magang"/>
  </r>
  <r>
    <s v="K174089723"/>
    <x v="0"/>
    <n v="328658"/>
    <s v="UN"/>
    <s v="Riska Apriyanti"/>
    <s v="Customer Service"/>
    <s v="U_7045_MUARA BELITI"/>
    <s v="Region 04 Palembang"/>
    <s v="UNIT MUARA BELITI"/>
    <s v="Associate"/>
    <s v="KC Lubuk Linggau"/>
    <x v="79"/>
    <s v="Kontrak Teller/CS"/>
  </r>
  <r>
    <s v="K173779723"/>
    <x v="0"/>
    <n v="328689"/>
    <s v="UN"/>
    <s v="Helvy Inanda Putri Hs"/>
    <s v="Customer Service"/>
    <s v="U_5682_SIMPANG PERIUK"/>
    <s v="Region 04 Palembang"/>
    <s v="UNIT SIMPANG PERIUK"/>
    <s v="Associate"/>
    <s v="KC Lubuk Linggau"/>
    <x v="80"/>
    <s v="Kontrak Teller/CS"/>
  </r>
  <r>
    <s v="K251529923"/>
    <x v="0"/>
    <n v="336914"/>
    <s v="UN"/>
    <s v="Popi Purnamasari"/>
    <s v="Customer Service"/>
    <s v="U_5683_SUDIRMAN LUBUKLINGGAU"/>
    <s v="Region 04 Palembang"/>
    <s v="UNIT SUDIRMAN LUBUKLINGGAU"/>
    <s v="Associate"/>
    <s v="KC Lubuk Linggau"/>
    <x v="81"/>
    <s v="Kontrak Teller/CS"/>
  </r>
  <r>
    <s v="K251560023"/>
    <x v="0"/>
    <n v="336918"/>
    <s v="UN"/>
    <s v="Chica Ayu Cahyuni"/>
    <s v="Customer Service"/>
    <s v="U_5677_GARUDA"/>
    <s v="Region 04 Palembang"/>
    <s v="UNIT GARUDA"/>
    <s v="Associate"/>
    <s v="KC Lubuk Linggau"/>
    <x v="82"/>
    <s v="Kontrak Teller/CS"/>
  </r>
  <r>
    <s v="K332969823"/>
    <x v="0"/>
    <n v="343451"/>
    <s v="UN"/>
    <s v="Ike Fitria"/>
    <s v="Customer Service"/>
    <s v="U_5680_O MANGUN HARJO"/>
    <s v="Region 04 Palembang"/>
    <s v="UNIT O MANGUN HARJO"/>
    <s v="Associate"/>
    <s v="KC Lubuk Linggau"/>
    <x v="83"/>
    <s v="Kontrak Teller/CS"/>
  </r>
  <r>
    <s v="K405219724"/>
    <x v="0"/>
    <n v="353181"/>
    <s v="UN"/>
    <s v="Juniar Sunita"/>
    <s v="Customer Service"/>
    <s v="U_5680_O MANGUN HARJO"/>
    <s v="Region 04 Palembang"/>
    <s v="UNIT O MANGUN HARJO"/>
    <s v="Associate"/>
    <s v="KC Lubuk Linggau"/>
    <x v="83"/>
    <s v="Kontrak Teller/CS"/>
  </r>
  <r>
    <s v="K506360024"/>
    <x v="0"/>
    <n v="372926"/>
    <s v="UN"/>
    <s v="Pratiwi Arianti"/>
    <s v="Customer Service"/>
    <s v="U_5679_MUARA RUPIT"/>
    <s v="Region 04 Palembang"/>
    <s v="UNIT MUARA RUPIT"/>
    <s v="Associate"/>
    <s v="KC Lubuk Linggau"/>
    <x v="84"/>
    <s v="Kontrak Teller/CS"/>
  </r>
  <r>
    <s v="K506379924"/>
    <x v="0"/>
    <n v="372929"/>
    <s v="UN"/>
    <s v="Nadya Sagita Dwi Ayu"/>
    <s v="Customer Service"/>
    <s v="U_5676_B SRIKATON"/>
    <s v="Region 04 Palembang"/>
    <s v="UNIT B SRIKATON"/>
    <s v="Associate"/>
    <s v="KC Lubuk Linggau"/>
    <x v="85"/>
    <s v="Kontrak Teller/CS"/>
  </r>
  <r>
    <s v="K508160124"/>
    <x v="0"/>
    <n v="373536"/>
    <s v="UN"/>
    <s v="Putri Gayatri"/>
    <s v="Customer Service"/>
    <s v="U_7045_MUARA BELITI"/>
    <s v="Region 04 Palembang"/>
    <s v="UNIT MUARA BELITI"/>
    <s v="Associate"/>
    <s v="KC Lubuk Linggau"/>
    <x v="79"/>
    <s v="Kontrak Teller/CS"/>
  </r>
  <r>
    <s v="K521180025"/>
    <x v="0"/>
    <n v="375525"/>
    <s v="UN"/>
    <s v="Hema Mashita"/>
    <s v="Customer Service"/>
    <s v="U_5676_B SRIKATON"/>
    <s v="Region 04 Palembang"/>
    <s v="UNIT B SRIKATON"/>
    <s v="Associate"/>
    <s v="KC Lubuk Linggau"/>
    <x v="85"/>
    <s v="Kontrak Teller/CS"/>
  </r>
  <r>
    <s v="K552900125"/>
    <x v="0"/>
    <n v="381906"/>
    <s v="UN"/>
    <s v="Reno Ali Afan"/>
    <s v="Customer Service"/>
    <s v="U_7606_CECAR"/>
    <s v="Region 04 Palembang"/>
    <s v="UNIT CECAR"/>
    <s v="Associate"/>
    <s v="KC Lubuk Linggau"/>
    <x v="86"/>
    <s v="Kontrak Teller/CS"/>
  </r>
  <r>
    <s v="K595390225"/>
    <x v="0"/>
    <n v="386442"/>
    <s v="UN"/>
    <s v="Khairun Nisa"/>
    <s v="Customer Service"/>
    <s v="U_7607_SIMPANG NIBUNG"/>
    <s v="Region 04 Palembang"/>
    <s v="UNIT SIMPANG NIBUNG"/>
    <s v="Associate"/>
    <s v="KC Lubuk Linggau"/>
    <x v="87"/>
    <s v="Kontrak Teller/CS"/>
  </r>
  <r>
    <s v="K600970125"/>
    <x v="0"/>
    <n v="387969"/>
    <s v="UN"/>
    <s v="Sherly Qhotifa"/>
    <s v="Customer Service"/>
    <s v="U_5677_GARUDA"/>
    <s v="Region 04 Palembang"/>
    <s v="UNIT GARUDA"/>
    <s v="Associate"/>
    <s v="KC Lubuk Linggau"/>
    <x v="82"/>
    <s v="Kontrak Teller/CS"/>
  </r>
  <r>
    <s v="K622950025"/>
    <x v="0"/>
    <n v="392873"/>
    <s v="UN"/>
    <s v="INDAH PUSPA GUMILANG"/>
    <s v="Customer Service"/>
    <s v="U_7046_MUARA KELINGI"/>
    <s v="Region 04 Palembang"/>
    <s v="UNIT MUARA KELINGI"/>
    <s v="Associate"/>
    <s v="KC Lubuk Linggau"/>
    <x v="88"/>
    <s v="Kontrak Teller/CS"/>
  </r>
  <r>
    <s v="-"/>
    <x v="0"/>
    <n v="396576"/>
    <s v="UN"/>
    <s v="Nafa Nadiyah Ramdah"/>
    <s v="Customer Service"/>
    <s v="U_7046_MUARA KELINGI"/>
    <s v="Region 04 Palembang"/>
    <s v="UNIT MUARA KELINGI"/>
    <s v="Associate"/>
    <s v="KC Lubuk Linggau"/>
    <x v="88"/>
    <s v="Kontrak Teller/CS"/>
  </r>
  <r>
    <s v="-"/>
    <x v="0"/>
    <n v="396821"/>
    <s v="UN"/>
    <s v="Arasni Wayan Srewahyuni"/>
    <s v="Customer Service"/>
    <s v="U_5681_PASAR SATELIT"/>
    <s v="Region 04 Palembang"/>
    <s v="UNIT PASAR SATELIT"/>
    <s v="Associate"/>
    <s v="KC Lubuk Linggau"/>
    <x v="89"/>
    <s v="Kontrak Teller/CS"/>
  </r>
  <r>
    <s v="-"/>
    <x v="0"/>
    <n v="396822"/>
    <s v="UN"/>
    <s v="Febbi Dwirista"/>
    <s v="Customer Service"/>
    <s v="U_5678_MEGANG SAKTI"/>
    <s v="Region 04 Palembang"/>
    <s v="UNIT MEGANG SAKTI"/>
    <s v="Associate"/>
    <s v="KC Lubuk Linggau"/>
    <x v="90"/>
    <s v="Kontrak Teller/CS"/>
  </r>
  <r>
    <s v="-"/>
    <x v="0"/>
    <n v="401370"/>
    <s v="UN"/>
    <s v="Sekar Lingga Dayan Tarany"/>
    <s v="Customer Service"/>
    <s v="U_8058_MUARA LAKITAN"/>
    <s v="Region 04 Palembang"/>
    <s v="UNIT MUARA LAKITAN"/>
    <s v="Associate"/>
    <s v="KC Lubuk Linggau"/>
    <x v="91"/>
    <s v="Kontrak Teller/CS"/>
  </r>
  <r>
    <s v="-"/>
    <x v="0"/>
    <n v="401371"/>
    <s v="UN"/>
    <s v="Lica Hanifah"/>
    <s v="Customer Service"/>
    <s v="U_5683_SUDIRMAN LUBUKLINGGAU"/>
    <s v="Region 04 Palembang"/>
    <s v="UNIT SUDIRMAN LUBUKLINGGAU"/>
    <s v="Associate"/>
    <s v="KC Lubuk Linggau"/>
    <x v="81"/>
    <s v="Kontrak Teller/CS"/>
  </r>
  <r>
    <s v="-"/>
    <x v="0"/>
    <n v="401373"/>
    <s v="UN"/>
    <s v="Ferli Serliani"/>
    <s v="Customer Service"/>
    <s v="U_5679_MUARA RUPIT"/>
    <s v="Region 04 Palembang"/>
    <s v="UNIT MUARA RUPIT"/>
    <s v="Associate"/>
    <s v="KC Lubuk Linggau"/>
    <x v="84"/>
    <s v="Kontrak Teller/CS"/>
  </r>
  <r>
    <s v="-"/>
    <x v="0"/>
    <n v="404622"/>
    <s v="UN"/>
    <s v="Meutia Achyasari"/>
    <s v="Customer Service"/>
    <s v="U_5681_PASAR SATELIT"/>
    <s v="Region 04 Palembang"/>
    <s v="UNIT PASAR SATELIT"/>
    <s v="Associate"/>
    <s v="KC Lubuk Linggau"/>
    <x v="89"/>
    <s v="Kontrak Teller/CS"/>
  </r>
  <r>
    <s v="-"/>
    <x v="0"/>
    <n v="407726"/>
    <s v="UN"/>
    <s v="M Hafiz"/>
    <s v="Customer Service"/>
    <s v="U_8057_MARGA BARU"/>
    <s v="Region 04 Palembang"/>
    <s v="UNIT MARGA BARU"/>
    <s v="Associate"/>
    <s v="KC Lubuk Linggau"/>
    <x v="92"/>
    <s v="Kontrak Teller/CS"/>
  </r>
  <r>
    <s v="-"/>
    <x v="0"/>
    <n v="407727"/>
    <s v="UN"/>
    <s v="Muhammad Ridho Noval Triansyah"/>
    <s v="Customer Service"/>
    <s v="U_8056_BUMI MAKMUR"/>
    <s v="Region 04 Palembang"/>
    <s v="UNIT BUMI MAKMUR"/>
    <s v="Associate"/>
    <s v="KC Lubuk Linggau"/>
    <x v="93"/>
    <s v="Kontrak Teller/CS"/>
  </r>
  <r>
    <s v="-"/>
    <x v="0"/>
    <n v="410604"/>
    <s v="UN"/>
    <s v="Rinaldi Akbar"/>
    <s v="Customer Service"/>
    <s v="U_5678_MEGANG SAKTI"/>
    <s v="Region 04 Palembang"/>
    <s v="UNIT MEGANG SAKTI"/>
    <s v="Associate"/>
    <s v="KC Lubuk Linggau"/>
    <x v="90"/>
    <s v="Kontrak Teller/CS"/>
  </r>
  <r>
    <s v="-"/>
    <x v="0"/>
    <n v="410697"/>
    <s v="UN"/>
    <s v="Jerry Chasturi"/>
    <s v="Customer Service"/>
    <s v="U_5682_SIMPANG PERIUK"/>
    <s v="Region 04 Palembang"/>
    <s v="UNIT SIMPANG PERIUK"/>
    <s v="Associate"/>
    <s v="KC Lubuk Linggau"/>
    <x v="80"/>
    <s v="Kontrak Teller/CS"/>
  </r>
  <r>
    <s v="M303200125"/>
    <x v="1"/>
    <n v="384565"/>
    <s v="UN"/>
    <s v="Syophielail A'yunina"/>
    <s v="Teller"/>
    <s v="U_5682_SIMPANG PERIUK"/>
    <s v="Region 04 Palembang"/>
    <s v="UNIT SIMPANG PERIUK"/>
    <s v="Associate"/>
    <s v="KC Lubuk Linggau"/>
    <x v="80"/>
    <s v="Peserta Magang"/>
  </r>
  <r>
    <s v="M310070325"/>
    <x v="1"/>
    <n v="386995"/>
    <s v="UN"/>
    <s v="Erike Aldira"/>
    <s v="Teller"/>
    <s v="U_5680_O MANGUN HARJO"/>
    <s v="Region 04 Palembang"/>
    <s v="UNIT O MANGUN HARJO"/>
    <s v="Associate"/>
    <s v="KC Lubuk Linggau"/>
    <x v="83"/>
    <s v="Peserta Magang"/>
  </r>
  <r>
    <n v="0"/>
    <x v="1"/>
    <n v="397038"/>
    <s v="UN"/>
    <s v="Zuyina Lina Sefiana"/>
    <s v="Teller"/>
    <s v="U_8058_MUARA LAKITAN"/>
    <s v="Region 04 Palembang"/>
    <s v="UNIT MUARA LAKITAN"/>
    <s v="Associate"/>
    <s v="KC Lubuk Linggau"/>
    <x v="91"/>
    <s v="Peserta Magang"/>
  </r>
  <r>
    <n v="0"/>
    <x v="1"/>
    <n v="401738"/>
    <s v="UN"/>
    <s v="Supriana"/>
    <s v="Teller"/>
    <s v="U_5678_MEGANG SAKTI"/>
    <s v="Region 04 Palembang"/>
    <s v="UNIT MEGANG SAKTI"/>
    <s v="Associate"/>
    <s v="KC Lubuk Linggau"/>
    <x v="90"/>
    <s v="Peserta Magang"/>
  </r>
  <r>
    <n v="0"/>
    <x v="1"/>
    <n v="401739"/>
    <s v="UN"/>
    <s v="Muhammad Fathurrahman"/>
    <s v="Teller"/>
    <s v="U_8056_BUMI MAKMUR"/>
    <s v="Region 04 Palembang"/>
    <s v="UNIT BUMI MAKMUR"/>
    <s v="Associate"/>
    <s v="KC Lubuk Linggau"/>
    <x v="93"/>
    <s v="Peserta Magang"/>
  </r>
  <r>
    <n v="0"/>
    <x v="1"/>
    <n v="401805"/>
    <s v="UN"/>
    <s v="M Alfarezo"/>
    <s v="Teller"/>
    <s v="U_5679_MUARA RUPIT"/>
    <s v="Region 04 Palembang"/>
    <s v="UNIT MUARA RUPIT"/>
    <s v="Associate"/>
    <s v="KC Lubuk Linggau"/>
    <x v="84"/>
    <s v="Peserta Magang"/>
  </r>
  <r>
    <n v="0"/>
    <x v="1"/>
    <n v="404878"/>
    <s v="UN"/>
    <s v="Vito Janu Anggara"/>
    <s v="Teller"/>
    <s v="U_8057_MARGA BARU"/>
    <s v="Region 04 Palembang"/>
    <s v="UNIT MARGA BARU"/>
    <s v="Associate"/>
    <s v="KC Lubuk Linggau"/>
    <x v="92"/>
    <s v="Peserta Magang"/>
  </r>
  <r>
    <n v="0"/>
    <x v="1"/>
    <n v="404879"/>
    <s v="UN"/>
    <s v="Yesica Angelina Lubis"/>
    <s v="Teller"/>
    <s v="U_5677_GARUDA"/>
    <s v="Region 04 Palembang"/>
    <s v="UNIT GARUDA"/>
    <s v="Associate"/>
    <s v="KC Lubuk Linggau"/>
    <x v="82"/>
    <s v="Peserta Magang"/>
  </r>
  <r>
    <s v="-"/>
    <x v="1"/>
    <n v="407728"/>
    <s v="UN"/>
    <s v="Helma Lia Putri"/>
    <s v="Teller"/>
    <s v="U_5676_B SRIKATON"/>
    <s v="Region 04 Palembang"/>
    <s v="UNIT B SRIKATON"/>
    <s v="Associate"/>
    <s v="KC Lubuk Linggau"/>
    <x v="85"/>
    <s v="Kontrak Teller/CS"/>
  </r>
  <r>
    <n v="0"/>
    <x v="1"/>
    <n v="407981"/>
    <s v="UN"/>
    <s v="Ahmed Fathir Sadikin"/>
    <s v="Teller"/>
    <s v="U_7607_SIMPANG NIBUNG"/>
    <s v="Region 04 Palembang"/>
    <s v="UNIT SIMPANG NIBUNG"/>
    <s v="Associate"/>
    <s v="KC Lubuk Linggau"/>
    <x v="87"/>
    <s v="Peserta Magang"/>
  </r>
  <r>
    <n v="0"/>
    <x v="1"/>
    <n v="409566"/>
    <s v="UN"/>
    <s v="Bunga Sekar Wangi"/>
    <s v="Teller"/>
    <s v="U_7045_MUARA BELITI"/>
    <s v="Region 04 Palembang"/>
    <s v="UNIT MUARA BELITI"/>
    <s v="Associate"/>
    <s v="KC Lubuk Linggau"/>
    <x v="79"/>
    <s v="Peserta Magang"/>
  </r>
  <r>
    <n v="0"/>
    <x v="1"/>
    <n v="409567"/>
    <s v="UN"/>
    <s v="Darvianti"/>
    <s v="Teller"/>
    <s v="U_5681_PASAR SATELIT"/>
    <s v="Region 04 Palembang"/>
    <s v="UNIT PASAR SATELIT"/>
    <s v="Associate"/>
    <s v="KC Lubuk Linggau"/>
    <x v="89"/>
    <s v="Peserta Magang"/>
  </r>
  <r>
    <s v="-"/>
    <x v="1"/>
    <n v="410605"/>
    <s v="UN"/>
    <s v="Rizka Nadiyah Rahmah Safhirah"/>
    <s v="Teller"/>
    <s v="U_7606_CECAR"/>
    <s v="Region 04 Palembang"/>
    <s v="UNIT CECAR"/>
    <s v="Associate"/>
    <s v="KC Lubuk Linggau"/>
    <x v="86"/>
    <s v="Kontrak Teller/CS"/>
  </r>
  <r>
    <n v="0"/>
    <x v="1"/>
    <n v="411660"/>
    <s v="UN"/>
    <s v="Indita Riska Amanah"/>
    <s v="Teller"/>
    <s v="U_5683_SUDIRMAN LUBUKLINGGAU"/>
    <s v="Region 04 Palembang"/>
    <s v="UNIT SUDIRMAN LUBUKLINGGAU"/>
    <s v="Associate"/>
    <s v="KC Lubuk Linggau"/>
    <x v="81"/>
    <s v="Peserta Magang"/>
  </r>
  <r>
    <s v="K332929623"/>
    <x v="0"/>
    <n v="343354"/>
    <s v="UN"/>
    <s v="Anggun"/>
    <s v="Customer Service"/>
    <s v="U_5716_KOTA MUARA BULIAN"/>
    <s v="Region 04 Palembang"/>
    <s v="UNIT KOTA MUARA BULIAN"/>
    <s v="Associate"/>
    <s v="KC Muara Bulian"/>
    <x v="94"/>
    <s v="Kontrak Teller/CS"/>
  </r>
  <r>
    <s v="K404699824"/>
    <x v="0"/>
    <n v="352692"/>
    <s v="UN"/>
    <s v="Wiwik Rohana Rianti Simanjuntak"/>
    <s v="Customer Service"/>
    <s v="U_7048_MARKANDING"/>
    <s v="Region 04 Palembang"/>
    <s v="UNIT MARKANDING"/>
    <s v="Associate"/>
    <s v="KC Muara Bulian"/>
    <x v="95"/>
    <s v="Kontrak Teller/CS"/>
  </r>
  <r>
    <s v="K422289824"/>
    <x v="0"/>
    <n v="355527"/>
    <s v="UN"/>
    <s v="Clara Cintya Roza"/>
    <s v="Customer Service"/>
    <s v="U_5715_MERSAM"/>
    <s v="Region 04 Palembang"/>
    <s v="UNIT MERSAM"/>
    <s v="Associate"/>
    <s v="KC Muara Bulian"/>
    <x v="96"/>
    <s v="Kontrak Teller/CS"/>
  </r>
  <r>
    <s v="K503229924"/>
    <x v="0"/>
    <n v="371976"/>
    <s v="UN"/>
    <s v="Reka Alyunansyah"/>
    <s v="Customer Service"/>
    <s v="U_5720_SUNGAI BAHAR"/>
    <s v="Region 04 Palembang"/>
    <s v="UNIT SUNGAI BAHAR"/>
    <s v="Associate"/>
    <s v="KC Muara Bulian"/>
    <x v="97"/>
    <s v="Kontrak Teller/CS"/>
  </r>
  <r>
    <s v="K516870024"/>
    <x v="0"/>
    <n v="374997"/>
    <s v="UN"/>
    <s v="Tirani"/>
    <s v="Customer Service"/>
    <s v="U_5716_KOTA MUARA BULIAN"/>
    <s v="Region 04 Palembang"/>
    <s v="UNIT KOTA MUARA BULIAN"/>
    <s v="Associate"/>
    <s v="KC Muara Bulian"/>
    <x v="94"/>
    <s v="Kontrak Teller/CS"/>
  </r>
  <r>
    <s v="K536940125"/>
    <x v="0"/>
    <n v="380075"/>
    <s v="UN"/>
    <s v="Lily Henti Harlina"/>
    <s v="Customer Service"/>
    <s v="U_3553_MUARA TEMBESI"/>
    <s v="Region 04 Palembang"/>
    <s v="UNIT MUARA TEMBESI"/>
    <s v="Associate"/>
    <s v="KC Muara Bulian"/>
    <x v="98"/>
    <s v="Kontrak Teller/CS"/>
  </r>
  <r>
    <s v="K536950125"/>
    <x v="0"/>
    <n v="380076"/>
    <s v="UN"/>
    <s v="Zuriana"/>
    <s v="Customer Service"/>
    <s v="U_5719_SUNGAI BAHAR II"/>
    <s v="Region 04 Palembang"/>
    <s v="UNIT SUNGAI BAHAR II"/>
    <s v="Associate"/>
    <s v="KC Muara Bulian"/>
    <x v="99"/>
    <s v="Kontrak Teller/CS"/>
  </r>
  <r>
    <s v="K536960025"/>
    <x v="0"/>
    <n v="380077"/>
    <s v="UN"/>
    <s v="Amadea Dwi Helmina. A. Toisuta"/>
    <s v="Customer Service"/>
    <s v="U_5715_MERSAM"/>
    <s v="Region 04 Palembang"/>
    <s v="UNIT MERSAM"/>
    <s v="Associate"/>
    <s v="KC Muara Bulian"/>
    <x v="96"/>
    <s v="Kontrak Teller/CS"/>
  </r>
  <r>
    <s v="K614930125"/>
    <x v="0"/>
    <n v="391124"/>
    <s v="UN"/>
    <s v="M. Ramadhan"/>
    <s v="Customer Service"/>
    <s v="U_5717_PASAR RENGAS JAMBI"/>
    <s v="Region 04 Palembang"/>
    <s v="UNIT PASAR RENGAS JAMBI"/>
    <s v="Associate"/>
    <s v="KC Muara Bulian"/>
    <x v="100"/>
    <s v="Kontrak Teller/CS"/>
  </r>
  <r>
    <s v="K614940125"/>
    <x v="0"/>
    <n v="391127"/>
    <s v="UN"/>
    <s v="Syahrani Novia Siregar"/>
    <s v="Customer Service"/>
    <s v="U_7049_SUNGAI BAHAR III"/>
    <s v="Region 04 Palembang"/>
    <s v="UNIT SUNGAI BAHAR III"/>
    <s v="Associate"/>
    <s v="KC Muara Bulian"/>
    <x v="101"/>
    <s v="Kontrak Teller/CS"/>
  </r>
  <r>
    <s v="-"/>
    <x v="0"/>
    <n v="400432"/>
    <s v="UN"/>
    <s v="Dhania Adela Putri"/>
    <s v="Customer Service"/>
    <s v="U_7106_BATIN"/>
    <s v="Region 04 Palembang"/>
    <s v="UNIT BATIN"/>
    <s v="Associate"/>
    <s v="KC Muara Bulian"/>
    <x v="102"/>
    <s v="Kontrak Teller/CS"/>
  </r>
  <r>
    <s v="-"/>
    <x v="0"/>
    <n v="405847"/>
    <s v="UN"/>
    <s v="Salsabilla Adinda"/>
    <s v="Customer Service"/>
    <s v="U_7915_PEMAYUNG"/>
    <s v="Region 04 Palembang"/>
    <s v="UNIT PEMAYUNG"/>
    <s v="Associate"/>
    <s v="KC Muara Bulian"/>
    <x v="103"/>
    <s v="Kontrak Teller/CS"/>
  </r>
  <r>
    <s v="-"/>
    <x v="0"/>
    <n v="405854"/>
    <s v="UN"/>
    <s v="Mei Panca Penta Silalahi"/>
    <s v="Customer Service"/>
    <s v="U_7915_PEMAYUNG"/>
    <s v="Region 04 Palembang"/>
    <s v="UNIT PEMAYUNG"/>
    <s v="Associate"/>
    <s v="KC Muara Bulian"/>
    <x v="103"/>
    <s v="Kontrak Teller/CS"/>
  </r>
  <r>
    <s v="-"/>
    <x v="0"/>
    <n v="405855"/>
    <s v="UN"/>
    <s v="Taufik Hidayat"/>
    <s v="Customer Service"/>
    <s v="U_5720_SUNGAI BAHAR"/>
    <s v="Region 04 Palembang"/>
    <s v="UNIT SUNGAI BAHAR"/>
    <s v="Associate"/>
    <s v="KC Muara Bulian"/>
    <x v="97"/>
    <s v="Kontrak Teller/CS"/>
  </r>
  <r>
    <s v="-"/>
    <x v="0"/>
    <n v="406874"/>
    <s v="UN"/>
    <s v="Ayu Tsyaniah"/>
    <s v="Customer Service"/>
    <s v="U_5713_BAJUBANG"/>
    <s v="Region 04 Palembang"/>
    <s v="UNIT BAJUBANG"/>
    <s v="Associate"/>
    <s v="KC Muara Bulian"/>
    <x v="104"/>
    <s v="Kontrak Teller/CS"/>
  </r>
  <r>
    <s v="-"/>
    <x v="0"/>
    <n v="408657"/>
    <s v="UN"/>
    <s v="Reza Annisa"/>
    <s v="Customer Service"/>
    <s v="U_5717_PASAR RENGAS JAMBI"/>
    <s v="Region 04 Palembang"/>
    <s v="UNIT PASAR RENGAS JAMBI"/>
    <s v="Associate"/>
    <s v="KC Muara Bulian"/>
    <x v="100"/>
    <s v="Kontrak Teller/CS"/>
  </r>
  <r>
    <s v="-"/>
    <x v="0"/>
    <n v="408660"/>
    <s v="UN"/>
    <s v="Rizqi Maharani"/>
    <s v="Customer Service"/>
    <s v="U_3553_MUARA TEMBESI"/>
    <s v="Region 04 Palembang"/>
    <s v="UNIT MUARA TEMBESI"/>
    <s v="Associate"/>
    <s v="KC Muara Bulian"/>
    <x v="98"/>
    <s v="Kontrak Teller/CS"/>
  </r>
  <r>
    <s v="K332919723"/>
    <x v="1"/>
    <n v="343353"/>
    <s v="UN"/>
    <s v="Prisilia Voseka"/>
    <s v="Teller"/>
    <s v="U_5713_BAJUBANG"/>
    <s v="Region 04 Palembang"/>
    <s v="UNIT BAJUBANG"/>
    <s v="Associate"/>
    <s v="KC Muara Bulian"/>
    <x v="104"/>
    <s v="Kontrak Teller/CS"/>
  </r>
  <r>
    <s v="M289440125"/>
    <x v="1"/>
    <n v="380143"/>
    <s v="UN"/>
    <s v="Retno Putri Setiara"/>
    <s v="Teller"/>
    <s v="U_5719_SUNGAI BAHAR II"/>
    <s v="Region 04 Palembang"/>
    <s v="UNIT SUNGAI BAHAR II"/>
    <s v="Associate"/>
    <s v="KC Muara Bulian"/>
    <x v="99"/>
    <s v="Peserta Magang"/>
  </r>
  <r>
    <s v="M330230325"/>
    <x v="1"/>
    <n v="391157"/>
    <s v="UN"/>
    <s v="Frety Zinta"/>
    <s v="Teller"/>
    <s v="U_7048_MARKANDING"/>
    <s v="Region 04 Palembang"/>
    <s v="UNIT MARKANDING"/>
    <s v="Associate"/>
    <s v="KC Muara Bulian"/>
    <x v="95"/>
    <s v="Peserta Magang"/>
  </r>
  <r>
    <s v="M330290325"/>
    <x v="1"/>
    <n v="391164"/>
    <s v="UN"/>
    <s v="Pipit Natalia"/>
    <s v="Teller"/>
    <s v="U_7049_SUNGAI BAHAR III"/>
    <s v="Region 04 Palembang"/>
    <s v="UNIT SUNGAI BAHAR III"/>
    <s v="Associate"/>
    <s v="KC Muara Bulian"/>
    <x v="101"/>
    <s v="Peserta Magang"/>
  </r>
  <r>
    <n v="0"/>
    <x v="1"/>
    <n v="400499"/>
    <s v="UN"/>
    <s v="Fathia Diaztiza"/>
    <s v="Teller"/>
    <s v="U_7106_BATIN"/>
    <s v="Region 04 Palembang"/>
    <s v="UNIT BATIN"/>
    <s v="Associate"/>
    <s v="KC Muara Bulian"/>
    <x v="102"/>
    <s v="Peserta Magang"/>
  </r>
  <r>
    <n v="0"/>
    <x v="1"/>
    <n v="400500"/>
    <s v="UN"/>
    <s v="M. Ridho Fauzan"/>
    <s v="Teller"/>
    <s v="U_5717_PASAR RENGAS JAMBI"/>
    <s v="Region 04 Palembang"/>
    <s v="UNIT PASAR RENGAS JAMBI"/>
    <s v="Associate"/>
    <s v="KC Muara Bulian"/>
    <x v="100"/>
    <s v="Peserta Magang"/>
  </r>
  <r>
    <n v="0"/>
    <x v="1"/>
    <n v="400505"/>
    <s v="UN"/>
    <s v="Dinda Khairunnisa"/>
    <s v="Teller"/>
    <s v="U_3553_MUARA TEMBESI"/>
    <s v="Region 04 Palembang"/>
    <s v="UNIT MUARA TEMBESI"/>
    <s v="Associate"/>
    <s v="KC Muara Bulian"/>
    <x v="98"/>
    <s v="Peserta Magang"/>
  </r>
  <r>
    <n v="0"/>
    <x v="1"/>
    <n v="405955"/>
    <s v="UN"/>
    <s v="Maharani"/>
    <s v="Teller"/>
    <s v="U_5715_MERSAM"/>
    <s v="Region 04 Palembang"/>
    <s v="UNIT MERSAM"/>
    <s v="Associate"/>
    <s v="KC Muara Bulian"/>
    <x v="96"/>
    <s v="Peserta Magang"/>
  </r>
  <r>
    <n v="0"/>
    <x v="1"/>
    <n v="405958"/>
    <s v="UN"/>
    <s v="Virdha Zahrani"/>
    <s v="Teller"/>
    <s v="U_7915_PEMAYUNG"/>
    <s v="Region 04 Palembang"/>
    <s v="UNIT PEMAYUNG"/>
    <s v="Associate"/>
    <s v="KC Muara Bulian"/>
    <x v="103"/>
    <s v="Peserta Magang"/>
  </r>
  <r>
    <n v="0"/>
    <x v="1"/>
    <n v="405959"/>
    <s v="UN"/>
    <s v="Marcsarah Brenda Manihuruk"/>
    <s v="Teller"/>
    <s v="U_5716_KOTA MUARA BULIAN"/>
    <s v="Region 04 Palembang"/>
    <s v="UNIT KOTA MUARA BULIAN"/>
    <s v="Associate"/>
    <s v="KC Muara Bulian"/>
    <x v="94"/>
    <s v="Peserta Magang"/>
  </r>
  <r>
    <n v="0"/>
    <x v="1"/>
    <n v="412974"/>
    <s v="UN"/>
    <s v="Miftahul Janah"/>
    <s v="Teller"/>
    <s v="U_5720_SUNGAI BAHAR"/>
    <s v="Region 04 Palembang"/>
    <s v="UNIT SUNGAI BAHAR"/>
    <s v="Associate"/>
    <s v="KC Muara Bulian"/>
    <x v="97"/>
    <s v="Peserta Magang"/>
  </r>
  <r>
    <s v="K347719823"/>
    <x v="0"/>
    <n v="344833"/>
    <s v="UN"/>
    <s v="Krismonita Sandi"/>
    <s v="Customer Service"/>
    <s v="U_7177_RIMBO ILIR"/>
    <s v="Region 04 Palembang"/>
    <s v="UNIT RIMBO ILIR"/>
    <s v="Associate"/>
    <s v="KC Muara Bungo"/>
    <x v="105"/>
    <s v="Kontrak Teller/CS"/>
  </r>
  <r>
    <s v="K348689823"/>
    <x v="0"/>
    <n v="345703"/>
    <s v="UN"/>
    <s v="Mella Lavenia"/>
    <s v="Customer Service"/>
    <s v="U_8152_SAWMIL"/>
    <s v="Region 04 Palembang"/>
    <s v="UNIT SAWMIL"/>
    <s v="Associate"/>
    <s v="KC Muara Bungo"/>
    <x v="106"/>
    <s v="Kontrak Teller/CS"/>
  </r>
  <r>
    <s v="K423349924"/>
    <x v="0"/>
    <n v="356734"/>
    <s v="UN"/>
    <s v="Aby Fathan Nasa Aqil Fikri"/>
    <s v="Customer Service"/>
    <s v="U_5723_KUAMANG KUNING"/>
    <s v="Region 04 Palembang"/>
    <s v="UNIT KUAMANG KUNING"/>
    <s v="Associate"/>
    <s v="KC Muara Bungo"/>
    <x v="107"/>
    <s v="Kontrak Teller/CS"/>
  </r>
  <r>
    <s v="K423999924"/>
    <x v="0"/>
    <n v="357573"/>
    <s v="UN"/>
    <s v="Syelvi Rofifah"/>
    <s v="Customer Service"/>
    <s v="U_5724_MUARA BUNGO"/>
    <s v="Region 04 Palembang"/>
    <s v="UNIT MUARA BUNGO"/>
    <s v="Associate"/>
    <s v="KC Muara Bungo"/>
    <x v="108"/>
    <s v="Kontrak Teller/CS"/>
  </r>
  <r>
    <s v="K504190024"/>
    <x v="0"/>
    <n v="372242"/>
    <s v="UN"/>
    <s v="Wina Sasriati"/>
    <s v="Customer Service"/>
    <s v="U_5723_KUAMANG KUNING"/>
    <s v="Region 04 Palembang"/>
    <s v="UNIT KUAMANG KUNING"/>
    <s v="Associate"/>
    <s v="KC Muara Bungo"/>
    <x v="107"/>
    <s v="Kontrak Teller/CS"/>
  </r>
  <r>
    <s v="K561010225"/>
    <x v="0"/>
    <n v="384668"/>
    <s v="UN"/>
    <s v="Renza Anggela Anggraini"/>
    <s v="Customer Service"/>
    <s v="U_5724_MUARA BUNGO"/>
    <s v="Region 04 Palembang"/>
    <s v="UNIT MUARA BUNGO"/>
    <s v="Associate"/>
    <s v="KC Muara Bungo"/>
    <x v="108"/>
    <s v="Kontrak Teller/CS"/>
  </r>
  <r>
    <s v="K571210125"/>
    <x v="0"/>
    <n v="385204"/>
    <s v="UN"/>
    <s v="Arum Ekariyanti"/>
    <s v="Customer Service"/>
    <s v="U_8153_RANTAU PANDAN"/>
    <s v="Region 04 Palembang"/>
    <s v="UNIT RANTAU PANDAN"/>
    <s v="Associate"/>
    <s v="KC Muara Bungo"/>
    <x v="109"/>
    <s v="Kontrak Teller/CS"/>
  </r>
  <r>
    <s v="K571379925"/>
    <x v="0"/>
    <n v="385242"/>
    <s v="UN"/>
    <s v="marzukni"/>
    <s v="Customer Service"/>
    <s v="U_7462_MUARA TABIR"/>
    <s v="Region 04 Palembang"/>
    <s v="UNIT MUARA TABIR"/>
    <s v="Associate"/>
    <s v="KC Muara Bungo"/>
    <x v="110"/>
    <s v="Kontrak Teller/CS"/>
  </r>
  <r>
    <s v="-"/>
    <x v="0"/>
    <n v="402248"/>
    <s v="UN"/>
    <s v="Ucci Eka Sandra"/>
    <s v="Customer Service"/>
    <s v="U_7047_GAPURA SUCI"/>
    <s v="Region 04 Palembang"/>
    <s v="UNIT GAPURA SUCI"/>
    <s v="Associate"/>
    <s v="KC Muara Bungo"/>
    <x v="111"/>
    <s v="Kontrak Teller/CS"/>
  </r>
  <r>
    <s v="-"/>
    <x v="0"/>
    <n v="412863"/>
    <s v="UN"/>
    <s v="Lasbema Sahapine"/>
    <s v="Customer Service"/>
    <s v="U_8151_KM EMPAT- EMPAT"/>
    <s v="Region 04 Palembang"/>
    <s v="UNIT KM EMPAT- EMPAT"/>
    <s v="Associate"/>
    <s v="KC Muara Bungo"/>
    <x v="112"/>
    <s v="Kontrak Teller/CS"/>
  </r>
  <r>
    <s v="M280180025"/>
    <x v="1"/>
    <n v="377260"/>
    <s v="UN"/>
    <s v="Sri Ramadayani"/>
    <s v="Teller"/>
    <s v="U_8152_SAWMIL"/>
    <s v="Region 04 Palembang"/>
    <s v="UNIT SAWMIL"/>
    <s v="Associate"/>
    <s v="KC Muara Bungo"/>
    <x v="106"/>
    <s v="Peserta Magang"/>
  </r>
  <r>
    <n v="0"/>
    <x v="1"/>
    <n v="400463"/>
    <s v="UN"/>
    <s v="Dea Wahyu Ningsih"/>
    <s v="Teller"/>
    <s v="U_8151_KM EMPAT- EMPAT"/>
    <s v="Region 04 Palembang"/>
    <s v="UNIT KM EMPAT- EMPAT"/>
    <s v="Associate"/>
    <s v="KC Muara Bungo"/>
    <x v="112"/>
    <s v="Peserta Magang"/>
  </r>
  <r>
    <n v="0"/>
    <x v="1"/>
    <n v="400464"/>
    <s v="UN"/>
    <s v="Aulia Novita Dewi"/>
    <s v="Teller"/>
    <s v="U_7047_GAPURA SUCI"/>
    <s v="Region 04 Palembang"/>
    <s v="UNIT GAPURA SUCI"/>
    <s v="Associate"/>
    <s v="KC Muara Bungo"/>
    <x v="111"/>
    <s v="Peserta Magang"/>
  </r>
  <r>
    <n v="0"/>
    <x v="1"/>
    <n v="400465"/>
    <s v="UN"/>
    <s v="Nikita Heriati Putri"/>
    <s v="Teller"/>
    <s v="U_5724_MUARA BUNGO"/>
    <s v="Region 04 Palembang"/>
    <s v="UNIT MUARA BUNGO"/>
    <s v="Associate"/>
    <s v="KC Muara Bungo"/>
    <x v="108"/>
    <s v="Peserta Magang"/>
  </r>
  <r>
    <n v="0"/>
    <x v="1"/>
    <n v="403411"/>
    <s v="UN"/>
    <s v="Suci Cresiva"/>
    <s v="Teller"/>
    <s v="U_5723_KUAMANG KUNING"/>
    <s v="Region 04 Palembang"/>
    <s v="UNIT KUAMANG KUNING"/>
    <s v="Associate"/>
    <s v="KC Muara Bungo"/>
    <x v="107"/>
    <s v="Peserta Magang"/>
  </r>
  <r>
    <n v="0"/>
    <x v="1"/>
    <n v="407982"/>
    <s v="UN"/>
    <s v="Novia Ramadhani"/>
    <s v="Teller"/>
    <s v="U_7177_RIMBO ILIR"/>
    <s v="Region 04 Palembang"/>
    <s v="UNIT RIMBO ILIR"/>
    <s v="Associate"/>
    <s v="KC Muara Bungo"/>
    <x v="105"/>
    <s v="Peserta Magang"/>
  </r>
  <r>
    <n v="0"/>
    <x v="1"/>
    <n v="409266"/>
    <s v="UN"/>
    <s v="Nadila Yuni Erliandha"/>
    <s v="Teller"/>
    <s v="U_7462_MUARA TABIR"/>
    <s v="Region 04 Palembang"/>
    <s v="UNIT MUARA TABIR"/>
    <s v="Associate"/>
    <s v="KC Muara Bungo"/>
    <x v="110"/>
    <s v="Peserta Magang"/>
  </r>
  <r>
    <n v="0"/>
    <x v="1"/>
    <n v="409267"/>
    <s v="UN"/>
    <s v="Ria Saputri"/>
    <s v="Teller"/>
    <s v="U_8153_RANTAU PANDAN"/>
    <s v="Region 04 Palembang"/>
    <s v="UNIT RANTAU PANDAN"/>
    <s v="Associate"/>
    <s v="KC Muara Bungo"/>
    <x v="109"/>
    <s v="Peserta Magang"/>
  </r>
  <r>
    <n v="0"/>
    <x v="1"/>
    <n v="412866"/>
    <s v="UN"/>
    <s v="M. Gilang Rizky"/>
    <s v="Teller"/>
    <s v="U_5724_MUARA BUNGO"/>
    <s v="Region 04 Palembang"/>
    <s v="UNIT MUARA BUNGO"/>
    <s v="Associate"/>
    <s v="KC Muara Bungo"/>
    <x v="108"/>
    <s v="Peserta Magang"/>
  </r>
  <r>
    <s v="K173559823"/>
    <x v="0"/>
    <n v="328361"/>
    <s v="UN"/>
    <s v="Resti Azmeilia"/>
    <s v="Customer Service"/>
    <s v="U_5730_SUDIRMAN MUARA ENIM"/>
    <s v="Region 04 Palembang"/>
    <s v="UNIT SUDIRMAN MUARA ENIM"/>
    <s v="Associate"/>
    <s v="KC Muara Enim"/>
    <x v="113"/>
    <s v="Kontrak Teller/CS"/>
  </r>
  <r>
    <s v="K173529823"/>
    <x v="0"/>
    <n v="328363"/>
    <s v="UN"/>
    <s v="Sari Aryanto"/>
    <s v="Customer Service"/>
    <s v="U_5731_TANJUNG BARU"/>
    <s v="Region 04 Palembang"/>
    <s v="UNIT TANJUNG BARU"/>
    <s v="Associate"/>
    <s v="KC Muara Enim"/>
    <x v="114"/>
    <s v="Kontrak Teller/CS"/>
  </r>
  <r>
    <s v="K249209923"/>
    <x v="0"/>
    <n v="335531"/>
    <s v="UN"/>
    <s v="Febriani Mustika Putri"/>
    <s v="Customer Service"/>
    <s v="U_5730_SUDIRMAN MUARA ENIM"/>
    <s v="Region 04 Palembang"/>
    <s v="UNIT SUDIRMAN MUARA ENIM"/>
    <s v="Associate"/>
    <s v="KC Muara Enim"/>
    <x v="113"/>
    <s v="Kontrak Teller/CS"/>
  </r>
  <r>
    <s v="K331580023"/>
    <x v="0"/>
    <n v="341599"/>
    <s v="UN"/>
    <s v="Fitria Anggraini"/>
    <s v="Customer Service"/>
    <s v="U_5732_TANJUNG ENIM"/>
    <s v="Region 04 Palembang"/>
    <s v="UNIT TANJUNG ENIM"/>
    <s v="Associate"/>
    <s v="KC Muara Enim"/>
    <x v="115"/>
    <s v="Kontrak Teller/CS"/>
  </r>
  <r>
    <s v="K319149923"/>
    <x v="0"/>
    <n v="341602"/>
    <s v="UN"/>
    <s v="Echa Santika"/>
    <s v="Customer Service"/>
    <s v="U_5732_TANJUNG ENIM"/>
    <s v="Region 04 Palembang"/>
    <s v="UNIT TANJUNG ENIM"/>
    <s v="Associate"/>
    <s v="KC Muara Enim"/>
    <x v="115"/>
    <s v="Kontrak Teller/CS"/>
  </r>
  <r>
    <s v="K422389924"/>
    <x v="0"/>
    <n v="355650"/>
    <s v="UN"/>
    <s v="Lia Aryani"/>
    <s v="Customer Service"/>
    <s v="U_5727_GUNUNG MEGANG"/>
    <s v="Region 04 Palembang"/>
    <s v="UNIT GUNUNG MEGANG"/>
    <s v="Associate"/>
    <s v="KC Muara Enim"/>
    <x v="116"/>
    <s v="Kontrak Teller/CS"/>
  </r>
  <r>
    <s v="K423359924"/>
    <x v="0"/>
    <n v="356737"/>
    <s v="UN"/>
    <s v="Tumbuh Ayu Larasati"/>
    <s v="Customer Service"/>
    <s v="U_5731_TANJUNG BARU"/>
    <s v="Region 04 Palembang"/>
    <s v="UNIT TANJUNG BARU"/>
    <s v="Associate"/>
    <s v="KC Muara Enim"/>
    <x v="114"/>
    <s v="Kontrak Teller/CS"/>
  </r>
  <r>
    <s v="K454690024"/>
    <x v="0"/>
    <n v="362514"/>
    <s v="UN"/>
    <s v="Vebiyana Bella Putri"/>
    <s v="Customer Service"/>
    <s v="U_5727_GUNUNG MEGANG"/>
    <s v="Region 04 Palembang"/>
    <s v="UNIT GUNUNG MEGANG"/>
    <s v="Associate"/>
    <s v="KC Muara Enim"/>
    <x v="116"/>
    <s v="Kontrak Teller/CS"/>
  </r>
  <r>
    <s v="K552880125"/>
    <x v="0"/>
    <n v="381904"/>
    <s v="UN"/>
    <s v="Christia Risma Metauli Manurung"/>
    <s v="Customer Service"/>
    <s v="U_5728_MUARA ENIM"/>
    <s v="Region 04 Palembang"/>
    <s v="UNIT MUARA ENIM"/>
    <s v="Associate"/>
    <s v="KC Muara Enim"/>
    <x v="117"/>
    <s v="Kontrak Teller/CS"/>
  </r>
  <r>
    <s v="K586439925"/>
    <x v="0"/>
    <n v="388312"/>
    <s v="UN"/>
    <s v="Regita Angraini"/>
    <s v="Customer Service"/>
    <s v="U_5728_MUARA ENIM"/>
    <s v="Region 04 Palembang"/>
    <s v="UNIT MUARA ENIM"/>
    <s v="Associate"/>
    <s v="KC Muara Enim"/>
    <x v="117"/>
    <s v="Kontrak Teller/CS"/>
  </r>
  <r>
    <s v="K602540025"/>
    <x v="0"/>
    <n v="388317"/>
    <s v="UN"/>
    <s v="Agnes Monica"/>
    <s v="Customer Service"/>
    <s v="U_5729_PULAU PANGGUNG"/>
    <s v="Region 04 Palembang"/>
    <s v="UNIT PULAU PANGGUNG"/>
    <s v="Associate"/>
    <s v="KC Muara Enim"/>
    <x v="118"/>
    <s v="Kontrak Teller/CS"/>
  </r>
  <r>
    <s v="K620960325"/>
    <x v="0"/>
    <n v="392404"/>
    <s v="UN"/>
    <s v="Masagus Ahmad Irfan"/>
    <s v="Customer Service"/>
    <s v="U_5729_PULAU PANGGUNG"/>
    <s v="Region 04 Palembang"/>
    <s v="UNIT PULAU PANGGUNG"/>
    <s v="Associate"/>
    <s v="KC Muara Enim"/>
    <x v="118"/>
    <s v="Kontrak Teller/CS"/>
  </r>
  <r>
    <s v="K621230125"/>
    <x v="1"/>
    <n v="392439"/>
    <s v="UN"/>
    <s v="Yunianti"/>
    <s v="Teller"/>
    <s v="U_5731_TANJUNG BARU"/>
    <s v="Region 04 Palembang"/>
    <s v="UNIT TANJUNG BARU"/>
    <s v="Associate"/>
    <s v="KC Muara Enim"/>
    <x v="114"/>
    <s v="Kontrak Teller/CS"/>
  </r>
  <r>
    <n v="0"/>
    <x v="1"/>
    <n v="398343"/>
    <s v="UN"/>
    <s v="Zahra Fayza Dinar"/>
    <s v="Teller"/>
    <s v="U_5732_TANJUNG ENIM"/>
    <s v="Region 04 Palembang"/>
    <s v="UNIT TANJUNG ENIM"/>
    <s v="Associate"/>
    <s v="KC Muara Enim"/>
    <x v="115"/>
    <s v="Peserta Magang"/>
  </r>
  <r>
    <n v="0"/>
    <x v="1"/>
    <n v="400430"/>
    <s v="UN"/>
    <s v="Thazya Charroria"/>
    <s v="Teller"/>
    <s v="U_5727_GUNUNG MEGANG"/>
    <s v="Region 04 Palembang"/>
    <s v="UNIT GUNUNG MEGANG"/>
    <s v="Associate"/>
    <s v="KC Muara Enim"/>
    <x v="116"/>
    <s v="Peserta Magang"/>
  </r>
  <r>
    <n v="0"/>
    <x v="1"/>
    <n v="403334"/>
    <s v="UN"/>
    <s v="Risa Rahmadani"/>
    <s v="Teller"/>
    <s v="U_5729_PULAU PANGGUNG"/>
    <s v="Region 04 Palembang"/>
    <s v="UNIT PULAU PANGGUNG"/>
    <s v="Associate"/>
    <s v="KC Muara Enim"/>
    <x v="118"/>
    <s v="Peserta Magang"/>
  </r>
  <r>
    <n v="0"/>
    <x v="1"/>
    <n v="405655"/>
    <s v="UN"/>
    <s v="Muhammad Adib Azaiby"/>
    <s v="Teller"/>
    <s v="U_5730_SUDIRMAN MUARA ENIM"/>
    <s v="Region 04 Palembang"/>
    <s v="UNIT SUDIRMAN MUARA ENIM"/>
    <s v="Associate"/>
    <s v="KC Muara Enim"/>
    <x v="113"/>
    <s v="Peserta Magang"/>
  </r>
  <r>
    <n v="0"/>
    <x v="1"/>
    <n v="405861"/>
    <s v="UN"/>
    <s v="Dita Asri Herdianti"/>
    <s v="Teller"/>
    <s v="U_5728_MUARA ENIM"/>
    <s v="Region 04 Palembang"/>
    <s v="UNIT MUARA ENIM"/>
    <s v="Associate"/>
    <s v="KC Muara Enim"/>
    <x v="117"/>
    <s v="Peserta Magang"/>
  </r>
  <r>
    <n v="0"/>
    <x v="1"/>
    <n v="408618"/>
    <s v="UN"/>
    <s v="Dandi Raffy Pratama"/>
    <s v="Teller"/>
    <s v="U_5732_TANJUNG ENIM"/>
    <s v="Region 04 Palembang"/>
    <s v="UNIT TANJUNG ENIM"/>
    <s v="Associate"/>
    <s v="KC Muara Enim"/>
    <x v="115"/>
    <s v="Peserta Magang"/>
  </r>
  <r>
    <s v="-"/>
    <x v="1"/>
    <n v="410741"/>
    <s v="UN"/>
    <s v="Natasya Salsabilla"/>
    <s v="Teller"/>
    <s v="U_5730_SUDIRMAN MUARA ENIM"/>
    <s v="Region 04 Palembang"/>
    <s v="UNIT SUDIRMAN MUARA ENIM"/>
    <s v="Associate"/>
    <s v="KC Muara Enim"/>
    <x v="113"/>
    <s v="Kontrak Teller/CS"/>
  </r>
  <r>
    <n v="0"/>
    <x v="1"/>
    <n v="413425"/>
    <s v="UN"/>
    <s v="Marisa Stefanny"/>
    <s v="Teller"/>
    <s v="U_5728_MUARA ENIM"/>
    <s v="Region 04 Palembang"/>
    <s v="UNIT MUARA ENIM"/>
    <s v="Associate"/>
    <s v="KC Muara Enim"/>
    <x v="117"/>
    <s v="Peserta Magang"/>
  </r>
  <r>
    <s v="K345699923"/>
    <x v="0"/>
    <n v="343043"/>
    <s v="UN"/>
    <s v="Vieolla Almaira"/>
    <s v="Customer Service"/>
    <s v="U_5736_PAGAR ALAM"/>
    <s v="Region 04 Palembang"/>
    <s v="UNIT PAGAR ALAM"/>
    <s v="Associate"/>
    <s v="KC Pagar Alam"/>
    <x v="119"/>
    <s v="Kontrak Teller/CS"/>
  </r>
  <r>
    <s v="K345079823"/>
    <x v="0"/>
    <n v="346809"/>
    <s v="UN"/>
    <s v="Lorry Distika Andriani"/>
    <s v="Customer Service"/>
    <s v="U_5737_PENDOPO"/>
    <s v="Region 04 Palembang"/>
    <s v="UNIT PENDOPO"/>
    <s v="Associate"/>
    <s v="KC Pagar Alam"/>
    <x v="120"/>
    <s v="Kontrak Teller/CS"/>
  </r>
  <r>
    <s v="K460630024"/>
    <x v="0"/>
    <n v="365183"/>
    <s v="UN"/>
    <s v="Rinjani"/>
    <s v="Customer Service"/>
    <s v="U_5733_DEMPO PERMAI"/>
    <s v="Region 04 Palembang"/>
    <s v="UNIT DEMPO PERMAI"/>
    <s v="Associate"/>
    <s v="KC Pagar Alam"/>
    <x v="121"/>
    <s v="Kontrak Teller/CS"/>
  </r>
  <r>
    <s v="K495210024"/>
    <x v="0"/>
    <n v="370856"/>
    <s v="UN"/>
    <s v="Chelia Dema Saputri"/>
    <s v="Customer Service"/>
    <s v="U_5734_JARAI"/>
    <s v="Region 04 Palembang"/>
    <s v="UNIT JARAI"/>
    <s v="Associate"/>
    <s v="KC Pagar Alam"/>
    <x v="122"/>
    <s v="Kontrak Teller/CS"/>
  </r>
  <r>
    <s v="K521780125"/>
    <x v="0"/>
    <n v="375743"/>
    <s v="UN"/>
    <s v="Stephanie Luinski"/>
    <s v="Customer Service"/>
    <s v="U_5733_DEMPO PERMAI"/>
    <s v="Region 04 Palembang"/>
    <s v="UNIT DEMPO PERMAI"/>
    <s v="Associate"/>
    <s v="KC Pagar Alam"/>
    <x v="121"/>
    <s v="Kontrak Teller/CS"/>
  </r>
  <r>
    <s v="K574630325"/>
    <x v="0"/>
    <n v="386438"/>
    <s v="UN"/>
    <s v="Rayhan Amelia Putri"/>
    <s v="Customer Service"/>
    <s v="U_5735_MUARA PINANG"/>
    <s v="Region 04 Palembang"/>
    <s v="UNIT MUARA PINANG"/>
    <s v="Associate"/>
    <s v="KC Pagar Alam"/>
    <x v="123"/>
    <s v="Kontrak Teller/CS"/>
  </r>
  <r>
    <s v="K576020225"/>
    <x v="0"/>
    <n v="387041"/>
    <s v="UN"/>
    <s v="Febryansyah"/>
    <s v="Customer Service"/>
    <s v="U_5738_TANJUNG SAKTI"/>
    <s v="Region 04 Palembang"/>
    <s v="UNIT TANJUNG SAKTI"/>
    <s v="Associate"/>
    <s v="KC Pagar Alam"/>
    <x v="124"/>
    <s v="Kontrak Teller/CS"/>
  </r>
  <r>
    <s v="K586510125"/>
    <x v="0"/>
    <n v="388348"/>
    <s v="UN"/>
    <s v="Gina Kintalia"/>
    <s v="Customer Service"/>
    <s v="U_5736_PAGAR ALAM"/>
    <s v="Region 04 Palembang"/>
    <s v="UNIT PAGAR ALAM"/>
    <s v="Associate"/>
    <s v="KC Pagar Alam"/>
    <x v="119"/>
    <s v="Kontrak Teller/CS"/>
  </r>
  <r>
    <s v="M267730324"/>
    <x v="1"/>
    <n v="373873"/>
    <s v="UN"/>
    <s v="Elshanti Maharani Hamka"/>
    <s v="Teller"/>
    <s v="U_5736_PAGAR ALAM"/>
    <s v="Region 04 Palembang"/>
    <s v="UNIT PAGAR ALAM"/>
    <s v="Associate"/>
    <s v="KC Pagar Alam"/>
    <x v="119"/>
    <s v="Peserta Magang"/>
  </r>
  <r>
    <s v="M282870025"/>
    <x v="1"/>
    <n v="377941"/>
    <s v="UN"/>
    <s v="Regina Suci Fitria"/>
    <s v="Teller"/>
    <s v="U_5735_MUARA PINANG"/>
    <s v="Region 04 Palembang"/>
    <s v="UNIT MUARA PINANG"/>
    <s v="Associate"/>
    <s v="KC Pagar Alam"/>
    <x v="123"/>
    <s v="Peserta Magang"/>
  </r>
  <r>
    <s v="M310280225"/>
    <x v="1"/>
    <n v="387081"/>
    <s v="UN"/>
    <s v="Dea Allypia Phorizah"/>
    <s v="Teller"/>
    <s v="U_5738_TANJUNG SAKTI"/>
    <s v="Region 04 Palembang"/>
    <s v="UNIT TANJUNG SAKTI"/>
    <s v="Associate"/>
    <s v="KC Pagar Alam"/>
    <x v="124"/>
    <s v="Peserta Magang"/>
  </r>
  <r>
    <s v="M325790425"/>
    <x v="1"/>
    <n v="389608"/>
    <s v="UN"/>
    <s v="Zahira Shafa Nadia"/>
    <s v="Teller"/>
    <s v="U_5733_DEMPO PERMAI"/>
    <s v="Region 04 Palembang"/>
    <s v="UNIT DEMPO PERMAI"/>
    <s v="Associate"/>
    <s v="KC Pagar Alam"/>
    <x v="121"/>
    <s v="Peserta Magang"/>
  </r>
  <r>
    <s v="M325910325"/>
    <x v="1"/>
    <n v="389657"/>
    <s v="UN"/>
    <s v="Wanda Juniarti"/>
    <s v="Teller"/>
    <s v="U_5737_PENDOPO"/>
    <s v="Region 04 Palembang"/>
    <s v="UNIT PENDOPO"/>
    <s v="Associate"/>
    <s v="KC Pagar Alam"/>
    <x v="120"/>
    <s v="Peserta Magang"/>
  </r>
  <r>
    <s v="M336520225"/>
    <x v="1"/>
    <n v="393598"/>
    <s v="UN"/>
    <s v="Juniar Fitria"/>
    <s v="Teller"/>
    <s v="U_5734_JARAI"/>
    <s v="Region 04 Palembang"/>
    <s v="UNIT JARAI"/>
    <s v="Associate"/>
    <s v="KC Pagar Alam"/>
    <x v="122"/>
    <s v="Peserta Magang"/>
  </r>
  <r>
    <s v="K173029623"/>
    <x v="0"/>
    <n v="328397"/>
    <s v="UN"/>
    <s v="Gusti Fadhilah"/>
    <s v="Customer Service"/>
    <s v="U_5762_MERDEKA PALEMBANG"/>
    <s v="Region 04 Palembang"/>
    <s v="UNIT MERDEKA PALEMBANG"/>
    <s v="Associate"/>
    <s v="KC Palembang A. Rivai"/>
    <x v="125"/>
    <s v="Kontrak Teller/CS"/>
  </r>
  <r>
    <s v="K173579723"/>
    <x v="0"/>
    <n v="328523"/>
    <s v="UN"/>
    <s v="Deta Maya Soma"/>
    <s v="Customer Service"/>
    <s v="U_5750_LINGKARAN"/>
    <s v="Region 04 Palembang"/>
    <s v="UNIT LINGKARAN"/>
    <s v="Associate"/>
    <s v="KC Palembang A. Rivai"/>
    <x v="126"/>
    <s v="Kontrak Teller/CS"/>
  </r>
  <r>
    <s v="K174359623"/>
    <x v="0"/>
    <n v="328550"/>
    <s v="UN"/>
    <s v="Msy. Via Nurafrianti"/>
    <s v="Customer Service"/>
    <s v="U_5742_5 ULU"/>
    <s v="Region 04 Palembang"/>
    <s v="UNIT 5 ULU"/>
    <s v="Associate"/>
    <s v="KC Palembang A. Rivai"/>
    <x v="127"/>
    <s v="Kontrak Teller/CS"/>
  </r>
  <r>
    <s v="K249059923"/>
    <x v="0"/>
    <n v="334950"/>
    <s v="UN"/>
    <s v="Tania Ayu Syahputri Budiman"/>
    <s v="Customer Service"/>
    <s v="U_5740_KERTAPATI"/>
    <s v="Region 04 Palembang"/>
    <s v="UNIT KERTAPATI"/>
    <s v="Associate"/>
    <s v="KC Palembang A. Rivai"/>
    <x v="128"/>
    <s v="Kontrak Teller/CS"/>
  </r>
  <r>
    <s v="K249069723"/>
    <x v="0"/>
    <n v="334956"/>
    <s v="UN"/>
    <s v="Nyayu Zaskia Faturrahma"/>
    <s v="Customer Service"/>
    <s v="U_8059_GANDUS"/>
    <s v="Region 04 Palembang"/>
    <s v="UNIT GANDUS"/>
    <s v="Associate"/>
    <s v="KC Palembang A. Rivai"/>
    <x v="129"/>
    <s v="Kontrak Teller/CS"/>
  </r>
  <r>
    <s v="K249079823"/>
    <x v="0"/>
    <n v="334959"/>
    <s v="UN"/>
    <s v="Tria Ella Ragiliasari"/>
    <s v="Customer Service"/>
    <s v="U_5747_PLAJU"/>
    <s v="Region 04 Palembang"/>
    <s v="UNIT PLAJU"/>
    <s v="Associate"/>
    <s v="KC Palembang A. Rivai"/>
    <x v="130"/>
    <s v="Kontrak Teller/CS"/>
  </r>
  <r>
    <s v="K249080023"/>
    <x v="0"/>
    <n v="334961"/>
    <s v="UN"/>
    <s v="Anis Khansa Putri"/>
    <s v="Customer Service"/>
    <s v="U_5755_SEBERANG ULU"/>
    <s v="Region 04 Palembang"/>
    <s v="UNIT SEBERANG ULU"/>
    <s v="Associate"/>
    <s v="KC Palembang A. Rivai"/>
    <x v="131"/>
    <s v="Kontrak Teller/CS"/>
  </r>
  <r>
    <s v="K292409923"/>
    <x v="0"/>
    <n v="339180"/>
    <s v="UN"/>
    <s v="Ira Fahira Dwi Putri"/>
    <s v="Customer Service"/>
    <s v="U_5758_PAKJO"/>
    <s v="Region 04 Palembang"/>
    <s v="UNIT PAKJO"/>
    <s v="Associate"/>
    <s v="KC Palembang A. Rivai"/>
    <x v="132"/>
    <s v="Kontrak Teller/CS"/>
  </r>
  <r>
    <s v="K292419923"/>
    <x v="0"/>
    <n v="339181"/>
    <s v="UN"/>
    <s v="Deby Sintya Rosha"/>
    <s v="Customer Service"/>
    <s v="U_7054_SIMPANG PEBEM"/>
    <s v="Region 04 Palembang"/>
    <s v="UNIT SIMPANG PEBEM"/>
    <s v="Associate"/>
    <s v="KC Palembang A. Rivai"/>
    <x v="133"/>
    <s v="Kontrak Teller/CS"/>
  </r>
  <r>
    <s v="K292429923"/>
    <x v="0"/>
    <n v="339182"/>
    <s v="UN"/>
    <s v="Devi Lestari Ramadhani"/>
    <s v="Customer Service"/>
    <s v="U_5755_SEBERANG ULU"/>
    <s v="Region 04 Palembang"/>
    <s v="UNIT SEBERANG ULU"/>
    <s v="Associate"/>
    <s v="KC Palembang A. Rivai"/>
    <x v="131"/>
    <s v="Kontrak Teller/CS"/>
  </r>
  <r>
    <s v="K403399923"/>
    <x v="0"/>
    <n v="351469"/>
    <s v="UN"/>
    <s v="Muna Atori"/>
    <s v="Customer Service"/>
    <s v="U_5743_CINDE"/>
    <s v="Region 04 Palembang"/>
    <s v="UNIT CINDE"/>
    <s v="Associate"/>
    <s v="KC Palembang A. Rivai"/>
    <x v="134"/>
    <s v="Kontrak Teller/CS"/>
  </r>
  <r>
    <s v="K437650024"/>
    <x v="0"/>
    <n v="362084"/>
    <s v="UN"/>
    <s v="Tanniah Dwi Pratiwi"/>
    <s v="Customer Service"/>
    <s v="U_5762_MERDEKA PALEMBANG"/>
    <s v="Region 04 Palembang"/>
    <s v="UNIT MERDEKA PALEMBANG"/>
    <s v="Associate"/>
    <s v="KC Palembang A. Rivai"/>
    <x v="125"/>
    <s v="Kontrak Teller/CS"/>
  </r>
  <r>
    <s v="K438430124"/>
    <x v="0"/>
    <n v="362087"/>
    <s v="UN"/>
    <s v="Nyayu Nadia Arianti"/>
    <s v="Customer Service"/>
    <s v="U_7751_MASKEREBET"/>
    <s v="Region 04 Palembang"/>
    <s v="UNIT MASKEREBET"/>
    <s v="Associate"/>
    <s v="KC Palembang A. Rivai"/>
    <x v="135"/>
    <s v="Kontrak Teller/CS"/>
  </r>
  <r>
    <s v="K497299824"/>
    <x v="0"/>
    <n v="371429"/>
    <s v="UN"/>
    <s v="Rini Anggraini"/>
    <s v="Customer Service"/>
    <s v="U_5740_KERTAPATI"/>
    <s v="Region 04 Palembang"/>
    <s v="UNIT KERTAPATI"/>
    <s v="Associate"/>
    <s v="KC Palembang A. Rivai"/>
    <x v="128"/>
    <s v="Kontrak Teller/CS"/>
  </r>
  <r>
    <s v="K508279824"/>
    <x v="0"/>
    <n v="373580"/>
    <s v="UN"/>
    <s v="Firanda Catriona"/>
    <s v="Customer Service"/>
    <s v="U_7751_MASKEREBET"/>
    <s v="Region 04 Palembang"/>
    <s v="UNIT MASKEREBET"/>
    <s v="Associate"/>
    <s v="KC Palembang A. Rivai"/>
    <x v="135"/>
    <s v="Kontrak Teller/CS"/>
  </r>
  <r>
    <s v="K512870024"/>
    <x v="0"/>
    <n v="373722"/>
    <s v="UN"/>
    <s v="Halimah Evia Agustini"/>
    <s v="Customer Service"/>
    <s v="U_5750_LINGKARAN"/>
    <s v="Region 04 Palembang"/>
    <s v="UNIT LINGKARAN"/>
    <s v="Associate"/>
    <s v="KC Palembang A. Rivai"/>
    <x v="126"/>
    <s v="Kontrak Teller/CS"/>
  </r>
  <r>
    <s v="K604960025"/>
    <x v="0"/>
    <n v="389099"/>
    <s v="UN"/>
    <s v="Ayu Lestari"/>
    <s v="Customer Service"/>
    <s v="U_8060_MARIANA"/>
    <s v="Region 04 Palembang"/>
    <s v="UNIT MARIANA"/>
    <s v="Associate"/>
    <s v="KC Palembang A. Rivai"/>
    <x v="136"/>
    <s v="Kontrak Teller/CS"/>
  </r>
  <r>
    <s v="K604970125"/>
    <x v="0"/>
    <n v="389100"/>
    <s v="UN"/>
    <s v="Sa'diyah Sofiana"/>
    <s v="Customer Service"/>
    <s v="U_5747_PLAJU"/>
    <s v="Region 04 Palembang"/>
    <s v="UNIT PLAJU"/>
    <s v="Associate"/>
    <s v="KC Palembang A. Rivai"/>
    <x v="130"/>
    <s v="Kontrak Teller/CS"/>
  </r>
  <r>
    <s v="K621290025"/>
    <x v="0"/>
    <n v="392445"/>
    <s v="UN"/>
    <s v="Widya Gemilang"/>
    <s v="Customer Service"/>
    <s v="U_5749_JAKABARING"/>
    <s v="Region 04 Palembang"/>
    <s v="UNIT JAKABARING"/>
    <s v="Associate"/>
    <s v="KC Palembang A. Rivai"/>
    <x v="137"/>
    <s v="Kontrak Teller/CS"/>
  </r>
  <r>
    <n v="0"/>
    <x v="0"/>
    <n v="396669"/>
    <s v="UN"/>
    <s v="Desti Andelia"/>
    <s v="Customer Service"/>
    <s v="U_5742_5 ULU"/>
    <s v="Region 04 Palembang"/>
    <s v="UNIT 5 ULU"/>
    <s v="Associate"/>
    <s v="KC Palembang A. Rivai"/>
    <x v="127"/>
    <s v="Kontrak Teller/CS"/>
  </r>
  <r>
    <s v="-"/>
    <x v="0"/>
    <n v="400435"/>
    <s v="UN"/>
    <s v="Azka Suci Alivia"/>
    <s v="Customer Service"/>
    <s v="U_8059_GANDUS"/>
    <s v="Region 04 Palembang"/>
    <s v="UNIT GANDUS"/>
    <s v="Associate"/>
    <s v="KC Palembang A. Rivai"/>
    <x v="129"/>
    <s v="Kontrak Teller/CS"/>
  </r>
  <r>
    <s v="-"/>
    <x v="0"/>
    <n v="400436"/>
    <s v="UN"/>
    <s v="Widya Ika Rahmawati"/>
    <s v="Customer Service"/>
    <s v="U_7054_SIMPANG PEBEM"/>
    <s v="Region 04 Palembang"/>
    <s v="UNIT SIMPANG PEBEM"/>
    <s v="Associate"/>
    <s v="KC Palembang A. Rivai"/>
    <x v="133"/>
    <s v="Kontrak Teller/CS"/>
  </r>
  <r>
    <s v="-"/>
    <x v="0"/>
    <n v="400456"/>
    <s v="UN"/>
    <s v="Rianti Agustina"/>
    <s v="Customer Service"/>
    <s v="U_8060_MARIANA"/>
    <s v="Region 04 Palembang"/>
    <s v="UNIT MARIANA"/>
    <s v="Associate"/>
    <s v="KC Palembang A. Rivai"/>
    <x v="136"/>
    <s v="Kontrak Teller/CS"/>
  </r>
  <r>
    <s v="K432499824"/>
    <x v="1"/>
    <n v="360222"/>
    <s v="UN"/>
    <s v="Lilis Suryani"/>
    <s v="Teller"/>
    <s v="U_5740_KERTAPATI"/>
    <s v="Region 04 Palembang"/>
    <s v="UNIT KERTAPATI"/>
    <s v="Associate"/>
    <s v="KC Palembang A. Rivai"/>
    <x v="128"/>
    <s v="Kontrak Teller/CS"/>
  </r>
  <r>
    <s v="M278250125"/>
    <x v="1"/>
    <n v="376695"/>
    <s v="UN"/>
    <s v="Miftahul Huda"/>
    <s v="Teller"/>
    <s v="U_5743_CINDE"/>
    <s v="Region 04 Palembang"/>
    <s v="UNIT CINDE"/>
    <s v="Associate"/>
    <s v="KC Palembang A. Rivai"/>
    <x v="134"/>
    <s v="Peserta Magang"/>
  </r>
  <r>
    <s v="M278260025"/>
    <x v="1"/>
    <n v="376698"/>
    <s v="UN"/>
    <s v="Ayu Milfa Sari"/>
    <s v="Teller"/>
    <s v="U_5747_PLAJU"/>
    <s v="Region 04 Palembang"/>
    <s v="UNIT PLAJU"/>
    <s v="Associate"/>
    <s v="KC Palembang A. Rivai"/>
    <x v="130"/>
    <s v="Peserta Magang"/>
  </r>
  <r>
    <s v="M291520125"/>
    <x v="1"/>
    <n v="380702"/>
    <s v="UN"/>
    <s v="Azzahrah Juniska"/>
    <s v="Teller"/>
    <s v="U_7054_SIMPANG PEBEM"/>
    <s v="Region 04 Palembang"/>
    <s v="UNIT SIMPANG PEBEM"/>
    <s v="Associate"/>
    <s v="KC Palembang A. Rivai"/>
    <x v="133"/>
    <s v="Peserta Magang"/>
  </r>
  <r>
    <s v="M297190225"/>
    <x v="1"/>
    <n v="382659"/>
    <s v="UN"/>
    <s v="Muhammad Akbar Pilarian Allbap"/>
    <s v="Teller"/>
    <s v="U_5750_LINGKARAN"/>
    <s v="Region 04 Palembang"/>
    <s v="UNIT LINGKARAN"/>
    <s v="Associate"/>
    <s v="KC Palembang A. Rivai"/>
    <x v="126"/>
    <s v="Peserta Magang"/>
  </r>
  <r>
    <s v="M301240325"/>
    <x v="1"/>
    <n v="384012"/>
    <s v="UN"/>
    <s v="Sakila Oktarianty Putri"/>
    <s v="Teller"/>
    <s v="U_8059_GANDUS"/>
    <s v="Region 04 Palembang"/>
    <s v="UNIT GANDUS"/>
    <s v="Associate"/>
    <s v="KC Palembang A. Rivai"/>
    <x v="129"/>
    <s v="Peserta Magang"/>
  </r>
  <r>
    <s v="M302850325"/>
    <x v="1"/>
    <n v="384475"/>
    <s v="UN"/>
    <s v="Raffa Rasyqah"/>
    <s v="Teller"/>
    <s v="U_5762_MERDEKA PALEMBANG"/>
    <s v="Region 04 Palembang"/>
    <s v="UNIT MERDEKA PALEMBANG"/>
    <s v="Associate"/>
    <s v="KC Palembang A. Rivai"/>
    <x v="125"/>
    <s v="Peserta Magang"/>
  </r>
  <r>
    <s v="M325170325"/>
    <x v="1"/>
    <n v="389416"/>
    <s v="UN"/>
    <s v="Abdul Rafliansyah"/>
    <s v="Teller"/>
    <s v="U_8060_MARIANA"/>
    <s v="Region 04 Palembang"/>
    <s v="UNIT MARIANA"/>
    <s v="Associate"/>
    <s v="KC Palembang A. Rivai"/>
    <x v="136"/>
    <s v="Peserta Magang"/>
  </r>
  <r>
    <s v="M325200325"/>
    <x v="1"/>
    <n v="389419"/>
    <s v="UN"/>
    <s v="Agnes Anugrah"/>
    <s v="Teller"/>
    <s v="U_7751_MASKEREBET"/>
    <s v="Region 04 Palembang"/>
    <s v="UNIT MASKEREBET"/>
    <s v="Associate"/>
    <s v="KC Palembang A. Rivai"/>
    <x v="135"/>
    <s v="Peserta Magang"/>
  </r>
  <r>
    <n v="0"/>
    <x v="1"/>
    <n v="400454"/>
    <s v="UN"/>
    <s v="Alfiyah Zuhra"/>
    <s v="Teller"/>
    <s v="U_5742_5 ULU"/>
    <s v="Region 04 Palembang"/>
    <s v="UNIT 5 ULU"/>
    <s v="Associate"/>
    <s v="KC Palembang A. Rivai"/>
    <x v="127"/>
    <s v="Peserta Magang"/>
  </r>
  <r>
    <n v="0"/>
    <x v="1"/>
    <n v="402968"/>
    <s v="UN"/>
    <s v="Masayu Tasya"/>
    <s v="Teller"/>
    <s v="U_5758_PAKJO"/>
    <s v="Region 04 Palembang"/>
    <s v="UNIT PAKJO"/>
    <s v="Associate"/>
    <s v="KC Palembang A. Rivai"/>
    <x v="132"/>
    <s v="Peserta Magang"/>
  </r>
  <r>
    <n v="0"/>
    <x v="1"/>
    <n v="402971"/>
    <s v="UN"/>
    <s v="Efran Merdianto"/>
    <s v="Teller"/>
    <s v="U_5755_SEBERANG ULU"/>
    <s v="Region 04 Palembang"/>
    <s v="UNIT SEBERANG ULU"/>
    <s v="Associate"/>
    <s v="KC Palembang A. Rivai"/>
    <x v="131"/>
    <s v="Peserta Magang"/>
  </r>
  <r>
    <n v="0"/>
    <x v="1"/>
    <n v="402974"/>
    <s v="UN"/>
    <s v="Cahya Andika"/>
    <s v="Teller"/>
    <s v="U_5749_JAKABARING"/>
    <s v="Region 04 Palembang"/>
    <s v="UNIT JAKABARING"/>
    <s v="Associate"/>
    <s v="KC Palembang A. Rivai"/>
    <x v="137"/>
    <s v="Peserta Magang"/>
  </r>
  <r>
    <n v="0"/>
    <x v="1"/>
    <n v="411842"/>
    <s v="UN"/>
    <s v="Ratu Septya"/>
    <s v="Teller"/>
    <s v="U_5758_PAKJO"/>
    <s v="Region 04 Palembang"/>
    <s v="UNIT PAKJO"/>
    <s v="Associate"/>
    <s v="KC Palembang A. Rivai"/>
    <x v="132"/>
    <s v="Peserta Magang"/>
  </r>
  <r>
    <n v="0"/>
    <x v="1"/>
    <n v="411843"/>
    <s v="UN"/>
    <s v="Khalisa Angraini Putri"/>
    <s v="Teller"/>
    <s v="U_5762_MERDEKA PALEMBANG"/>
    <s v="Region 04 Palembang"/>
    <s v="UNIT MERDEKA PALEMBANG"/>
    <s v="Associate"/>
    <s v="KC Palembang A. Rivai"/>
    <x v="125"/>
    <s v="Peserta Magang"/>
  </r>
  <r>
    <n v="0"/>
    <x v="1"/>
    <n v="411846"/>
    <s v="UN"/>
    <s v="Muhammad Ilham Zazili"/>
    <s v="Teller"/>
    <s v="U_5747_PLAJU"/>
    <s v="Region 04 Palembang"/>
    <s v="UNIT PLAJU"/>
    <s v="Associate"/>
    <s v="KC Palembang A. Rivai"/>
    <x v="130"/>
    <s v="Peserta Magang"/>
  </r>
  <r>
    <n v="0"/>
    <x v="1"/>
    <n v="411848"/>
    <s v="UN"/>
    <s v="Antika Susmita"/>
    <s v="Teller"/>
    <s v="U_5750_LINGKARAN"/>
    <s v="Region 04 Palembang"/>
    <s v="UNIT LINGKARAN"/>
    <s v="Associate"/>
    <s v="KC Palembang A. Rivai"/>
    <x v="126"/>
    <s v="Peserta Magang"/>
  </r>
  <r>
    <s v="K173089823"/>
    <x v="0"/>
    <n v="328639"/>
    <s v="UN"/>
    <s v="Zerin Meishita"/>
    <s v="Customer Service"/>
    <s v="U_5753_BUKIT SANGKAL"/>
    <s v="Region 04 Palembang"/>
    <s v="UNIT BUKIT SANGKAL"/>
    <s v="Associate"/>
    <s v="KC Palembang Sriwijaya"/>
    <x v="138"/>
    <s v="Kontrak Teller/CS"/>
  </r>
  <r>
    <s v="K249000123"/>
    <x v="0"/>
    <n v="334928"/>
    <s v="UN"/>
    <s v="Nur Azizah"/>
    <s v="Customer Service"/>
    <s v="U_5763_SEKIP KEBON SEMAI"/>
    <s v="Region 04 Palembang"/>
    <s v="UNIT SEKIP KEBON SEMAI"/>
    <s v="Associate"/>
    <s v="KC Palembang Sriwijaya"/>
    <x v="139"/>
    <s v="Kontrak Teller/CS"/>
  </r>
  <r>
    <s v="K317420123"/>
    <x v="0"/>
    <n v="339993"/>
    <s v="UN"/>
    <s v="Melky Chandra Sedek Sibarani"/>
    <s v="Customer Service"/>
    <s v="U_5746_LEMABANG"/>
    <s v="Region 04 Palembang"/>
    <s v="UNIT LEMABANG"/>
    <s v="Associate"/>
    <s v="KC Palembang Sriwijaya"/>
    <x v="140"/>
    <s v="Kontrak Teller/CS"/>
  </r>
  <r>
    <s v="K317439823"/>
    <x v="0"/>
    <n v="339994"/>
    <s v="UN"/>
    <s v="Nesia Putri Selsi Wijaya"/>
    <s v="Customer Service"/>
    <s v="U_5753_BUKIT SANGKAL"/>
    <s v="Region 04 Palembang"/>
    <s v="UNIT BUKIT SANGKAL"/>
    <s v="Associate"/>
    <s v="KC Palembang Sriwijaya"/>
    <x v="138"/>
    <s v="Kontrak Teller/CS"/>
  </r>
  <r>
    <s v="K347700123"/>
    <x v="0"/>
    <n v="344832"/>
    <s v="UN"/>
    <s v="Cindy Wulandari"/>
    <s v="Customer Service"/>
    <s v="U_5745_KUTO"/>
    <s v="Region 04 Palembang"/>
    <s v="UNIT KUTO"/>
    <s v="Associate"/>
    <s v="KC Palembang Sriwijaya"/>
    <x v="141"/>
    <s v="Kontrak Teller/CS"/>
  </r>
  <r>
    <s v="K364139923"/>
    <x v="0"/>
    <n v="347830"/>
    <s v="UN"/>
    <s v="Tika Puspadewi"/>
    <s v="Customer Service"/>
    <s v="U_7975_KENTEN AZHAR"/>
    <s v="Region 04 Palembang"/>
    <s v="UNIT KENTEN AZHAR"/>
    <s v="Associate"/>
    <s v="KC Palembang Sriwijaya"/>
    <x v="142"/>
    <s v="Kontrak Teller/CS"/>
  </r>
  <r>
    <s v="K402079823"/>
    <x v="0"/>
    <n v="350359"/>
    <s v="UN"/>
    <s v="Muhammad Zakaria"/>
    <s v="Customer Service"/>
    <s v="U_7770_KTM TELANG"/>
    <s v="Region 04 Palembang"/>
    <s v="UNIT KTM TELANG"/>
    <s v="Associate"/>
    <s v="KC Palembang Sriwijaya"/>
    <x v="143"/>
    <s v="Kontrak Teller/CS"/>
  </r>
  <r>
    <s v="K406650024"/>
    <x v="0"/>
    <n v="354684"/>
    <s v="UN"/>
    <s v="Elvira Caroline"/>
    <s v="Customer Service"/>
    <s v="U_5739_KEBUN BUNGA"/>
    <s v="Region 04 Palembang"/>
    <s v="UNIT KEBUN BUNGA"/>
    <s v="Associate"/>
    <s v="KC Palembang Sriwijaya"/>
    <x v="144"/>
    <s v="Kontrak Teller/CS"/>
  </r>
  <r>
    <s v="K474610024"/>
    <x v="0"/>
    <n v="367389"/>
    <s v="UN"/>
    <s v="Tiya Srihartati Gumay"/>
    <s v="Customer Service"/>
    <s v="U_7975_KENTEN AZHAR"/>
    <s v="Region 04 Palembang"/>
    <s v="UNIT KENTEN AZHAR"/>
    <s v="Associate"/>
    <s v="KC Palembang Sriwijaya"/>
    <x v="142"/>
    <s v="Kontrak Teller/CS"/>
  </r>
  <r>
    <s v="K477950024"/>
    <x v="0"/>
    <n v="368056"/>
    <s v="UN"/>
    <s v="Nur Rahmah"/>
    <s v="Customer Service"/>
    <s v="U_5761_KENTEN SAKO"/>
    <s v="Region 04 Palembang"/>
    <s v="UNIT KENTEN SAKO"/>
    <s v="Associate"/>
    <s v="KC Palembang Sriwijaya"/>
    <x v="145"/>
    <s v="Kontrak Teller/CS"/>
  </r>
  <r>
    <s v="K477999824"/>
    <x v="0"/>
    <n v="368070"/>
    <s v="UN"/>
    <s v="Resi Wahyuni"/>
    <s v="Customer Service"/>
    <s v="U_5761_KENTEN SAKO"/>
    <s v="Region 04 Palembang"/>
    <s v="UNIT KENTEN SAKO"/>
    <s v="Associate"/>
    <s v="KC Palembang Sriwijaya"/>
    <x v="145"/>
    <s v="Kontrak Teller/CS"/>
  </r>
  <r>
    <s v="K497280024"/>
    <x v="0"/>
    <n v="371428"/>
    <s v="UN"/>
    <s v="Farhan Pratama"/>
    <s v="Customer Service"/>
    <s v="U_5757_BOSTER"/>
    <s v="Region 04 Palembang"/>
    <s v="UNIT BOSTER"/>
    <s v="Associate"/>
    <s v="KC Palembang Sriwijaya"/>
    <x v="146"/>
    <s v="Kontrak Teller/CS"/>
  </r>
  <r>
    <s v="K497549824"/>
    <x v="0"/>
    <n v="371475"/>
    <s v="UN"/>
    <s v="Jeri Prana Erwansyah"/>
    <s v="Customer Service"/>
    <s v="U_7770_KTM TELANG"/>
    <s v="Region 04 Palembang"/>
    <s v="UNIT KTM TELANG"/>
    <s v="Associate"/>
    <s v="KC Palembang Sriwijaya"/>
    <x v="143"/>
    <s v="Kontrak Teller/CS"/>
  </r>
  <r>
    <s v="K512810124"/>
    <x v="0"/>
    <n v="373715"/>
    <s v="UN"/>
    <s v="Muhammad Fiqram Al Farizi"/>
    <s v="Customer Service"/>
    <s v="U_5788_SUKAJADI"/>
    <s v="Region 04 Palembang"/>
    <s v="UNIT SUKAJADI"/>
    <s v="Associate"/>
    <s v="KC Palembang Sriwijaya"/>
    <x v="147"/>
    <s v="Kontrak Teller/CS"/>
  </r>
  <r>
    <s v="K523550125"/>
    <x v="0"/>
    <n v="376284"/>
    <s v="UN"/>
    <s v="M Valian Oktariandi"/>
    <s v="Customer Service"/>
    <s v="U_5739_KEBUN BUNGA"/>
    <s v="Region 04 Palembang"/>
    <s v="UNIT KEBUN BUNGA"/>
    <s v="Associate"/>
    <s v="KC Palembang Sriwijaya"/>
    <x v="144"/>
    <s v="Kontrak Teller/CS"/>
  </r>
  <r>
    <s v="K523590125"/>
    <x v="0"/>
    <n v="376294"/>
    <s v="UN"/>
    <s v="Muhammad Aldo Poetradinata"/>
    <s v="Customer Service"/>
    <s v="U_3396_KILOMETER 5"/>
    <s v="Region 04 Palembang"/>
    <s v="UNIT KILOMETER 5"/>
    <s v="Associate"/>
    <s v="KC Palembang Sriwijaya"/>
    <x v="148"/>
    <s v="Kontrak Teller/CS"/>
  </r>
  <r>
    <s v="K545720025"/>
    <x v="0"/>
    <n v="381265"/>
    <s v="UN"/>
    <s v="Sabrina Salsabila Sandhi"/>
    <s v="Customer Service"/>
    <s v="U_5757_BOSTER"/>
    <s v="Region 04 Palembang"/>
    <s v="UNIT BOSTER"/>
    <s v="Associate"/>
    <s v="KC Palembang Sriwijaya"/>
    <x v="146"/>
    <s v="Kontrak Teller/CS"/>
  </r>
  <r>
    <s v="K555549925"/>
    <x v="0"/>
    <n v="382945"/>
    <s v="UN"/>
    <s v="Desi Kartika Laraswati"/>
    <s v="Customer Service"/>
    <s v="U_5788_SUKAJADI"/>
    <s v="Region 04 Palembang"/>
    <s v="UNIT SUKAJADI"/>
    <s v="Associate"/>
    <s v="KC Palembang Sriwijaya"/>
    <x v="147"/>
    <s v="Kontrak Teller/CS"/>
  </r>
  <r>
    <s v="K555550125"/>
    <x v="0"/>
    <n v="382946"/>
    <s v="UN"/>
    <s v="Jessycha Debora Nainggolan"/>
    <s v="Customer Service"/>
    <s v="U_3396_KILOMETER 5"/>
    <s v="Region 04 Palembang"/>
    <s v="UNIT KILOMETER 5"/>
    <s v="Associate"/>
    <s v="KC Palembang Sriwijaya"/>
    <x v="148"/>
    <s v="Kontrak Teller/CS"/>
  </r>
  <r>
    <n v="0"/>
    <x v="0"/>
    <n v="396866"/>
    <s v="UN"/>
    <s v="Annisa Thahara"/>
    <s v="Customer Service"/>
    <s v="U_5763_SEKIP KEBON SEMAI"/>
    <s v="Region 04 Palembang"/>
    <s v="UNIT SEKIP KEBON SEMAI"/>
    <s v="Associate"/>
    <s v="KC Palembang Sriwijaya"/>
    <x v="139"/>
    <s v="Kontrak Teller/CS"/>
  </r>
  <r>
    <s v="-"/>
    <x v="0"/>
    <n v="405524"/>
    <s v="UN"/>
    <s v="Govin"/>
    <s v="Customer Service"/>
    <s v="U_5756_SIMPANG LIMA PRUNDAM"/>
    <s v="Region 04 Palembang"/>
    <s v="UNIT SIMPANG LIMA PRUNDAM"/>
    <s v="Associate"/>
    <s v="KC Palembang Sriwijaya"/>
    <x v="149"/>
    <s v="Kontrak Teller/CS"/>
  </r>
  <r>
    <s v="-"/>
    <x v="0"/>
    <n v="406385"/>
    <s v="UN"/>
    <s v="Naurah Demi Putridinanti"/>
    <s v="Customer Service"/>
    <s v="U_5746_LEMABANG"/>
    <s v="Region 04 Palembang"/>
    <s v="UNIT LEMABANG"/>
    <s v="Associate"/>
    <s v="KC Palembang Sriwijaya"/>
    <x v="140"/>
    <s v="Kontrak Teller/CS"/>
  </r>
  <r>
    <n v="0"/>
    <x v="0"/>
    <n v="409382"/>
    <s v="UN"/>
    <s v="Diana Putri Lorensia"/>
    <s v="Customer Service"/>
    <s v="U_5745_KUTO"/>
    <s v="Region 04 Palembang"/>
    <s v="UNIT KUTO"/>
    <s v="Associate"/>
    <s v="KC Palembang Sriwijaya"/>
    <x v="141"/>
    <s v="Kontrak Teller/CS"/>
  </r>
  <r>
    <n v="0"/>
    <x v="0"/>
    <n v="409383"/>
    <s v="UN"/>
    <s v="Aura Putri Syahrani"/>
    <s v="Customer Service"/>
    <s v="U_5756_SIMPANG LIMA PRUNDAM"/>
    <s v="Region 04 Palembang"/>
    <s v="UNIT SIMPANG LIMA PRUNDAM"/>
    <s v="Associate"/>
    <s v="KC Palembang Sriwijaya"/>
    <x v="149"/>
    <s v="Kontrak Teller/CS"/>
  </r>
  <r>
    <s v="M280780125"/>
    <x v="1"/>
    <n v="377396"/>
    <s v="UN"/>
    <s v="Lisa Oktavia"/>
    <s v="Teller"/>
    <s v="U_5745_KUTO"/>
    <s v="Region 04 Palembang"/>
    <s v="UNIT KUTO"/>
    <s v="Associate"/>
    <s v="KC Palembang Sriwijaya"/>
    <x v="141"/>
    <s v="Peserta Magang"/>
  </r>
  <r>
    <s v="M297380125"/>
    <x v="1"/>
    <n v="382812"/>
    <s v="UN"/>
    <s v="Rafli Oktviansyah"/>
    <s v="Teller"/>
    <s v="U_7975_KENTEN AZHAR"/>
    <s v="Region 04 Palembang"/>
    <s v="UNIT KENTEN AZHAR"/>
    <s v="Associate"/>
    <s v="KC Palembang Sriwijaya"/>
    <x v="142"/>
    <s v="Peserta Magang"/>
  </r>
  <r>
    <s v="M298050125"/>
    <x v="1"/>
    <n v="382943"/>
    <s v="UN"/>
    <s v="Viranka Aprillia Arony"/>
    <s v="Teller"/>
    <s v="U_5746_LEMABANG"/>
    <s v="Region 04 Palembang"/>
    <s v="UNIT LEMABANG"/>
    <s v="Associate"/>
    <s v="KC Palembang Sriwijaya"/>
    <x v="140"/>
    <s v="Peserta Magang"/>
  </r>
  <r>
    <s v="M298060225"/>
    <x v="1"/>
    <n v="382947"/>
    <s v="UN"/>
    <s v="Fira Nurislami"/>
    <s v="Teller"/>
    <s v="U_5753_BUKIT SANGKAL"/>
    <s v="Region 04 Palembang"/>
    <s v="UNIT BUKIT SANGKAL"/>
    <s v="Associate"/>
    <s v="KC Palembang Sriwijaya"/>
    <x v="138"/>
    <s v="Peserta Magang"/>
  </r>
  <r>
    <s v="M303950325"/>
    <x v="1"/>
    <n v="385046"/>
    <s v="UN"/>
    <s v="Muhammad Ikhsan Yudistira"/>
    <s v="Teller"/>
    <s v="U_7770_KTM TELANG"/>
    <s v="Region 04 Palembang"/>
    <s v="UNIT KTM TELANG"/>
    <s v="Associate"/>
    <s v="KC Palembang Sriwijaya"/>
    <x v="143"/>
    <s v="Peserta Magang"/>
  </r>
  <r>
    <n v="0"/>
    <x v="1"/>
    <n v="396868"/>
    <s v="UN"/>
    <s v="Tissa Maryam Fathona"/>
    <s v="Teller"/>
    <s v="U_3396_KILOMETER 5"/>
    <s v="Region 04 Palembang"/>
    <s v="UNIT KILOMETER 5"/>
    <s v="Associate"/>
    <s v="KC Palembang Sriwijaya"/>
    <x v="148"/>
    <s v="Kontrak Teller/CS"/>
  </r>
  <r>
    <n v="0"/>
    <x v="1"/>
    <n v="399962"/>
    <s v="UN"/>
    <s v="Alya Rahmadania"/>
    <s v="Teller"/>
    <s v="U_5763_SEKIP KEBON SEMAI"/>
    <s v="Region 04 Palembang"/>
    <s v="UNIT SEKIP KEBON SEMAI"/>
    <s v="Associate"/>
    <s v="KC Palembang Sriwijaya"/>
    <x v="139"/>
    <s v="Peserta Magang"/>
  </r>
  <r>
    <n v="0"/>
    <x v="1"/>
    <n v="399999"/>
    <s v="UN"/>
    <s v="Akhmad Rifqie"/>
    <s v="Teller"/>
    <s v="U_5788_SUKAJADI"/>
    <s v="Region 04 Palembang"/>
    <s v="UNIT SUKAJADI"/>
    <s v="Associate"/>
    <s v="KC Palembang Sriwijaya"/>
    <x v="147"/>
    <s v="Peserta Magang"/>
  </r>
  <r>
    <n v="0"/>
    <x v="1"/>
    <n v="402973"/>
    <s v="UN"/>
    <s v="Annisa Rezkiyanni"/>
    <s v="Teller"/>
    <s v="U_5761_KENTEN SAKO"/>
    <s v="Region 04 Palembang"/>
    <s v="UNIT KENTEN SAKO"/>
    <s v="Associate"/>
    <s v="KC Palembang Sriwijaya"/>
    <x v="145"/>
    <s v="Peserta Magang"/>
  </r>
  <r>
    <n v="0"/>
    <x v="1"/>
    <n v="406386"/>
    <s v="UN"/>
    <s v="Ditasya Salsabila"/>
    <s v="Teller"/>
    <s v="U_5756_SIMPANG LIMA PRUNDAM"/>
    <s v="Region 04 Palembang"/>
    <s v="UNIT SIMPANG LIMA PRUNDAM"/>
    <s v="Associate"/>
    <s v="KC Palembang Sriwijaya"/>
    <x v="149"/>
    <s v="Peserta Magang"/>
  </r>
  <r>
    <n v="0"/>
    <x v="1"/>
    <n v="406527"/>
    <s v="UN"/>
    <s v="Farhan Fasha Syuhada"/>
    <s v="Teller"/>
    <s v="U_5757_BOSTER"/>
    <s v="Region 04 Palembang"/>
    <s v="UNIT BOSTER"/>
    <s v="Associate"/>
    <s v="KC Palembang Sriwijaya"/>
    <x v="146"/>
    <s v="Peserta Magang"/>
  </r>
  <r>
    <s v="K402329823"/>
    <x v="0"/>
    <n v="350764"/>
    <s v="UN"/>
    <s v="Novia Dwi Larasati"/>
    <s v="Customer Service"/>
    <s v="U_5765_PANGKAL PINANG II"/>
    <s v="Region 04 Palembang"/>
    <s v="UNIT PANGKAL PINANG II"/>
    <s v="Associate"/>
    <s v="KC Pangkal Pinang"/>
    <x v="150"/>
    <s v="Kontrak Teller/CS"/>
  </r>
  <r>
    <s v="K430039924"/>
    <x v="0"/>
    <n v="357705"/>
    <s v="UN"/>
    <s v="Alvi Savira"/>
    <s v="Customer Service"/>
    <s v="U_7691_KERAMAT JAYA"/>
    <s v="Region 04 Palembang"/>
    <s v="UNIT KERAMAT JAYA"/>
    <s v="Associate"/>
    <s v="KC Pangkal Pinang"/>
    <x v="151"/>
    <s v="Kontrak Teller/CS"/>
  </r>
  <r>
    <s v="K426930024"/>
    <x v="0"/>
    <n v="358113"/>
    <s v="UN"/>
    <s v="Vilia Khairunisa"/>
    <s v="Customer Service"/>
    <s v="U_5767_PAYUNG"/>
    <s v="Region 04 Palembang"/>
    <s v="UNIT PAYUNG"/>
    <s v="Associate"/>
    <s v="KC Pangkal Pinang"/>
    <x v="152"/>
    <s v="Kontrak Teller/CS"/>
  </r>
  <r>
    <s v="K464540324"/>
    <x v="0"/>
    <n v="366234"/>
    <s v="UN"/>
    <s v="Sela Vernasha"/>
    <s v="Customer Service"/>
    <s v="U_5764_KOBA"/>
    <s v="Region 04 Palembang"/>
    <s v="UNIT KOBA"/>
    <s v="Associate"/>
    <s v="KC Pangkal Pinang"/>
    <x v="153"/>
    <s v="Kontrak Teller/CS"/>
  </r>
  <r>
    <s v="K487429824"/>
    <x v="0"/>
    <n v="369362"/>
    <s v="UN"/>
    <s v="Tizhania Ingrat"/>
    <s v="Customer Service"/>
    <s v="U_3397_PANGKAL PINANG I"/>
    <s v="Region 04 Palembang"/>
    <s v="UNIT PANGKAL PINANG I"/>
    <s v="Associate"/>
    <s v="KC Pangkal Pinang"/>
    <x v="154"/>
    <s v="Kontrak Teller/CS"/>
  </r>
  <r>
    <s v="K513330024"/>
    <x v="0"/>
    <n v="373887"/>
    <s v="UN"/>
    <s v="Silviska Wiranti"/>
    <s v="Customer Service"/>
    <s v="U_5766_PANGKAL PINANG III"/>
    <s v="Region 04 Palembang"/>
    <s v="UNIT PANGKAL PINANG III"/>
    <s v="Associate"/>
    <s v="KC Pangkal Pinang"/>
    <x v="155"/>
    <s v="Kontrak Teller/CS"/>
  </r>
  <r>
    <s v="K534420125"/>
    <x v="0"/>
    <n v="379389"/>
    <s v="UN"/>
    <s v="Dinda Marsya Fahira"/>
    <s v="Customer Service"/>
    <s v="U_7142_SOEKARNO HATTA PANGKALPINANG"/>
    <s v="Region 04 Palembang"/>
    <s v="UNIT SOEKARNO HATTA PANGKALPINANG"/>
    <s v="Associate"/>
    <s v="KC Pangkal Pinang"/>
    <x v="156"/>
    <s v="Kontrak Teller/CS"/>
  </r>
  <r>
    <s v="K608350025"/>
    <x v="0"/>
    <n v="389764"/>
    <s v="UN"/>
    <s v="Lora Aprilia"/>
    <s v="Customer Service"/>
    <s v="U_3397_PANGKAL PINANG I"/>
    <s v="Region 04 Palembang"/>
    <s v="UNIT PANGKAL PINANG I"/>
    <s v="Associate"/>
    <s v="KC Pangkal Pinang"/>
    <x v="154"/>
    <s v="Kontrak Teller/CS"/>
  </r>
  <r>
    <s v="K613220125"/>
    <x v="0"/>
    <n v="390766"/>
    <s v="UN"/>
    <s v="Putri Zeta Nofarrani"/>
    <s v="Customer Service"/>
    <s v="U_5766_PANGKAL PINANG III"/>
    <s v="Region 04 Palembang"/>
    <s v="UNIT PANGKAL PINANG III"/>
    <s v="Associate"/>
    <s v="KC Pangkal Pinang"/>
    <x v="155"/>
    <s v="Kontrak Teller/CS"/>
  </r>
  <r>
    <s v="K613239925"/>
    <x v="0"/>
    <n v="390767"/>
    <s v="UN"/>
    <s v="Riza Agustina"/>
    <s v="Customer Service"/>
    <s v="U_3696_TOBOALI"/>
    <s v="Region 04 Palembang"/>
    <s v="UNIT TOBOALI"/>
    <s v="Associate"/>
    <s v="KC Pangkal Pinang"/>
    <x v="157"/>
    <s v="Kontrak Teller/CS"/>
  </r>
  <r>
    <s v="-"/>
    <x v="0"/>
    <n v="404609"/>
    <s v="UN"/>
    <s v="Rara Mutia"/>
    <s v="Customer Service"/>
    <s v="U_5764_KOBA"/>
    <s v="Region 04 Palembang"/>
    <s v="UNIT KOBA"/>
    <s v="Associate"/>
    <s v="KC Pangkal Pinang"/>
    <x v="153"/>
    <s v="Kontrak Teller/CS"/>
  </r>
  <r>
    <s v="-"/>
    <x v="0"/>
    <n v="405112"/>
    <s v="UN"/>
    <s v="Aryana Faziroh"/>
    <s v="Customer Service"/>
    <s v="U_7141_AIR ITAM"/>
    <s v="Region 04 Palembang"/>
    <s v="UNIT AIR ITAM"/>
    <s v="Associate"/>
    <s v="KC Pangkal Pinang"/>
    <x v="158"/>
    <s v="Kontrak Teller/CS"/>
  </r>
  <r>
    <s v="-"/>
    <x v="0"/>
    <n v="405131"/>
    <s v="UN"/>
    <s v="Deianeira Danah Zhafirah"/>
    <s v="Customer Service"/>
    <s v="U_3696_TOBOALI"/>
    <s v="Region 04 Palembang"/>
    <s v="UNIT TOBOALI"/>
    <s v="Associate"/>
    <s v="KC Pangkal Pinang"/>
    <x v="157"/>
    <s v="Kontrak Teller/CS"/>
  </r>
  <r>
    <s v="-"/>
    <x v="0"/>
    <n v="412305"/>
    <s v="UN"/>
    <s v="Dwi Vita Sari"/>
    <s v="Customer Service"/>
    <s v="U_7690_TUKAK SADAI"/>
    <s v="Region 04 Palembang"/>
    <s v="UNIT TUKAK SADAI"/>
    <s v="Associate"/>
    <s v="KC Pangkal Pinang"/>
    <x v="159"/>
    <s v="Kontrak Teller/CS"/>
  </r>
  <r>
    <s v="-"/>
    <x v="0"/>
    <n v="413604"/>
    <s v="UN"/>
    <s v="Nabila Jannatul Putri"/>
    <s v="Customer Service"/>
    <s v="U_5767_PAYUNG"/>
    <s v="Region 04 Palembang"/>
    <s v="UNIT PAYUNG"/>
    <s v="Associate"/>
    <s v="KC Pangkal Pinang"/>
    <x v="152"/>
    <s v="Kontrak Teller/CS"/>
  </r>
  <r>
    <s v="M326260225"/>
    <x v="1"/>
    <n v="389741"/>
    <s v="UN"/>
    <s v="Wiko Ardianto"/>
    <s v="Teller"/>
    <s v="U_3696_TOBOALI"/>
    <s v="Region 04 Palembang"/>
    <s v="UNIT TOBOALI"/>
    <s v="Associate"/>
    <s v="KC Pangkal Pinang"/>
    <x v="157"/>
    <s v="Peserta Magang"/>
  </r>
  <r>
    <s v="M326280225"/>
    <x v="1"/>
    <n v="389743"/>
    <s v="UN"/>
    <s v="Djandika Bagaskara"/>
    <s v="Teller"/>
    <s v="U_3397_PANGKAL PINANG I"/>
    <s v="Region 04 Palembang"/>
    <s v="UNIT PANGKAL PINANG I"/>
    <s v="Associate"/>
    <s v="KC Pangkal Pinang"/>
    <x v="154"/>
    <s v="Peserta Magang"/>
  </r>
  <r>
    <s v="M329050325"/>
    <x v="1"/>
    <n v="390721"/>
    <s v="UN"/>
    <s v="Resvy Ladita Sari"/>
    <s v="Teller"/>
    <s v="U_5766_PANGKAL PINANG III"/>
    <s v="Region 04 Palembang"/>
    <s v="UNIT PANGKAL PINANG III"/>
    <s v="Associate"/>
    <s v="KC Pangkal Pinang"/>
    <x v="155"/>
    <s v="Peserta Magang"/>
  </r>
  <r>
    <s v="M329060325"/>
    <x v="1"/>
    <n v="390722"/>
    <s v="UN"/>
    <s v="Wulandari"/>
    <s v="Teller"/>
    <s v="U_7141_AIR ITAM"/>
    <s v="Region 04 Palembang"/>
    <s v="UNIT AIR ITAM"/>
    <s v="Associate"/>
    <s v="KC Pangkal Pinang"/>
    <x v="158"/>
    <s v="Peserta Magang"/>
  </r>
  <r>
    <n v="0"/>
    <x v="1"/>
    <n v="397559"/>
    <s v="UN"/>
    <s v="Agnetha Bernadetha Hasibuan"/>
    <s v="Teller"/>
    <s v="U_5765_PANGKAL PINANG II"/>
    <s v="Region 04 Palembang"/>
    <s v="UNIT PANGKAL PINANG II"/>
    <s v="Associate"/>
    <s v="KC Pangkal Pinang"/>
    <x v="150"/>
    <s v="Peserta Magang"/>
  </r>
  <r>
    <n v="0"/>
    <x v="1"/>
    <n v="399888"/>
    <s v="UN"/>
    <s v="Surya Adi Pratama"/>
    <s v="Teller"/>
    <s v="U_5767_PAYUNG"/>
    <s v="Region 04 Palembang"/>
    <s v="UNIT PAYUNG"/>
    <s v="Associate"/>
    <s v="KC Pangkal Pinang"/>
    <x v="152"/>
    <s v="Peserta Magang"/>
  </r>
  <r>
    <s v="-"/>
    <x v="1"/>
    <n v="405033"/>
    <s v="UN"/>
    <s v="Vira Eka Putri"/>
    <s v="Teller"/>
    <s v="U_7142_SOEKARNO HATTA PANGKALPINANG"/>
    <s v="Region 04 Palembang"/>
    <s v="UNIT SOEKARNO HATTA PANGKALPINANG"/>
    <s v="Associate"/>
    <s v="KC Pangkal Pinang"/>
    <x v="156"/>
    <s v="Kontrak Teller/CS"/>
  </r>
  <r>
    <n v="0"/>
    <x v="1"/>
    <n v="405201"/>
    <s v="UN"/>
    <s v="Reo Pratama"/>
    <s v="Teller"/>
    <s v="U_5764_KOBA"/>
    <s v="Region 04 Palembang"/>
    <s v="UNIT KOBA"/>
    <s v="Associate"/>
    <s v="KC Pangkal Pinang"/>
    <x v="153"/>
    <s v="Peserta Magang"/>
  </r>
  <r>
    <n v="0"/>
    <x v="1"/>
    <n v="408568"/>
    <s v="UN"/>
    <s v="Agung Pebrianto"/>
    <s v="Teller"/>
    <s v="U_7690_TUKAK SADAI"/>
    <s v="Region 04 Palembang"/>
    <s v="UNIT TUKAK SADAI"/>
    <s v="Associate"/>
    <s v="KC Pangkal Pinang"/>
    <x v="159"/>
    <s v="Peserta Magang"/>
  </r>
  <r>
    <n v="0"/>
    <x v="1"/>
    <n v="413684"/>
    <s v="UN"/>
    <s v="Adinda Okta Olivia"/>
    <s v="Teller"/>
    <s v="U_5767_PAYUNG"/>
    <s v="Region 04 Palembang"/>
    <s v="UNIT PAYUNG"/>
    <s v="Associate"/>
    <s v="KC Pangkal Pinang"/>
    <x v="152"/>
    <s v="Peserta Magang"/>
  </r>
  <r>
    <n v="0"/>
    <x v="1"/>
    <n v="413687"/>
    <s v="UN"/>
    <s v="Ayu Meidah"/>
    <s v="Teller"/>
    <s v="U_7691_KERAMAT JAYA"/>
    <s v="Region 04 Palembang"/>
    <s v="UNIT KERAMAT JAYA"/>
    <s v="Associate"/>
    <s v="KC Pangkal Pinang"/>
    <x v="151"/>
    <s v="Peserta Magang"/>
  </r>
  <r>
    <n v="0"/>
    <x v="1"/>
    <n v="413698"/>
    <s v="UN"/>
    <s v="Virginia Faradisa"/>
    <s v="Teller"/>
    <s v="U_5764_KOBA"/>
    <s v="Region 04 Palembang"/>
    <s v="UNIT KOBA"/>
    <s v="Associate"/>
    <s v="KC Pangkal Pinang"/>
    <x v="153"/>
    <s v="Peserta Magang"/>
  </r>
  <r>
    <s v="K173099723"/>
    <x v="0"/>
    <n v="328643"/>
    <s v="UN"/>
    <s v="Amanda Risma Apriani"/>
    <s v="Customer Service"/>
    <s v="U_7499_LEMBAK"/>
    <s v="Region 04 Palembang"/>
    <s v="UNIT LEMBAK"/>
    <s v="Associate"/>
    <s v="KC Prabumulih"/>
    <x v="160"/>
    <s v="Kontrak Teller/CS"/>
  </r>
  <r>
    <s v="K173959823"/>
    <x v="0"/>
    <n v="328647"/>
    <s v="UN"/>
    <s v="Putri Marina Lestari"/>
    <s v="Customer Service"/>
    <s v="U_7108_TANAH ABANG"/>
    <s v="Region 04 Palembang"/>
    <s v="UNIT TANAH ABANG"/>
    <s v="Associate"/>
    <s v="KC Prabumulih"/>
    <x v="161"/>
    <s v="Kontrak Teller/CS"/>
  </r>
  <r>
    <s v="K249149723"/>
    <x v="0"/>
    <n v="335506"/>
    <s v="UN"/>
    <s v="Wiwin Winarti"/>
    <s v="Customer Service"/>
    <s v="U_5768_GELUMBANG"/>
    <s v="Region 04 Palembang"/>
    <s v="UNIT GELUMBANG"/>
    <s v="Associate"/>
    <s v="KC Prabumulih"/>
    <x v="162"/>
    <s v="Kontrak Teller/CS"/>
  </r>
  <r>
    <s v="K317359823"/>
    <x v="0"/>
    <n v="339828"/>
    <s v="UN"/>
    <s v="Dinda"/>
    <s v="Customer Service"/>
    <s v="U_5770_RAMBANG DANGKU"/>
    <s v="Region 04 Palembang"/>
    <s v="UNIT RAMBANG DANGKU"/>
    <s v="Associate"/>
    <s v="KC Prabumulih"/>
    <x v="163"/>
    <s v="Kontrak Teller/CS"/>
  </r>
  <r>
    <s v="K423369724"/>
    <x v="0"/>
    <n v="356738"/>
    <s v="UN"/>
    <s v="Warni Juniarti"/>
    <s v="Customer Service"/>
    <s v="U_5768_GELUMBANG"/>
    <s v="Region 04 Palembang"/>
    <s v="UNIT GELUMBANG"/>
    <s v="Associate"/>
    <s v="KC Prabumulih"/>
    <x v="162"/>
    <s v="Kontrak Teller/CS"/>
  </r>
  <r>
    <s v="K507930024"/>
    <x v="0"/>
    <n v="373421"/>
    <s v="UN"/>
    <s v="Fiani Rizki Aulia"/>
    <s v="Customer Service"/>
    <s v="U_3556_KOTA PRABUMULIH"/>
    <s v="Region 04 Palembang"/>
    <s v="UNIT KOTA PRABUMULIH"/>
    <s v="Associate"/>
    <s v="KC Prabumulih"/>
    <x v="164"/>
    <s v="Kontrak Teller/CS"/>
  </r>
  <r>
    <s v="K514349924"/>
    <x v="0"/>
    <n v="374173"/>
    <s v="UN"/>
    <s v="M. Rafli Prasetya"/>
    <s v="Customer Service"/>
    <s v="U_5770_RAMBANG DANGKU"/>
    <s v="Region 04 Palembang"/>
    <s v="UNIT RAMBANG DANGKU"/>
    <s v="Associate"/>
    <s v="KC Prabumulih"/>
    <x v="163"/>
    <s v="Kontrak Teller/CS"/>
  </r>
  <r>
    <s v="K522900225"/>
    <x v="0"/>
    <n v="376107"/>
    <s v="UN"/>
    <s v="Aryulita Indah Sari"/>
    <s v="Customer Service"/>
    <s v="U_8099_BERINGIN"/>
    <s v="Region 04 Palembang"/>
    <s v="UNIT BERINGIN"/>
    <s v="Associate"/>
    <s v="KC Prabumulih"/>
    <x v="165"/>
    <s v="Kontrak Teller/CS"/>
  </r>
  <r>
    <s v="K534330025"/>
    <x v="0"/>
    <n v="379375"/>
    <s v="UN"/>
    <s v="Destri Ramadhani"/>
    <s v="Customer Service"/>
    <s v="U_5726_CINTA KASIH"/>
    <s v="Region 04 Palembang"/>
    <s v="UNIT CINTA KASIH"/>
    <s v="Associate"/>
    <s v="KC Prabumulih"/>
    <x v="166"/>
    <s v="Kontrak Teller/CS"/>
  </r>
  <r>
    <s v="K562020125"/>
    <x v="0"/>
    <n v="384996"/>
    <s v="UN"/>
    <s v="Winda Shafira"/>
    <s v="Customer Service"/>
    <s v="U_3556_KOTA PRABUMULIH"/>
    <s v="Region 04 Palembang"/>
    <s v="UNIT KOTA PRABUMULIH"/>
    <s v="Associate"/>
    <s v="KC Prabumulih"/>
    <x v="164"/>
    <s v="Kontrak Teller/CS"/>
  </r>
  <r>
    <s v="K617590325"/>
    <x v="0"/>
    <n v="391801"/>
    <s v="UN"/>
    <s v="Melani"/>
    <s v="Customer Service"/>
    <s v="U_5769_KOTA PRABUMULIH 2"/>
    <s v="Region 04 Palembang"/>
    <s v="UNIT KOTA PRABUMULIH 2"/>
    <s v="Associate"/>
    <s v="KC Prabumulih"/>
    <x v="167"/>
    <s v="Kontrak Teller/CS"/>
  </r>
  <r>
    <s v="K617610125"/>
    <x v="0"/>
    <n v="391804"/>
    <s v="UN"/>
    <s v="Eka Mutiara"/>
    <s v="Customer Service"/>
    <s v="U_7044_BABAT"/>
    <s v="Region 04 Palembang"/>
    <s v="UNIT BABAT"/>
    <s v="Associate"/>
    <s v="KC Prabumulih"/>
    <x v="168"/>
    <s v="Kontrak Teller/CS"/>
  </r>
  <r>
    <s v="-"/>
    <x v="0"/>
    <n v="406881"/>
    <s v="UN"/>
    <s v="M Rendy Putra Pratama"/>
    <s v="Customer Service"/>
    <s v="U_8099_BERINGIN"/>
    <s v="Region 04 Palembang"/>
    <s v="UNIT BERINGIN"/>
    <s v="Associate"/>
    <s v="KC Prabumulih"/>
    <x v="165"/>
    <s v="Kontrak Teller/CS"/>
  </r>
  <r>
    <s v="-"/>
    <x v="0"/>
    <n v="406884"/>
    <s v="UN"/>
    <s v="Marisya"/>
    <s v="Customer Service"/>
    <s v="U_3557_PENDOPO PRABUMULIH"/>
    <s v="Region 04 Palembang"/>
    <s v="UNIT PENDOPO PRABUMULIH"/>
    <s v="Associate"/>
    <s v="KC Prabumulih"/>
    <x v="169"/>
    <s v="Kontrak Teller/CS"/>
  </r>
  <r>
    <s v="-"/>
    <x v="0"/>
    <n v="406885"/>
    <s v="UN"/>
    <s v="Bela Saptira"/>
    <s v="Customer Service"/>
    <s v="U_7044_BABAT"/>
    <s v="Region 04 Palembang"/>
    <s v="UNIT BABAT"/>
    <s v="Associate"/>
    <s v="KC Prabumulih"/>
    <x v="168"/>
    <s v="Kontrak Teller/CS"/>
  </r>
  <r>
    <s v="M279600225"/>
    <x v="1"/>
    <n v="377076"/>
    <s v="UN"/>
    <s v="Arfanira Prakisya Wibowo"/>
    <s v="Teller"/>
    <s v="U_3556_KOTA PRABUMULIH"/>
    <s v="Region 04 Palembang"/>
    <s v="UNIT KOTA PRABUMULIH"/>
    <s v="Associate"/>
    <s v="KC Prabumulih"/>
    <x v="164"/>
    <s v="Peserta Magang"/>
  </r>
  <r>
    <s v="M279620225"/>
    <x v="1"/>
    <n v="377078"/>
    <s v="UN"/>
    <s v="Jihan Farah Naila"/>
    <s v="Teller"/>
    <s v="U_7108_TANAH ABANG"/>
    <s v="Region 04 Palembang"/>
    <s v="UNIT TANAH ABANG"/>
    <s v="Associate"/>
    <s v="KC Prabumulih"/>
    <x v="161"/>
    <s v="Peserta Magang"/>
  </r>
  <r>
    <s v="M279630225"/>
    <x v="1"/>
    <n v="377079"/>
    <s v="UN"/>
    <s v="Dhea Rahma Saniyyah"/>
    <s v="Teller"/>
    <s v="U_5726_CINTA KASIH"/>
    <s v="Region 04 Palembang"/>
    <s v="UNIT CINTA KASIH"/>
    <s v="Associate"/>
    <s v="KC Prabumulih"/>
    <x v="166"/>
    <s v="Peserta Magang"/>
  </r>
  <r>
    <s v="M288480325"/>
    <x v="1"/>
    <n v="379490"/>
    <s v="UN"/>
    <s v="Rusmala Juwita"/>
    <s v="Teller"/>
    <s v="U_5768_GELUMBANG"/>
    <s v="Region 04 Palembang"/>
    <s v="UNIT GELUMBANG"/>
    <s v="Associate"/>
    <s v="KC Prabumulih"/>
    <x v="162"/>
    <s v="Peserta Magang"/>
  </r>
  <r>
    <s v="M303100225"/>
    <x v="1"/>
    <n v="384536"/>
    <s v="UN"/>
    <s v="Alika Cahaya Sukma"/>
    <s v="Teller"/>
    <s v="U_3556_KOTA PRABUMULIH"/>
    <s v="Region 04 Palembang"/>
    <s v="UNIT KOTA PRABUMULIH"/>
    <s v="Associate"/>
    <s v="KC Prabumulih"/>
    <x v="164"/>
    <s v="Peserta Magang"/>
  </r>
  <r>
    <s v="M303110225"/>
    <x v="1"/>
    <n v="384537"/>
    <s v="UN"/>
    <s v="Andini Lehadis Azzamarti"/>
    <s v="Teller"/>
    <s v="U_5769_KOTA PRABUMULIH 2"/>
    <s v="Region 04 Palembang"/>
    <s v="UNIT KOTA PRABUMULIH 2"/>
    <s v="Associate"/>
    <s v="KC Prabumulih"/>
    <x v="167"/>
    <s v="Peserta Magang"/>
  </r>
  <r>
    <s v="M309960225"/>
    <x v="1"/>
    <n v="386902"/>
    <s v="UN"/>
    <s v="Siti Chairunnisa"/>
    <s v="Teller"/>
    <s v="U_7499_LEMBAK"/>
    <s v="Region 04 Palembang"/>
    <s v="UNIT LEMBAK"/>
    <s v="Associate"/>
    <s v="KC Prabumulih"/>
    <x v="160"/>
    <s v="Peserta Magang"/>
  </r>
  <r>
    <s v="M335940225"/>
    <x v="1"/>
    <n v="393367"/>
    <s v="UN"/>
    <s v="Desy Eljhellina Sianturi"/>
    <s v="Teller"/>
    <s v="U_5770_RAMBANG DANGKU"/>
    <s v="Region 04 Palembang"/>
    <s v="UNIT RAMBANG DANGKU"/>
    <s v="Associate"/>
    <s v="KC Prabumulih"/>
    <x v="163"/>
    <s v="Peserta Magang"/>
  </r>
  <r>
    <s v="M335950125"/>
    <x v="1"/>
    <n v="393368"/>
    <s v="UN"/>
    <s v="Selvi Meysela"/>
    <s v="Teller"/>
    <s v="U_8099_BERINGIN"/>
    <s v="Region 04 Palembang"/>
    <s v="UNIT BERINGIN"/>
    <s v="Associate"/>
    <s v="KC Prabumulih"/>
    <x v="165"/>
    <s v="Peserta Magang"/>
  </r>
  <r>
    <s v="M335990725"/>
    <x v="1"/>
    <n v="393372"/>
    <s v="UN"/>
    <s v="Amelya Kheisha Kirana"/>
    <s v="Teller"/>
    <s v="U_3557_PENDOPO PRABUMULIH"/>
    <s v="Region 04 Palembang"/>
    <s v="UNIT PENDOPO PRABUMULIH"/>
    <s v="Associate"/>
    <s v="KC Prabumulih"/>
    <x v="169"/>
    <s v="Peserta Magang"/>
  </r>
  <r>
    <n v="0"/>
    <x v="1"/>
    <n v="406883"/>
    <s v="UN"/>
    <s v="Rosa Amelia"/>
    <s v="Teller"/>
    <s v="U_7044_BABAT"/>
    <s v="Region 04 Palembang"/>
    <s v="UNIT BABAT"/>
    <s v="Associate"/>
    <s v="KC Prabumulih"/>
    <x v="168"/>
    <s v="Peserta Magang"/>
  </r>
  <r>
    <n v="0"/>
    <x v="1"/>
    <n v="406887"/>
    <s v="UN"/>
    <s v="Jimi Pramana"/>
    <s v="Teller"/>
    <s v="U_5768_GELUMBANG"/>
    <s v="Region 04 Palembang"/>
    <s v="UNIT GELUMBANG"/>
    <s v="Associate"/>
    <s v="KC Prabumulih"/>
    <x v="162"/>
    <s v="Peserta Magang"/>
  </r>
  <r>
    <n v="0"/>
    <x v="1"/>
    <n v="407081"/>
    <s v="UN"/>
    <s v="Dziihiiraa Sazia Abila"/>
    <s v="Teller"/>
    <s v="U_5769_KOTA PRABUMULIH 2"/>
    <s v="Region 04 Palembang"/>
    <s v="UNIT KOTA PRABUMULIH 2"/>
    <s v="Associate"/>
    <s v="KC Prabumulih"/>
    <x v="167"/>
    <s v="Peserta Magang"/>
  </r>
  <r>
    <s v="K347459823"/>
    <x v="0"/>
    <n v="344641"/>
    <s v="UN"/>
    <s v="Asa Alamanda"/>
    <s v="Customer Service"/>
    <s v="U_5725_SUNGAI BENGKAL"/>
    <s v="Region 04 Palembang"/>
    <s v="UNIT SUNGAI BENGKAL"/>
    <s v="Associate"/>
    <s v="KC Rimbo Bujang"/>
    <x v="170"/>
    <s v="Kontrak Teller/CS"/>
  </r>
  <r>
    <s v="K401949823"/>
    <x v="0"/>
    <n v="350301"/>
    <s v="UN"/>
    <s v="Fristy Yamitya Irana"/>
    <s v="Customer Service"/>
    <s v="U_7360_PULAU TEMIANG"/>
    <s v="Region 04 Palembang"/>
    <s v="UNIT PULAU TEMIANG"/>
    <s v="Associate"/>
    <s v="KC Rimbo Bujang"/>
    <x v="171"/>
    <s v="Kontrak Teller/CS"/>
  </r>
  <r>
    <s v="K462679924"/>
    <x v="0"/>
    <n v="365586"/>
    <s v="UN"/>
    <s v="Novita Apriani"/>
    <s v="Customer Service"/>
    <s v="U_3395_RIMBO BUJANG"/>
    <s v="Region 04 Palembang"/>
    <s v="UNIT RIMBO BUJANG"/>
    <s v="Associate"/>
    <s v="KC Rimbo Bujang"/>
    <x v="172"/>
    <s v="Kontrak Teller/CS"/>
  </r>
  <r>
    <s v="K462689824"/>
    <x v="0"/>
    <n v="365587"/>
    <s v="UN"/>
    <s v="Meissy Filyani"/>
    <s v="Customer Service"/>
    <s v="U_3554_MUARA TEBO"/>
    <s v="Region 04 Palembang"/>
    <s v="UNIT MUARA TEBO"/>
    <s v="Associate"/>
    <s v="KC Rimbo Bujang"/>
    <x v="173"/>
    <s v="Kontrak Teller/CS"/>
  </r>
  <r>
    <s v="K525400025"/>
    <x v="0"/>
    <n v="376945"/>
    <s v="UN"/>
    <s v="Ferina Hepsari Pasaribu"/>
    <s v="Customer Service"/>
    <s v="U_3554_MUARA TEBO"/>
    <s v="Region 04 Palembang"/>
    <s v="UNIT MUARA TEBO"/>
    <s v="Associate"/>
    <s v="KC Rimbo Bujang"/>
    <x v="173"/>
    <s v="Kontrak Teller/CS"/>
  </r>
  <r>
    <s v="K602640125"/>
    <x v="0"/>
    <n v="388353"/>
    <s v="UN"/>
    <s v="M. Aldo Fajrian Sabli"/>
    <s v="Customer Service"/>
    <s v="U_8162_SARI MULYA"/>
    <s v="Region 04 Palembang"/>
    <s v="UNIT SARI MULYA"/>
    <s v="Associate"/>
    <s v="KC Rimbo Bujang"/>
    <x v="174"/>
    <s v="Kontrak Teller/CS"/>
  </r>
  <r>
    <s v="K602650125"/>
    <x v="0"/>
    <n v="388354"/>
    <s v="UN"/>
    <s v="Aulani Nurul Faizah"/>
    <s v="Customer Service"/>
    <s v="U_7178_RIMBO ULU"/>
    <s v="Region 04 Palembang"/>
    <s v="UNIT RIMBO ULU"/>
    <s v="Associate"/>
    <s v="KC Rimbo Bujang"/>
    <x v="175"/>
    <s v="Kontrak Teller/CS"/>
  </r>
  <r>
    <s v="K623470225"/>
    <x v="0"/>
    <n v="392964"/>
    <s v="UN"/>
    <s v="Ana Tasya Putri Mariska"/>
    <s v="Customer Service"/>
    <s v="U_7360_PULAU TEMIANG"/>
    <s v="Region 04 Palembang"/>
    <s v="UNIT PULAU TEMIANG"/>
    <s v="Associate"/>
    <s v="KC Rimbo Bujang"/>
    <x v="171"/>
    <s v="Kontrak Teller/CS"/>
  </r>
  <r>
    <s v="-"/>
    <x v="0"/>
    <n v="397988"/>
    <s v="UN"/>
    <s v="Dinda Melinda"/>
    <s v="Customer Service"/>
    <s v="U_3395_RIMBO BUJANG"/>
    <s v="Region 04 Palembang"/>
    <s v="UNIT RIMBO BUJANG"/>
    <s v="Associate"/>
    <s v="KC Rimbo Bujang"/>
    <x v="172"/>
    <s v="Kontrak Teller/CS"/>
  </r>
  <r>
    <s v="-"/>
    <x v="0"/>
    <n v="403533"/>
    <s v="UN"/>
    <s v="Chintia Renata Putri"/>
    <s v="Customer Service"/>
    <s v="U_5725_SUNGAI BENGKAL"/>
    <s v="Region 04 Palembang"/>
    <s v="UNIT SUNGAI BENGKAL"/>
    <s v="Associate"/>
    <s v="KC Rimbo Bujang"/>
    <x v="170"/>
    <s v="Kontrak Teller/CS"/>
  </r>
  <r>
    <s v="-"/>
    <x v="0"/>
    <n v="408235"/>
    <s v="UN"/>
    <s v="Regitha Nur Sari"/>
    <s v="Customer Service"/>
    <s v="U_7178_RIMBO ULU"/>
    <s v="Region 04 Palembang"/>
    <s v="UNIT RIMBO ULU"/>
    <s v="Associate"/>
    <s v="KC Rimbo Bujang"/>
    <x v="175"/>
    <s v="Kontrak Teller/CS"/>
  </r>
  <r>
    <s v="M317150125"/>
    <x v="1"/>
    <n v="385235"/>
    <s v="UN"/>
    <s v="David Qomaludin"/>
    <s v="Teller"/>
    <s v="U_7178_RIMBO ULU"/>
    <s v="Region 04 Palembang"/>
    <s v="UNIT RIMBO ULU"/>
    <s v="Associate"/>
    <s v="KC Rimbo Bujang"/>
    <x v="175"/>
    <s v="Peserta Magang"/>
  </r>
  <r>
    <s v="M322700225"/>
    <x v="1"/>
    <n v="388546"/>
    <s v="UN"/>
    <s v="Risma Wulansari"/>
    <s v="Teller"/>
    <s v="U_5725_SUNGAI BENGKAL"/>
    <s v="Region 04 Palembang"/>
    <s v="UNIT SUNGAI BENGKAL"/>
    <s v="Associate"/>
    <s v="KC Rimbo Bujang"/>
    <x v="170"/>
    <s v="Peserta Magang"/>
  </r>
  <r>
    <s v="M334570225"/>
    <x v="1"/>
    <n v="392966"/>
    <s v="UN"/>
    <s v="Viva Westi"/>
    <s v="Teller"/>
    <s v="U_8162_SARI MULYA"/>
    <s v="Region 04 Palembang"/>
    <s v="UNIT SARI MULYA"/>
    <s v="Associate"/>
    <s v="KC Rimbo Bujang"/>
    <x v="174"/>
    <s v="Peserta Magang"/>
  </r>
  <r>
    <n v="0"/>
    <x v="1"/>
    <n v="398100"/>
    <s v="UN"/>
    <s v="Siti Aisah"/>
    <s v="Teller"/>
    <s v="U_3395_RIMBO BUJANG"/>
    <s v="Region 04 Palembang"/>
    <s v="UNIT RIMBO BUJANG"/>
    <s v="Associate"/>
    <s v="KC Rimbo Bujang"/>
    <x v="172"/>
    <s v="Peserta Magang"/>
  </r>
  <r>
    <n v="0"/>
    <x v="1"/>
    <n v="398101"/>
    <s v="UN"/>
    <s v="Dicky Saputra Sinaga"/>
    <s v="Teller"/>
    <s v="U_7360_PULAU TEMIANG"/>
    <s v="Region 04 Palembang"/>
    <s v="UNIT PULAU TEMIANG"/>
    <s v="Associate"/>
    <s v="KC Rimbo Bujang"/>
    <x v="171"/>
    <s v="Peserta Magang"/>
  </r>
  <r>
    <n v="0"/>
    <x v="1"/>
    <n v="408236"/>
    <s v="UN"/>
    <s v="Diana Sarah"/>
    <s v="Teller"/>
    <s v="U_3554_MUARA TEBO"/>
    <s v="Region 04 Palembang"/>
    <s v="UNIT MUARA TEBO"/>
    <s v="Associate"/>
    <s v="KC Rimbo Bujang"/>
    <x v="173"/>
    <s v="Peserta Magang"/>
  </r>
  <r>
    <n v="0"/>
    <x v="1"/>
    <n v="408295"/>
    <s v="UN"/>
    <s v="Alvin Denaldy Syafutra"/>
    <s v="Teller"/>
    <s v="U_3395_RIMBO BUJANG"/>
    <s v="Region 04 Palembang"/>
    <s v="UNIT RIMBO BUJANG"/>
    <s v="Associate"/>
    <s v="KC Rimbo Bujang"/>
    <x v="172"/>
    <s v="Peserta Magang"/>
  </r>
  <r>
    <n v="0"/>
    <x v="1"/>
    <n v="409241"/>
    <s v="UN"/>
    <s v="Nadya Grasella Putri"/>
    <s v="Teller"/>
    <s v="U_5725_SUNGAI BENGKAL"/>
    <s v="Region 04 Palembang"/>
    <s v="UNIT SUNGAI BENGKAL"/>
    <s v="Associate"/>
    <s v="KC Rimbo Bujang"/>
    <x v="170"/>
    <s v="Peserta Magang"/>
  </r>
  <r>
    <s v="K406660124"/>
    <x v="0"/>
    <n v="354685"/>
    <s v="UN"/>
    <s v="Pikhe Nurjanah"/>
    <s v="Customer Service"/>
    <s v="U_7902_PAUH"/>
    <s v="Region 04 Palembang"/>
    <s v="UNIT PAUH"/>
    <s v="Associate"/>
    <s v="KC Sarolangun"/>
    <x v="176"/>
    <s v="Kontrak Teller/CS"/>
  </r>
  <r>
    <s v="K536140125"/>
    <x v="0"/>
    <n v="379861"/>
    <s v="UN"/>
    <s v="Shelvy Fajriah Nustar"/>
    <s v="Customer Service"/>
    <s v="U_8062_LIMBUR"/>
    <s v="Region 04 Palembang"/>
    <s v="UNIT LIMBUR"/>
    <s v="Associate"/>
    <s v="KC Sarolangun"/>
    <x v="177"/>
    <s v="Kontrak Teller/CS"/>
  </r>
  <r>
    <s v="K571350225"/>
    <x v="0"/>
    <n v="385238"/>
    <s v="UN"/>
    <s v="Selviana"/>
    <s v="Customer Service"/>
    <s v="U_7498_BUKIT SUBAN"/>
    <s v="Region 04 Palembang"/>
    <s v="UNIT BUKIT SUBAN"/>
    <s v="Associate"/>
    <s v="KC Sarolangun"/>
    <x v="178"/>
    <s v="Kontrak Teller/CS"/>
  </r>
  <r>
    <s v="K607759925"/>
    <x v="0"/>
    <n v="389660"/>
    <s v="UN"/>
    <s v="Irma Sapitri"/>
    <s v="Customer Service"/>
    <s v="U_3373_SAROLANGUN"/>
    <s v="Region 04 Palembang"/>
    <s v="UNIT SAROLANGUN"/>
    <s v="Associate"/>
    <s v="KC Sarolangun"/>
    <x v="179"/>
    <s v="Kontrak Teller/CS"/>
  </r>
  <r>
    <s v="K621530025"/>
    <x v="0"/>
    <n v="392515"/>
    <s v="UN"/>
    <s v="Rahmad Kresna Pratama"/>
    <s v="Customer Service"/>
    <s v="U_7101_MANDI ANGIN"/>
    <s v="Region 04 Palembang"/>
    <s v="UNIT MANDI ANGIN"/>
    <s v="Associate"/>
    <s v="KC Sarolangun"/>
    <x v="180"/>
    <s v="Kontrak Teller/CS"/>
  </r>
  <r>
    <s v="-"/>
    <x v="0"/>
    <n v="405706"/>
    <s v="UN"/>
    <s v="Devi Novita"/>
    <s v="Customer Service"/>
    <s v="U_5604_SINGKUT"/>
    <s v="Region 04 Palembang"/>
    <s v="UNIT SINGKUT"/>
    <s v="Associate"/>
    <s v="KC Sarolangun"/>
    <x v="181"/>
    <s v="Kontrak Teller/CS"/>
  </r>
  <r>
    <s v="M268720224"/>
    <x v="1"/>
    <n v="374168"/>
    <s v="UN"/>
    <s v="Della Julia Inggani"/>
    <s v="Teller"/>
    <s v="U_5604_SINGKUT"/>
    <s v="Region 04 Palembang"/>
    <s v="UNIT SINGKUT"/>
    <s v="Associate"/>
    <s v="KC Sarolangun"/>
    <x v="181"/>
    <s v="Peserta Magang"/>
  </r>
  <r>
    <s v="M268740224"/>
    <x v="1"/>
    <n v="374171"/>
    <s v="UN"/>
    <s v="Saripah Amira"/>
    <s v="Teller"/>
    <s v="U_7902_PAUH"/>
    <s v="Region 04 Palembang"/>
    <s v="UNIT PAUH"/>
    <s v="Associate"/>
    <s v="KC Sarolangun"/>
    <x v="176"/>
    <s v="Peserta Magang"/>
  </r>
  <r>
    <s v="M278230025"/>
    <x v="1"/>
    <n v="376687"/>
    <s v="UN"/>
    <s v="Oktaviani Syaputri Harefa"/>
    <s v="Teller"/>
    <s v="U_7498_BUKIT SUBAN"/>
    <s v="Region 04 Palembang"/>
    <s v="UNIT BUKIT SUBAN"/>
    <s v="Associate"/>
    <s v="KC Sarolangun"/>
    <x v="178"/>
    <s v="Peserta Magang"/>
  </r>
  <r>
    <s v="M336840125"/>
    <x v="1"/>
    <n v="393710"/>
    <s v="UN"/>
    <s v="Dini Wulandari"/>
    <s v="Teller"/>
    <s v="U_8062_LIMBUR"/>
    <s v="Region 04 Palembang"/>
    <s v="UNIT LIMBUR"/>
    <s v="Associate"/>
    <s v="KC Sarolangun"/>
    <x v="177"/>
    <s v="Peserta Magang"/>
  </r>
  <r>
    <s v="M336850225"/>
    <x v="1"/>
    <n v="393711"/>
    <s v="UN"/>
    <s v="Yona Toluna"/>
    <s v="Teller"/>
    <s v="U_3373_SAROLANGUN"/>
    <s v="Region 04 Palembang"/>
    <s v="UNIT SAROLANGUN"/>
    <s v="Associate"/>
    <s v="KC Sarolangun"/>
    <x v="179"/>
    <s v="Peserta Magang"/>
  </r>
  <r>
    <n v="0"/>
    <x v="1"/>
    <n v="397217"/>
    <s v="UN"/>
    <s v="M. Jian Subhi"/>
    <s v="Teller"/>
    <s v="U_7101_MANDI ANGIN"/>
    <s v="Region 04 Palembang"/>
    <s v="UNIT MANDI ANGIN"/>
    <s v="Associate"/>
    <s v="KC Sarolangun"/>
    <x v="180"/>
    <s v="Peserta Magang"/>
  </r>
  <r>
    <n v="0"/>
    <x v="1"/>
    <n v="411218"/>
    <s v="UN"/>
    <s v="Ulfatina"/>
    <s v="Teller"/>
    <s v="U_3373_SAROLANGUN"/>
    <s v="Region 04 Palembang"/>
    <s v="UNIT SAROLANGUN"/>
    <s v="Associate"/>
    <s v="KC Sarolangun"/>
    <x v="179"/>
    <s v="Peserta Magang"/>
  </r>
  <r>
    <s v="K174529723"/>
    <x v="0"/>
    <n v="328415"/>
    <s v="UN"/>
    <s v="Ana Oktapia"/>
    <s v="Customer Service"/>
    <s v="U_7186_KELUANG"/>
    <s v="Region 04 Palembang"/>
    <s v="UNIT KELUANG"/>
    <s v="Associate"/>
    <s v="KC Sekayu"/>
    <x v="182"/>
    <s v="Kontrak Teller/CS"/>
  </r>
  <r>
    <s v="K173259923"/>
    <x v="0"/>
    <n v="328421"/>
    <s v="UN"/>
    <s v="Mutia Dwi Marisna"/>
    <s v="Customer Service"/>
    <s v="U_5787_SEKAYU KOTA"/>
    <s v="Region 04 Palembang"/>
    <s v="UNIT SEKAYU KOTA"/>
    <s v="Associate"/>
    <s v="KC Sekayu"/>
    <x v="183"/>
    <s v="Kontrak Teller/CS"/>
  </r>
  <r>
    <s v="K273679923"/>
    <x v="0"/>
    <n v="338217"/>
    <s v="UN"/>
    <s v="Abdul Muthalib"/>
    <s v="Customer Service"/>
    <s v="U_3558_SUNGAI LILIN"/>
    <s v="Region 04 Palembang"/>
    <s v="UNIT SUNGAI LILIN"/>
    <s v="Associate"/>
    <s v="KC Sekayu"/>
    <x v="184"/>
    <s v="Kontrak Teller/CS"/>
  </r>
  <r>
    <s v="K368240023"/>
    <x v="0"/>
    <n v="346693"/>
    <s v="UN"/>
    <s v="Era Shunia Nadiya"/>
    <s v="Customer Service"/>
    <s v="U_5784_BETUNG"/>
    <s v="Region 04 Palembang"/>
    <s v="UNIT BETUNG"/>
    <s v="Associate"/>
    <s v="KC Sekayu"/>
    <x v="185"/>
    <s v="Kontrak Teller/CS"/>
  </r>
  <r>
    <s v="K460279924"/>
    <x v="0"/>
    <n v="365122"/>
    <s v="UN"/>
    <s v="Mutiara Aisyah"/>
    <s v="Customer Service"/>
    <s v="U_5787_SEKAYU KOTA"/>
    <s v="Region 04 Palembang"/>
    <s v="UNIT SEKAYU KOTA"/>
    <s v="Associate"/>
    <s v="KC Sekayu"/>
    <x v="183"/>
    <s v="Kontrak Teller/CS"/>
  </r>
  <r>
    <s v="K460280024"/>
    <x v="0"/>
    <n v="365125"/>
    <s v="UN"/>
    <s v="Marizka Amelia"/>
    <s v="Customer Service"/>
    <s v="U_7186_KELUANG"/>
    <s v="Region 04 Palembang"/>
    <s v="UNIT KELUANG"/>
    <s v="Associate"/>
    <s v="KC Sekayu"/>
    <x v="182"/>
    <s v="Kontrak Teller/CS"/>
  </r>
  <r>
    <s v="K506780024"/>
    <x v="0"/>
    <n v="373059"/>
    <s v="UN"/>
    <s v="Rega Aluvianti"/>
    <s v="Customer Service"/>
    <s v="U_5782_BABAT TOMAN"/>
    <s v="Region 04 Palembang"/>
    <s v="UNIT BABAT TOMAN"/>
    <s v="Associate"/>
    <s v="KC Sekayu"/>
    <x v="186"/>
    <s v="Kontrak Teller/CS"/>
  </r>
  <r>
    <s v="K506790124"/>
    <x v="0"/>
    <n v="373062"/>
    <s v="UN"/>
    <s v="Rukmana Sundari"/>
    <s v="Customer Service"/>
    <s v="U_5786_SANGA DESA"/>
    <s v="Region 04 Palembang"/>
    <s v="UNIT SANGA DESA"/>
    <s v="Associate"/>
    <s v="KC Sekayu"/>
    <x v="187"/>
    <s v="Kontrak Teller/CS"/>
  </r>
  <r>
    <s v="K512719924"/>
    <x v="0"/>
    <n v="373695"/>
    <s v="UN"/>
    <s v="Amaliah Dwi Putri"/>
    <s v="Customer Service"/>
    <s v="U_7196_SEMBAWA"/>
    <s v="Region 04 Palembang"/>
    <s v="UNIT SEMBAWA"/>
    <s v="Associate"/>
    <s v="KC Sekayu"/>
    <x v="188"/>
    <s v="Kontrak Teller/CS"/>
  </r>
  <r>
    <s v="K514639924"/>
    <x v="0"/>
    <n v="374297"/>
    <s v="UN"/>
    <s v="Lidya Pisattia Asih"/>
    <s v="Customer Service"/>
    <s v="U_7454_PLAKAT TINGGI"/>
    <s v="Region 04 Palembang"/>
    <s v="UNIT PLAKAT TINGGI"/>
    <s v="Associate"/>
    <s v="KC Sekayu"/>
    <x v="189"/>
    <s v="Kontrak Teller/CS"/>
  </r>
  <r>
    <s v="K531920225"/>
    <x v="0"/>
    <n v="378182"/>
    <s v="UN"/>
    <s v="Nava Audiya"/>
    <s v="Customer Service"/>
    <s v="U_5783_BAYUNG LENCIR"/>
    <s v="Region 04 Palembang"/>
    <s v="UNIT BAYUNG LENCIR"/>
    <s v="Associate"/>
    <s v="KC Sekayu"/>
    <x v="190"/>
    <s v="Kontrak Teller/CS"/>
  </r>
  <r>
    <s v="K612030225"/>
    <x v="0"/>
    <n v="390407"/>
    <s v="UN"/>
    <s v="Alya Salsa Putri"/>
    <s v="Customer Service"/>
    <s v="U_5785_PANGKALAN BALAI"/>
    <s v="Region 04 Palembang"/>
    <s v="UNIT PANGKALAN BALAI"/>
    <s v="Associate"/>
    <s v="KC Sekayu"/>
    <x v="191"/>
    <s v="Kontrak Teller/CS"/>
  </r>
  <r>
    <s v="K620910225"/>
    <x v="0"/>
    <n v="392399"/>
    <s v="UN"/>
    <s v="Andinie Destria"/>
    <s v="Customer Service"/>
    <s v="U_5783_BAYUNG LENCIR"/>
    <s v="Region 04 Palembang"/>
    <s v="UNIT BAYUNG LENCIR"/>
    <s v="Associate"/>
    <s v="KC Sekayu"/>
    <x v="190"/>
    <s v="Kontrak Teller/CS"/>
  </r>
  <r>
    <n v="0"/>
    <x v="0"/>
    <n v="399652"/>
    <s v="UN"/>
    <s v="Herina Putri Ananda"/>
    <s v="Customer Service"/>
    <s v="U_3558_SUNGAI LILIN"/>
    <s v="Region 04 Palembang"/>
    <s v="UNIT SUNGAI LILIN"/>
    <s v="Associate"/>
    <s v="KC Sekayu"/>
    <x v="184"/>
    <s v="Kontrak Teller/CS"/>
  </r>
  <r>
    <s v="-"/>
    <x v="0"/>
    <n v="405867"/>
    <s v="UN"/>
    <s v="Dzul Fadilla Amalisa"/>
    <s v="Customer Service"/>
    <s v="U_7454_PLAKAT TINGGI"/>
    <s v="Region 04 Palembang"/>
    <s v="UNIT PLAKAT TINGGI"/>
    <s v="Associate"/>
    <s v="KC Sekayu"/>
    <x v="189"/>
    <s v="Kontrak Teller/CS"/>
  </r>
  <r>
    <s v="-"/>
    <x v="0"/>
    <n v="407983"/>
    <s v="UN"/>
    <s v="Meriska Oktavia Boru Siringo Ringo"/>
    <s v="Customer Service"/>
    <s v="U_7671_PENINGGALAN"/>
    <s v="Region 04 Palembang"/>
    <s v="UNIT PENINGGALAN"/>
    <s v="Associate"/>
    <s v="KC Sekayu"/>
    <x v="192"/>
    <s v="Kontrak Teller/CS"/>
  </r>
  <r>
    <s v="-"/>
    <x v="0"/>
    <n v="407984"/>
    <s v="UN"/>
    <s v="Sania Febrianty Pratiwi"/>
    <s v="Customer Service"/>
    <s v="U_5785_PANGKALAN BALAI"/>
    <s v="Region 04 Palembang"/>
    <s v="UNIT PANGKALAN BALAI"/>
    <s v="Associate"/>
    <s v="KC Sekayu"/>
    <x v="191"/>
    <s v="Kontrak Teller/CS"/>
  </r>
  <r>
    <s v="-"/>
    <x v="0"/>
    <n v="408562"/>
    <s v="UN"/>
    <s v="Riska Wahyuni"/>
    <s v="Customer Service"/>
    <s v="U_5782_BABAT TOMAN"/>
    <s v="Region 04 Palembang"/>
    <s v="UNIT BABAT TOMAN"/>
    <s v="Associate"/>
    <s v="KC Sekayu"/>
    <x v="186"/>
    <s v="Kontrak Teller/CS"/>
  </r>
  <r>
    <s v="-"/>
    <x v="0"/>
    <n v="408563"/>
    <s v="UN"/>
    <s v="Laila Qodri"/>
    <s v="Customer Service"/>
    <s v="U_5784_BETUNG"/>
    <s v="Region 04 Palembang"/>
    <s v="UNIT BETUNG"/>
    <s v="Associate"/>
    <s v="KC Sekayu"/>
    <x v="185"/>
    <s v="Kontrak Teller/CS"/>
  </r>
  <r>
    <s v="-"/>
    <x v="0"/>
    <n v="410415"/>
    <s v="UN"/>
    <s v="Comrie Ihza Mahendra"/>
    <s v="Customer Service"/>
    <s v="U_7219_KAYU ARE"/>
    <s v="Region 04 Palembang"/>
    <s v="UNIT KAYU ARE"/>
    <s v="Associate"/>
    <s v="KC Sekayu"/>
    <x v="193"/>
    <s v="Kontrak Teller/CS"/>
  </r>
  <r>
    <s v="M283780225"/>
    <x v="1"/>
    <n v="378115"/>
    <s v="UN"/>
    <s v="Citra Melinda Putri"/>
    <s v="Teller"/>
    <s v="U_7186_KELUANG"/>
    <s v="Region 04 Palembang"/>
    <s v="UNIT KELUANG"/>
    <s v="Associate"/>
    <s v="KC Sekayu"/>
    <x v="182"/>
    <s v="Peserta Magang"/>
  </r>
  <r>
    <s v="M293630025"/>
    <x v="1"/>
    <n v="381526"/>
    <s v="UN"/>
    <s v="Rani Oktaviona"/>
    <s v="Teller"/>
    <s v="U_7671_PENINGGALAN"/>
    <s v="Region 04 Palembang"/>
    <s v="UNIT PENINGGALAN"/>
    <s v="Associate"/>
    <s v="KC Sekayu"/>
    <x v="192"/>
    <s v="Peserta Magang"/>
  </r>
  <r>
    <s v="M327890225"/>
    <x v="1"/>
    <n v="390408"/>
    <s v="UN"/>
    <s v="Azzarah Kanaya Putri"/>
    <s v="Teller"/>
    <s v="U_7196_SEMBAWA"/>
    <s v="Region 04 Palembang"/>
    <s v="UNIT SEMBAWA"/>
    <s v="Associate"/>
    <s v="KC Sekayu"/>
    <x v="188"/>
    <s v="Peserta Magang"/>
  </r>
  <r>
    <n v="0"/>
    <x v="1"/>
    <n v="399667"/>
    <s v="UN"/>
    <s v="Sherly Widya Kisti"/>
    <s v="Teller"/>
    <s v="U_5783_BAYUNG LENCIR"/>
    <s v="Region 04 Palembang"/>
    <s v="UNIT BAYUNG LENCIR"/>
    <s v="Associate"/>
    <s v="KC Sekayu"/>
    <x v="190"/>
    <s v="Peserta Magang"/>
  </r>
  <r>
    <n v="0"/>
    <x v="1"/>
    <n v="399668"/>
    <s v="UN"/>
    <s v="Astri Hidayanti"/>
    <s v="Teller"/>
    <s v="U_5784_BETUNG"/>
    <s v="Region 04 Palembang"/>
    <s v="UNIT BETUNG"/>
    <s v="Associate"/>
    <s v="KC Sekayu"/>
    <x v="185"/>
    <s v="Peserta Magang"/>
  </r>
  <r>
    <n v="0"/>
    <x v="1"/>
    <n v="399933"/>
    <s v="UN"/>
    <s v="Frieska Tri Wulandari"/>
    <s v="Teller"/>
    <s v="U_5782_BABAT TOMAN"/>
    <s v="Region 04 Palembang"/>
    <s v="UNIT BABAT TOMAN"/>
    <s v="Associate"/>
    <s v="KC Sekayu"/>
    <x v="186"/>
    <s v="Peserta Magang"/>
  </r>
  <r>
    <n v="0"/>
    <x v="1"/>
    <n v="400916"/>
    <s v="UN"/>
    <s v="Desna Habila"/>
    <s v="Teller"/>
    <s v="U_5787_SEKAYU KOTA"/>
    <s v="Region 04 Palembang"/>
    <s v="UNIT SEKAYU KOTA"/>
    <s v="Associate"/>
    <s v="KC Sekayu"/>
    <x v="183"/>
    <s v="Peserta Magang"/>
  </r>
  <r>
    <n v="0"/>
    <x v="1"/>
    <n v="400918"/>
    <s v="UN"/>
    <s v="Sandra Naya Thabita"/>
    <s v="Teller"/>
    <s v="U_3558_SUNGAI LILIN"/>
    <s v="Region 04 Palembang"/>
    <s v="UNIT SUNGAI LILIN"/>
    <s v="Associate"/>
    <s v="KC Sekayu"/>
    <x v="184"/>
    <s v="Peserta Magang"/>
  </r>
  <r>
    <n v="0"/>
    <x v="1"/>
    <n v="404634"/>
    <s v="UN"/>
    <s v="Radiansya"/>
    <s v="Teller"/>
    <s v="U_7454_PLAKAT TINGGI"/>
    <s v="Region 04 Palembang"/>
    <s v="UNIT PLAKAT TINGGI"/>
    <s v="Associate"/>
    <s v="KC Sekayu"/>
    <x v="189"/>
    <s v="Peserta Magang"/>
  </r>
  <r>
    <n v="0"/>
    <x v="1"/>
    <n v="404671"/>
    <s v="UN"/>
    <s v="Aurelia Eviolina Putri"/>
    <s v="Teller"/>
    <s v="U_7219_KAYU ARE"/>
    <s v="Region 04 Palembang"/>
    <s v="UNIT KAYU ARE"/>
    <s v="Associate"/>
    <s v="KC Sekayu"/>
    <x v="193"/>
    <s v="Peserta Magang"/>
  </r>
  <r>
    <n v="0"/>
    <x v="1"/>
    <n v="407217"/>
    <s v="UN"/>
    <s v="Yulianti Lesari"/>
    <s v="Teller"/>
    <s v="U_5786_SANGA DESA"/>
    <s v="Region 04 Palembang"/>
    <s v="UNIT SANGA DESA"/>
    <s v="Associate"/>
    <s v="KC Sekayu"/>
    <x v="187"/>
    <s v="Peserta Magang"/>
  </r>
  <r>
    <n v="0"/>
    <x v="1"/>
    <n v="407331"/>
    <s v="UN"/>
    <s v="Gilang Ramadhan"/>
    <s v="Teller"/>
    <s v="U_5784_BETUNG"/>
    <s v="Region 04 Palembang"/>
    <s v="UNIT BETUNG"/>
    <s v="Associate"/>
    <s v="KC Sekayu"/>
    <x v="185"/>
    <s v="Peserta Magang"/>
  </r>
  <r>
    <n v="0"/>
    <x v="1"/>
    <n v="408112"/>
    <s v="UN"/>
    <s v="Fiona Lia Marshanda"/>
    <s v="Teller"/>
    <s v="U_5782_BABAT TOMAN"/>
    <s v="Region 04 Palembang"/>
    <s v="UNIT BABAT TOMAN"/>
    <s v="Associate"/>
    <s v="KC Sekayu"/>
    <x v="186"/>
    <s v="Peserta Magang"/>
  </r>
  <r>
    <n v="0"/>
    <x v="1"/>
    <n v="408113"/>
    <s v="UN"/>
    <s v="Shandy Aditya"/>
    <s v="Teller"/>
    <s v="U_3558_SUNGAI LILIN"/>
    <s v="Region 04 Palembang"/>
    <s v="UNIT SUNGAI LILIN"/>
    <s v="Associate"/>
    <s v="KC Sekayu"/>
    <x v="184"/>
    <s v="Peserta Magang"/>
  </r>
  <r>
    <n v="0"/>
    <x v="1"/>
    <n v="409565"/>
    <s v="UN"/>
    <s v="Kiagus Muhammad Fathan Auliya"/>
    <s v="Teller"/>
    <s v="U_5783_BAYUNG LENCIR"/>
    <s v="Region 04 Palembang"/>
    <s v="UNIT BAYUNG LENCIR"/>
    <s v="Associate"/>
    <s v="KC Sekayu"/>
    <x v="190"/>
    <s v="Peserta Magang"/>
  </r>
  <r>
    <n v="0"/>
    <x v="1"/>
    <n v="410699"/>
    <s v="UN"/>
    <s v="Tia Aprianti"/>
    <s v="Teller"/>
    <s v="U_5785_PANGKALAN BALAI"/>
    <s v="Region 04 Palembang"/>
    <s v="UNIT PANGKALAN BALAI"/>
    <s v="Associate"/>
    <s v="KC Sekayu"/>
    <x v="191"/>
    <s v="Peserta Magang"/>
  </r>
  <r>
    <s v="K173859823"/>
    <x v="0"/>
    <n v="328370"/>
    <s v="UN"/>
    <s v="Sri Marlyna"/>
    <s v="Customer Service"/>
    <s v="U_5791_PARIT TIGA"/>
    <s v="Region 04 Palembang"/>
    <s v="UNIT PARIT TIGA"/>
    <s v="Associate"/>
    <s v="KC Sungai Liat"/>
    <x v="194"/>
    <s v="Kontrak Teller/CS"/>
  </r>
  <r>
    <s v="K249129823"/>
    <x v="0"/>
    <n v="335504"/>
    <s v="UN"/>
    <s v="Cahya Mustary"/>
    <s v="Customer Service"/>
    <s v="U_5789_BATURUSA"/>
    <s v="Region 04 Palembang"/>
    <s v="UNIT BATURUSA"/>
    <s v="Associate"/>
    <s v="KC Sungai Liat"/>
    <x v="195"/>
    <s v="Kontrak Teller/CS"/>
  </r>
  <r>
    <s v="K249269823"/>
    <x v="0"/>
    <n v="335537"/>
    <s v="UN"/>
    <s v="Astri Widayanty"/>
    <s v="Customer Service"/>
    <s v="U_7889_RIAU SILIP"/>
    <s v="Region 04 Palembang"/>
    <s v="UNIT RIAU SILIP"/>
    <s v="Associate"/>
    <s v="KC Sungai Liat"/>
    <x v="196"/>
    <s v="Kontrak Teller/CS"/>
  </r>
  <r>
    <s v="K251479623"/>
    <x v="0"/>
    <n v="336810"/>
    <s v="UN"/>
    <s v="Ria Mandasari"/>
    <s v="Customer Service"/>
    <s v="U_5793_KOTA SUNGAI LIAT"/>
    <s v="Region 04 Palembang"/>
    <s v="UNIT KOTA SUNGAI LIAT"/>
    <s v="Associate"/>
    <s v="KC Sungai Liat"/>
    <x v="197"/>
    <s v="Kontrak Teller/CS"/>
  </r>
  <r>
    <s v="K347479823"/>
    <x v="0"/>
    <n v="344643"/>
    <s v="UN"/>
    <s v="Verina Anissa"/>
    <s v="Customer Service"/>
    <s v="U_7050_KOTA II SUNGAI LIAT"/>
    <s v="Region 04 Palembang"/>
    <s v="UNIT KOTA II SUNGAI LIAT"/>
    <s v="Associate"/>
    <s v="KC Sungai Liat"/>
    <x v="198"/>
    <s v="Kontrak Teller/CS"/>
  </r>
  <r>
    <s v="K368150123"/>
    <x v="0"/>
    <n v="346718"/>
    <s v="UN"/>
    <s v="Feby Lerinka"/>
    <s v="Customer Service"/>
    <s v="U_7051_KENANGA"/>
    <s v="Region 04 Palembang"/>
    <s v="UNIT KENANGA"/>
    <s v="Associate"/>
    <s v="KC Sungai Liat"/>
    <x v="199"/>
    <s v="Kontrak Teller/CS"/>
  </r>
  <r>
    <s v="K402339723"/>
    <x v="0"/>
    <n v="350765"/>
    <s v="UN"/>
    <s v="Sembi Peringati"/>
    <s v="Customer Service"/>
    <s v="U_5792_PUDING BESAR"/>
    <s v="Region 04 Palembang"/>
    <s v="UNIT PUDING BESAR"/>
    <s v="Associate"/>
    <s v="KC Sungai Liat"/>
    <x v="200"/>
    <s v="Kontrak Teller/CS"/>
  </r>
  <r>
    <s v="K422239924"/>
    <x v="0"/>
    <n v="355511"/>
    <s v="UN"/>
    <s v="Ahmad Maulana"/>
    <s v="Customer Service"/>
    <s v="U_3555_UNIT MENTOK"/>
    <s v="Region 04 Palembang"/>
    <s v="UNIT MUNTOK"/>
    <s v="Associate"/>
    <s v="KC Sungai Liat"/>
    <x v="201"/>
    <s v="Kontrak Teller/CS"/>
  </r>
  <r>
    <s v="K423269824"/>
    <x v="0"/>
    <n v="356470"/>
    <s v="UN"/>
    <s v="Mohammad Rozi Arie Praja"/>
    <s v="Customer Service"/>
    <s v="U_8100_JEBUS"/>
    <s v="Region 04 Palembang"/>
    <s v="UNIT JEBUS"/>
    <s v="Associate"/>
    <s v="KC Sungai Liat"/>
    <x v="202"/>
    <s v="Kontrak Teller/CS"/>
  </r>
  <r>
    <s v="K505180124"/>
    <x v="0"/>
    <n v="372518"/>
    <s v="UN"/>
    <s v="Monica Romauli Situmeang"/>
    <s v="Customer Service"/>
    <s v="U_7139_SIMPANG TERITIP"/>
    <s v="Region 04 Palembang"/>
    <s v="UNIT SIMPANG TERITIP"/>
    <s v="Associate"/>
    <s v="KC Sungai Liat"/>
    <x v="203"/>
    <s v="Kontrak Teller/CS"/>
  </r>
  <r>
    <s v="K545380125"/>
    <x v="0"/>
    <n v="381180"/>
    <s v="UN"/>
    <s v="Rachma Dini"/>
    <s v="Customer Service"/>
    <s v="U_7050_KOTA II SUNGAI LIAT"/>
    <s v="Region 04 Palembang"/>
    <s v="UNIT KOTA II SUNGAI LIAT"/>
    <s v="Associate"/>
    <s v="KC Sungai Liat"/>
    <x v="198"/>
    <s v="Kontrak Teller/CS"/>
  </r>
  <r>
    <s v="K562270025"/>
    <x v="0"/>
    <n v="385047"/>
    <s v="UN"/>
    <s v="Alfi Nurzaky"/>
    <s v="Customer Service"/>
    <s v="U_5793_KOTA SUNGAI LIAT"/>
    <s v="Region 04 Palembang"/>
    <s v="UNIT KOTA SUNGAI LIAT"/>
    <s v="Associate"/>
    <s v="KC Sungai Liat"/>
    <x v="197"/>
    <s v="Kontrak Teller/CS"/>
  </r>
  <r>
    <s v="K592690225"/>
    <x v="0"/>
    <n v="385201"/>
    <s v="UN"/>
    <s v="Rosa Damayanti"/>
    <s v="Customer Service"/>
    <s v="U_7052_MENDO"/>
    <s v="Region 04 Palembang"/>
    <s v="UNIT MENDO"/>
    <s v="Associate"/>
    <s v="KC Sungai Liat"/>
    <x v="204"/>
    <s v="Kontrak Teller/CS"/>
  </r>
  <r>
    <s v="K575340025"/>
    <x v="0"/>
    <n v="386858"/>
    <s v="UN"/>
    <s v="Darin Wulandari"/>
    <s v="Customer Service"/>
    <s v="U_7527_TEMPILANG"/>
    <s v="Region 04 Palembang"/>
    <s v="UNIT TEMPILANG"/>
    <s v="Associate"/>
    <s v="KC Sungai Liat"/>
    <x v="205"/>
    <s v="Kontrak Teller/CS"/>
  </r>
  <r>
    <s v="K596590125"/>
    <x v="0"/>
    <n v="386859"/>
    <s v="UN"/>
    <s v="Susi Lestari"/>
    <s v="Customer Service"/>
    <s v="U_5790_KELAPA"/>
    <s v="Region 04 Palembang"/>
    <s v="UNIT KELAPA"/>
    <s v="Associate"/>
    <s v="KC Sungai Liat"/>
    <x v="206"/>
    <s v="Kontrak Teller/CS"/>
  </r>
  <r>
    <s v="K596600125"/>
    <x v="0"/>
    <n v="386860"/>
    <s v="UN"/>
    <s v="Nadiatul Mufidah"/>
    <s v="Customer Service"/>
    <s v="U_5791_PARIT TIGA"/>
    <s v="Region 04 Palembang"/>
    <s v="UNIT PARIT TIGA"/>
    <s v="Associate"/>
    <s v="KC Sungai Liat"/>
    <x v="194"/>
    <s v="Kontrak Teller/CS"/>
  </r>
  <r>
    <s v="K596610325"/>
    <x v="0"/>
    <n v="386861"/>
    <s v="UN"/>
    <s v="Aliyah Famela Puteri"/>
    <s v="Customer Service"/>
    <s v="U_3559_BELINYU"/>
    <s v="Region 04 Palembang"/>
    <s v="UNIT BELINYU"/>
    <s v="Associate"/>
    <s v="KC Sungai Liat"/>
    <x v="207"/>
    <s v="Kontrak Teller/CS"/>
  </r>
  <r>
    <s v="-"/>
    <x v="0"/>
    <n v="408561"/>
    <s v="UN"/>
    <s v="Samsul Bahari"/>
    <s v="Customer Service"/>
    <s v="U_3559_BELINYU"/>
    <s v="Region 04 Palembang"/>
    <s v="UNIT BELINYU"/>
    <s v="Associate"/>
    <s v="KC Sungai Liat"/>
    <x v="207"/>
    <s v="Kontrak Teller/CS"/>
  </r>
  <r>
    <s v="M319290125"/>
    <x v="1"/>
    <n v="386838"/>
    <s v="UN"/>
    <s v="Rachmadini Salsah Billah"/>
    <s v="Teller"/>
    <s v="U_5792_PUDING BESAR"/>
    <s v="Region 04 Palembang"/>
    <s v="UNIT PUDING BESAR"/>
    <s v="Associate"/>
    <s v="KC Sungai Liat"/>
    <x v="200"/>
    <s v="Peserta Magang"/>
  </r>
  <r>
    <s v="M319300225"/>
    <x v="1"/>
    <n v="386863"/>
    <s v="UN"/>
    <s v="Alda Nurviana"/>
    <s v="Teller"/>
    <s v="U_7139_SIMPANG TERITIP"/>
    <s v="Region 04 Palembang"/>
    <s v="UNIT SIMPANG TERITIP"/>
    <s v="Associate"/>
    <s v="KC Sungai Liat"/>
    <x v="203"/>
    <s v="Peserta Magang"/>
  </r>
  <r>
    <s v="M326030225"/>
    <x v="1"/>
    <n v="389694"/>
    <s v="UN"/>
    <s v="A'isyah Afra Zhahirah"/>
    <s v="Teller"/>
    <s v="U_5791_PARIT TIGA"/>
    <s v="Region 04 Palembang"/>
    <s v="UNIT PARIT TIGA"/>
    <s v="Associate"/>
    <s v="KC Sungai Liat"/>
    <x v="194"/>
    <s v="Peserta Magang"/>
  </r>
  <r>
    <s v="M326040225"/>
    <x v="1"/>
    <n v="389695"/>
    <s v="UN"/>
    <s v="Bella Agustriana"/>
    <s v="Teller"/>
    <s v="U_8100_JEBUS"/>
    <s v="Region 04 Palembang"/>
    <s v="UNIT JEBUS"/>
    <s v="Associate"/>
    <s v="KC Sungai Liat"/>
    <x v="202"/>
    <s v="Peserta Magang"/>
  </r>
  <r>
    <s v="M333360125"/>
    <x v="1"/>
    <n v="392520"/>
    <s v="UN"/>
    <s v="Jihan Salsabila"/>
    <s v="Teller"/>
    <s v="U_7052_MENDO"/>
    <s v="Region 04 Palembang"/>
    <s v="UNIT MENDO"/>
    <s v="Associate"/>
    <s v="KC Sungai Liat"/>
    <x v="204"/>
    <s v="Peserta Magang"/>
  </r>
  <r>
    <s v="K627410125"/>
    <x v="1"/>
    <n v="394688"/>
    <s v="UN"/>
    <s v="Tyara Hartono"/>
    <s v="Teller"/>
    <s v="U_5793_KOTA SUNGAI LIAT"/>
    <s v="Region 04 Palembang"/>
    <s v="UNIT KOTA SUNGAI LIAT"/>
    <s v="Associate"/>
    <s v="KC Sungai Liat"/>
    <x v="197"/>
    <s v="Kontrak Teller/CS"/>
  </r>
  <r>
    <n v="0"/>
    <x v="1"/>
    <n v="397873"/>
    <s v="UN"/>
    <s v="Ferdy Aditiya"/>
    <s v="Teller"/>
    <s v="U_5790_KELAPA"/>
    <s v="Region 04 Palembang"/>
    <s v="UNIT KELAPA"/>
    <s v="Associate"/>
    <s v="KC Sungai Liat"/>
    <x v="206"/>
    <s v="Peserta Magang"/>
  </r>
  <r>
    <n v="0"/>
    <x v="1"/>
    <n v="399625"/>
    <s v="UN"/>
    <s v="Nyera Andarista"/>
    <s v="Teller"/>
    <s v="U_7050_KOTA II SUNGAI LIAT"/>
    <s v="Region 04 Palembang"/>
    <s v="UNIT KOTA II SUNGAI LIAT"/>
    <s v="Associate"/>
    <s v="KC Sungai Liat"/>
    <x v="198"/>
    <s v="Peserta Magang"/>
  </r>
  <r>
    <n v="0"/>
    <x v="1"/>
    <n v="400942"/>
    <s v="UN"/>
    <s v="Futicha Dei Kinasih"/>
    <s v="Teller"/>
    <s v="U_5789_BATURUSA"/>
    <s v="Region 04 Palembang"/>
    <s v="UNIT BATURUSA"/>
    <s v="Associate"/>
    <s v="KC Sungai Liat"/>
    <x v="195"/>
    <s v="Peserta Magang"/>
  </r>
  <r>
    <s v="-"/>
    <x v="1"/>
    <n v="402587"/>
    <s v="UN"/>
    <s v="Almabilla Firra Katria"/>
    <s v="Teller"/>
    <s v="U_3559_BELINYU"/>
    <s v="Region 04 Palembang"/>
    <s v="UNIT BELINYU"/>
    <s v="Associate"/>
    <s v="KC Sungai Liat"/>
    <x v="207"/>
    <s v="Kontrak Teller/CS"/>
  </r>
  <r>
    <s v="-"/>
    <x v="1"/>
    <n v="402588"/>
    <s v="UN"/>
    <s v="Livia Feniola"/>
    <s v="Teller"/>
    <s v="U_7889_RIAU SILIP"/>
    <s v="Region 04 Palembang"/>
    <s v="UNIT RIAU SILIP"/>
    <s v="Associate"/>
    <s v="KC Sungai Liat"/>
    <x v="196"/>
    <s v="Kontrak Teller/CS"/>
  </r>
  <r>
    <n v="0"/>
    <x v="1"/>
    <n v="403776"/>
    <s v="UN"/>
    <s v="Muhammad Azmir"/>
    <s v="Teller"/>
    <s v="U_7527_TEMPILANG"/>
    <s v="Region 04 Palembang"/>
    <s v="UNIT TEMPILANG"/>
    <s v="Associate"/>
    <s v="KC Sungai Liat"/>
    <x v="205"/>
    <s v="Peserta Magang"/>
  </r>
  <r>
    <s v="-"/>
    <x v="1"/>
    <n v="410381"/>
    <s v="UN"/>
    <s v="Mira Aldriani"/>
    <s v="Teller"/>
    <s v="U_3555_UNIT MENTOK"/>
    <s v="Region 04 Palembang"/>
    <s v="UNIT MUNTOK"/>
    <s v="Associate"/>
    <s v="KC Sungai Liat"/>
    <x v="201"/>
    <s v="Kontrak Teller/CS"/>
  </r>
  <r>
    <n v="0"/>
    <x v="1"/>
    <n v="410691"/>
    <s v="UN"/>
    <s v="Marini"/>
    <s v="Teller"/>
    <s v="U_7051_KENANGA"/>
    <s v="Region 04 Palembang"/>
    <s v="UNIT KENANGA"/>
    <s v="Associate"/>
    <s v="KC Sungai Liat"/>
    <x v="199"/>
    <s v="Peserta Magang"/>
  </r>
  <r>
    <s v="K173820023"/>
    <x v="0"/>
    <n v="328646"/>
    <s v="UN"/>
    <s v="Fela Febiola"/>
    <s v="Customer Service"/>
    <s v="U_3560_MANGGAR"/>
    <s v="Region 04 Palembang"/>
    <s v="UNIT MANGGAR"/>
    <s v="Associate"/>
    <s v="KC Tanjung Pandan"/>
    <x v="208"/>
    <s v="Kontrak Teller/CS"/>
  </r>
  <r>
    <s v="K173499823"/>
    <x v="0"/>
    <n v="328651"/>
    <s v="UN"/>
    <s v="Meta Aryanisdia"/>
    <s v="Customer Service"/>
    <s v="U_5805_PANGKAL LALANG"/>
    <s v="Region 04 Palembang"/>
    <s v="UNIT PANGKAL LALANG"/>
    <s v="Associate"/>
    <s v="KC Tanjung Pandan"/>
    <x v="209"/>
    <s v="Kontrak Teller/CS"/>
  </r>
  <r>
    <s v="K249379923"/>
    <x v="0"/>
    <n v="335635"/>
    <s v="UN"/>
    <s v="Reychika Adinda Kania"/>
    <s v="Customer Service"/>
    <s v="U_7520_AIR MERBAU"/>
    <s v="Region 04 Palembang"/>
    <s v="UNIT AIR MERBAU"/>
    <s v="Associate"/>
    <s v="KC Tanjung Pandan"/>
    <x v="210"/>
    <s v="Kontrak Teller/CS"/>
  </r>
  <r>
    <s v="K317419923"/>
    <x v="0"/>
    <n v="339991"/>
    <s v="UN"/>
    <s v="Sarazfhiga Solehatin"/>
    <s v="Customer Service"/>
    <s v="U_5803_GANTUNG"/>
    <s v="Region 04 Palembang"/>
    <s v="UNIT GANTUNG"/>
    <s v="Associate"/>
    <s v="KC Tanjung Pandan"/>
    <x v="211"/>
    <s v="Kontrak Teller/CS"/>
  </r>
  <r>
    <s v="K400869923"/>
    <x v="0"/>
    <n v="349663"/>
    <s v="UN"/>
    <s v="Miranti"/>
    <s v="Customer Service"/>
    <s v="U_5804_KELAPA KAMPIT"/>
    <s v="Region 04 Palembang"/>
    <s v="UNIT KELAPA KAMPIT"/>
    <s v="Associate"/>
    <s v="KC Tanjung Pandan"/>
    <x v="212"/>
    <s v="Kontrak Teller/CS"/>
  </r>
  <r>
    <s v="K515419924"/>
    <x v="0"/>
    <n v="374463"/>
    <s v="UN"/>
    <s v="Atika Nabila"/>
    <s v="Customer Service"/>
    <s v="U_7140_SIMPANG MEMBALONG"/>
    <s v="Region 04 Palembang"/>
    <s v="UNIT SIMPANG MEMBALONG"/>
    <s v="Associate"/>
    <s v="KC Tanjung Pandan"/>
    <x v="213"/>
    <s v="Kontrak Teller/CS"/>
  </r>
  <r>
    <s v="K522799825"/>
    <x v="0"/>
    <n v="376083"/>
    <s v="UN"/>
    <s v="Selly Aninca"/>
    <s v="Customer Service"/>
    <s v="U_7916_SIMPANG PESAK"/>
    <s v="Region 04 Palembang"/>
    <s v="UNIT SIMPANG PESAK"/>
    <s v="Associate"/>
    <s v="KC Tanjung Pandan"/>
    <x v="214"/>
    <s v="Kontrak Teller/CS"/>
  </r>
  <r>
    <s v="K545399925"/>
    <x v="0"/>
    <n v="381181"/>
    <s v="UN"/>
    <s v="Siti Fauziah"/>
    <s v="Customer Service"/>
    <s v="U_5805_PANGKAL LALANG"/>
    <s v="Region 04 Palembang"/>
    <s v="UNIT PANGKAL LALANG"/>
    <s v="Associate"/>
    <s v="KC Tanjung Pandan"/>
    <x v="209"/>
    <s v="Kontrak Teller/CS"/>
  </r>
  <r>
    <s v="K597370025"/>
    <x v="0"/>
    <n v="387016"/>
    <s v="UN"/>
    <s v="Nur Azizah"/>
    <s v="Customer Service"/>
    <s v="U_5806_PASAR BAWAH"/>
    <s v="Region 04 Palembang"/>
    <s v="UNIT PASAR BAWAH"/>
    <s v="Associate"/>
    <s v="KC Tanjung Pandan"/>
    <x v="215"/>
    <s v="Kontrak Teller/CS"/>
  </r>
  <r>
    <s v="K597430225"/>
    <x v="0"/>
    <n v="387042"/>
    <s v="UN"/>
    <s v="Putri Aulia"/>
    <s v="Customer Service"/>
    <s v="U_5806_PASAR BAWAH"/>
    <s v="Region 04 Palembang"/>
    <s v="UNIT PASAR BAWAH"/>
    <s v="Associate"/>
    <s v="KC Tanjung Pandan"/>
    <x v="215"/>
    <s v="Kontrak Teller/CS"/>
  </r>
  <r>
    <s v="K607740025"/>
    <x v="0"/>
    <n v="389659"/>
    <s v="UN"/>
    <s v="Kiki Safitri"/>
    <s v="Customer Service"/>
    <s v="U_8061_MEMBALONG"/>
    <s v="Region 04 Palembang"/>
    <s v="UNIT MEMBALONG"/>
    <s v="Associate"/>
    <s v="KC Tanjung Pandan"/>
    <x v="216"/>
    <s v="Kontrak Teller/CS"/>
  </r>
  <r>
    <s v="K489820324"/>
    <x v="1"/>
    <n v="369890"/>
    <s v="UN"/>
    <s v="Nabilla"/>
    <s v="Teller"/>
    <s v="U_5803_GANTUNG"/>
    <s v="Region 04 Palembang"/>
    <s v="UNIT GANTUNG"/>
    <s v="Associate"/>
    <s v="KC Tanjung Pandan"/>
    <x v="211"/>
    <s v="Kontrak Teller/CS"/>
  </r>
  <r>
    <s v="M269260224"/>
    <x v="1"/>
    <n v="374318"/>
    <s v="UN"/>
    <s v="Istiqomah"/>
    <s v="Teller"/>
    <s v="U_5806_PASAR BAWAH"/>
    <s v="Region 04 Palembang"/>
    <s v="UNIT PASAR BAWAH"/>
    <s v="Associate"/>
    <s v="KC Tanjung Pandan"/>
    <x v="215"/>
    <s v="Peserta Magang"/>
  </r>
  <r>
    <s v="M270900224"/>
    <x v="1"/>
    <n v="374742"/>
    <s v="UN"/>
    <s v="Fatiah Annisa"/>
    <s v="Teller"/>
    <s v="U_5804_KELAPA KAMPIT"/>
    <s v="Region 04 Palembang"/>
    <s v="UNIT KELAPA KAMPIT"/>
    <s v="Associate"/>
    <s v="KC Tanjung Pandan"/>
    <x v="212"/>
    <s v="Peserta Magang"/>
  </r>
  <r>
    <s v="M270920224"/>
    <x v="1"/>
    <n v="374750"/>
    <s v="UN"/>
    <s v="Mila Aulia Winatha"/>
    <s v="Teller"/>
    <s v="U_8061_MEMBALONG"/>
    <s v="Region 04 Palembang"/>
    <s v="UNIT MEMBALONG"/>
    <s v="Associate"/>
    <s v="KC Tanjung Pandan"/>
    <x v="216"/>
    <s v="Peserta Magang"/>
  </r>
  <r>
    <s v="M284720125"/>
    <x v="1"/>
    <n v="378443"/>
    <s v="UN"/>
    <s v="Arinda Dwi Azela"/>
    <s v="Teller"/>
    <s v="U_7916_SIMPANG PESAK"/>
    <s v="Region 04 Palembang"/>
    <s v="UNIT SIMPANG PESAK"/>
    <s v="Associate"/>
    <s v="KC Tanjung Pandan"/>
    <x v="214"/>
    <s v="Peserta Magang"/>
  </r>
  <r>
    <s v="M320890025"/>
    <x v="1"/>
    <n v="387870"/>
    <s v="UN"/>
    <s v="Reynaldi Ramadhan"/>
    <s v="Teller"/>
    <s v="U_7520_AIR MERBAU"/>
    <s v="Region 04 Palembang"/>
    <s v="UNIT AIR MERBAU"/>
    <s v="Associate"/>
    <s v="KC Tanjung Pandan"/>
    <x v="210"/>
    <s v="Peserta Magang"/>
  </r>
  <r>
    <s v="-"/>
    <x v="1"/>
    <n v="400719"/>
    <s v="UN"/>
    <s v="Tamedya Ardana"/>
    <s v="Teller"/>
    <s v="U_3560_MANGGAR"/>
    <s v="Region 04 Palembang"/>
    <s v="UNIT MANGGAR"/>
    <s v="Associate"/>
    <s v="KC Tanjung Pandan"/>
    <x v="208"/>
    <s v="Kontrak Teller/CS"/>
  </r>
  <r>
    <n v="0"/>
    <x v="1"/>
    <n v="400900"/>
    <s v="UN"/>
    <s v="Emirrajelfath Ars"/>
    <s v="Teller"/>
    <s v="U_5805_PANGKAL LALANG"/>
    <s v="Region 04 Palembang"/>
    <s v="UNIT PANGKAL LALANG"/>
    <s v="Associate"/>
    <s v="KC Tanjung Pandan"/>
    <x v="209"/>
    <s v="Peserta Magang"/>
  </r>
  <r>
    <n v="0"/>
    <x v="1"/>
    <n v="403327"/>
    <s v="UN"/>
    <s v="Fahrul Rozi"/>
    <s v="Teller"/>
    <s v="U_7140_SIMPANG MEMBALONG"/>
    <s v="Region 04 Palembang"/>
    <s v="UNIT SIMPANG MEMBALONG"/>
    <s v="Associate"/>
    <s v="KC Tanjung Pandan"/>
    <x v="213"/>
    <s v="Peserta Magang"/>
  </r>
  <r>
    <m/>
    <x v="2"/>
    <m/>
    <m/>
    <m/>
    <m/>
    <m/>
    <m/>
    <m/>
    <m/>
    <m/>
    <x v="217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K625729825"/>
    <x v="0"/>
    <n v="393616"/>
    <s v="KC"/>
    <s v="Devis Lucky Pratama"/>
    <s v="Customer Service"/>
    <s v="K_1679_KK POLTABES JAMBI"/>
    <s v="Region 04 Palembang"/>
    <s v="KK POLTABES JAMBI"/>
    <s v="Associate"/>
    <s v="KC Jambi"/>
    <x v="0"/>
    <s v="Kontrak Teller/CS"/>
  </r>
  <r>
    <n v="0"/>
    <x v="1"/>
    <n v="408958"/>
    <s v="KC"/>
    <s v="Andini Destri Aulia"/>
    <s v="Teller"/>
    <s v="K_1679_KK POLTABES JAMBI"/>
    <s v="Region 04 Palembang"/>
    <s v="KK POLTABES JAMBI"/>
    <s v="Associate"/>
    <s v="KC Jambi"/>
    <x v="0"/>
    <s v="Peserta Magang"/>
  </r>
  <r>
    <s v="K600190025"/>
    <x v="0"/>
    <n v="387740"/>
    <s v="KC"/>
    <s v="Raudah"/>
    <s v="Customer Service"/>
    <s v="K_1487_KK PEMATANG LUMUT"/>
    <s v="Region 04 Palembang"/>
    <s v="KK PEMATANG LUMUT"/>
    <s v="Associate"/>
    <s v="KC Kuala Tungkal"/>
    <x v="1"/>
    <s v="Kontrak Teller/CS"/>
  </r>
  <r>
    <s v="M303940225"/>
    <x v="1"/>
    <n v="385044"/>
    <s v="KC"/>
    <s v="Merdiana Ferdila"/>
    <s v="Teller"/>
    <s v="K_1487_KK PEMATANG LUMUT"/>
    <s v="Region 04 Palembang"/>
    <s v="KK PEMATANG LUMUT"/>
    <s v="Associate"/>
    <s v="KC Kuala Tungkal"/>
    <x v="1"/>
    <s v="Peserta Magang"/>
  </r>
  <r>
    <s v="K319660023"/>
    <x v="0"/>
    <n v="342034"/>
    <s v="KC"/>
    <s v="Nabila Stephanie Putri"/>
    <s v="Customer Service"/>
    <s v="K_1863_KK RS PERTAMINA PLAJU"/>
    <s v="Region 04 Palembang"/>
    <s v="KK RS PERTAMINA PLAJU"/>
    <s v="Associate"/>
    <s v="KC Palembang A. Rivai"/>
    <x v="2"/>
    <s v="Kontrak Teller/CS"/>
  </r>
  <r>
    <s v="K429209824"/>
    <x v="0"/>
    <n v="359331"/>
    <s v="KC"/>
    <s v="Yuni Puspita"/>
    <s v="Customer Service"/>
    <s v="K_1500_KK POLTABES PALEMBANG"/>
    <s v="Region 04 Palembang"/>
    <s v="KK POLTABES PALEMBANG"/>
    <s v="Associate"/>
    <s v="KC Palembang A. Rivai"/>
    <x v="2"/>
    <s v="Kontrak Teller/CS"/>
  </r>
  <r>
    <s v="K524219925"/>
    <x v="0"/>
    <n v="376536"/>
    <s v="KC"/>
    <s v="Meza Bustama Sari"/>
    <s v="Customer Service"/>
    <s v="K_1304_KK RS CHARITAS"/>
    <s v="Region 04 Palembang"/>
    <s v="KK RS CHARITAS"/>
    <s v="Associate"/>
    <s v="KC Palembang A. Rivai"/>
    <x v="2"/>
    <s v="Kontrak Teller/CS"/>
  </r>
  <r>
    <n v="0"/>
    <x v="1"/>
    <n v="400437"/>
    <s v="KC"/>
    <s v="Rafli Bagas Aditya"/>
    <s v="Teller"/>
    <s v="K_1500_KK POLTABES PALEMBANG"/>
    <s v="Region 04 Palembang"/>
    <s v="KK POLTABES PALEMBANG"/>
    <s v="Associate"/>
    <s v="KC Palembang A. Rivai"/>
    <x v="2"/>
    <s v="Peserta Magang"/>
  </r>
  <r>
    <n v="0"/>
    <x v="1"/>
    <n v="400455"/>
    <s v="KC"/>
    <s v="Riski Ramadhan"/>
    <s v="Teller"/>
    <s v="K_1304_KK RS CHARITAS"/>
    <s v="Region 04 Palembang"/>
    <s v="KK RS CHARITAS"/>
    <s v="Associate"/>
    <s v="KC Palembang A. Rivai"/>
    <x v="2"/>
    <s v="Peserta Magang"/>
  </r>
  <r>
    <n v="0"/>
    <x v="1"/>
    <n v="402970"/>
    <s v="KC"/>
    <s v="Faturrachman"/>
    <s v="Teller"/>
    <s v="K_1887_KK PUSRI"/>
    <s v="Region 04 Palembang"/>
    <s v="KK PUSRI"/>
    <s v="Associate"/>
    <s v="KC Palembang A. Rivai"/>
    <x v="2"/>
    <s v="Peserta Magang"/>
  </r>
  <r>
    <n v="0"/>
    <x v="1"/>
    <n v="409371"/>
    <s v="KC"/>
    <s v="Atika Maharani Yundai"/>
    <s v="Teller"/>
    <s v="K_1863_KK RS PERTAMINA PLAJU"/>
    <s v="Region 04 Palembang"/>
    <s v="KK RS PERTAMINA PLAJU"/>
    <s v="Associate"/>
    <s v="KC Palembang A. Rivai"/>
    <x v="2"/>
    <s v="Peserta Magang"/>
  </r>
  <r>
    <s v="M286770325"/>
    <x v="1"/>
    <n v="379090"/>
    <s v="KC"/>
    <s v="Yasmin Salsabila Muntaz"/>
    <s v="Teller"/>
    <s v="K_1670_KK RUMAH SAKIT BAKTI TIMAH"/>
    <s v="Region 04 Palembang"/>
    <s v="KK RUMAH SAKIT BAKTI TIMAH"/>
    <s v="Associate"/>
    <s v="KC Pangkal Pinang"/>
    <x v="3"/>
    <s v="Peserta Magang"/>
  </r>
  <r>
    <n v="0"/>
    <x v="1"/>
    <n v="404265"/>
    <s v="KC"/>
    <s v="Melya Mardiana"/>
    <s v="Teller"/>
    <s v="K_1676_KK TASPEN PANGKAL PINANG"/>
    <s v="Region 04 Palembang"/>
    <s v="KK TASPEN PANGKAL PINANG"/>
    <s v="Associate"/>
    <s v="KC Pangkal Pinang"/>
    <x v="3"/>
    <s v="Peserta Magang"/>
  </r>
  <r>
    <n v="0"/>
    <x v="1"/>
    <n v="408569"/>
    <s v="KC"/>
    <s v="Ferdihan Haswin"/>
    <s v="Teller"/>
    <s v="K_1707_KK BANGKA TRADE CENTER"/>
    <s v="Region 04 Palembang"/>
    <s v="KK BANGKA TRADE CENTER"/>
    <s v="Associate"/>
    <s v="KC Pangkal Pinang"/>
    <x v="3"/>
    <s v="Peserta Magang"/>
  </r>
  <r>
    <m/>
    <x v="2"/>
    <m/>
    <m/>
    <m/>
    <m/>
    <m/>
    <m/>
    <m/>
    <m/>
    <m/>
    <x v="4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n v="2093"/>
    <s v="KCP MANGGAR"/>
    <s v="IIIA"/>
    <s v="Jan 2025"/>
    <n v="1"/>
    <n v="1"/>
    <n v="0"/>
    <n v="2"/>
    <n v="2"/>
    <n v="0"/>
  </r>
  <r>
    <x v="1"/>
    <n v="2145"/>
    <s v="KCP BELINYU"/>
    <s v="IIIA"/>
    <s v="Jan 2025"/>
    <n v="1"/>
    <n v="1"/>
    <n v="0"/>
    <n v="1"/>
    <n v="1"/>
    <n v="0"/>
  </r>
  <r>
    <x v="2"/>
    <n v="670"/>
    <s v="KCP SUNGAI LILIN SEKAYU"/>
    <s v="IIIA"/>
    <s v="Jan 2025"/>
    <n v="2"/>
    <n v="2"/>
    <n v="0"/>
    <n v="1"/>
    <n v="1"/>
    <n v="0"/>
  </r>
  <r>
    <x v="2"/>
    <n v="1100"/>
    <s v="KCP PANGKALAN BALAI"/>
    <s v="IIIA"/>
    <s v="Jan 2025"/>
    <n v="2"/>
    <n v="2"/>
    <n v="0"/>
    <n v="1"/>
    <n v="1"/>
    <n v="0"/>
  </r>
  <r>
    <x v="3"/>
    <n v="2292"/>
    <s v="KCP Muara Tebo"/>
    <s v="IIIB"/>
    <s v="Jan 2025"/>
    <n v="2"/>
    <n v="2"/>
    <n v="0"/>
    <n v="1"/>
    <n v="1"/>
    <n v="0"/>
  </r>
  <r>
    <x v="4"/>
    <n v="2279"/>
    <s v="KCP PENDOPO"/>
    <s v="IIIA"/>
    <s v="Jan 2025"/>
    <n v="2"/>
    <n v="2"/>
    <n v="0"/>
    <n v="1"/>
    <n v="1"/>
    <n v="0"/>
  </r>
  <r>
    <x v="5"/>
    <n v="2091"/>
    <s v="KCP TOBOALI"/>
    <s v="IIA"/>
    <s v="Jan 2025"/>
    <n v="1"/>
    <n v="1"/>
    <n v="0"/>
    <n v="1"/>
    <n v="1"/>
    <n v="0"/>
  </r>
  <r>
    <x v="1"/>
    <n v="2090"/>
    <s v="KCP MENTOK"/>
    <s v="IIIA"/>
    <s v="Jan 2025"/>
    <n v="1"/>
    <n v="1"/>
    <n v="0"/>
    <n v="1"/>
    <n v="1"/>
    <n v="0"/>
  </r>
  <r>
    <x v="5"/>
    <n v="2194"/>
    <s v="KCP KOBA"/>
    <s v="IIA"/>
    <s v="Jan 2025"/>
    <n v="1"/>
    <n v="1"/>
    <n v="0"/>
    <n v="1"/>
    <n v="1"/>
    <n v="0"/>
  </r>
  <r>
    <x v="5"/>
    <n v="2193"/>
    <s v="KCP DEPATI AMIR"/>
    <s v="IIA"/>
    <s v="Jan 2025"/>
    <n v="1"/>
    <n v="1"/>
    <n v="0"/>
    <n v="1"/>
    <n v="1"/>
    <n v="0"/>
  </r>
  <r>
    <x v="6"/>
    <n v="1103"/>
    <s v="KCP LEMABANG"/>
    <s v="IB"/>
    <s v="Jan 2025"/>
    <n v="2"/>
    <n v="2"/>
    <n v="0"/>
    <n v="1"/>
    <n v="1"/>
    <n v="0"/>
  </r>
  <r>
    <x v="6"/>
    <n v="2206"/>
    <s v="KCP PASAR SAKO KENTEN"/>
    <s v="IB"/>
    <s v="Jan 2025"/>
    <n v="2"/>
    <n v="2"/>
    <n v="0"/>
    <n v="1"/>
    <n v="1"/>
    <n v="0"/>
  </r>
  <r>
    <x v="6"/>
    <n v="2089"/>
    <s v="KCP PASAR 16 ILIR"/>
    <s v="IB"/>
    <s v="Jan 2025"/>
    <n v="2"/>
    <n v="2"/>
    <n v="0"/>
    <n v="1"/>
    <n v="1"/>
    <n v="0"/>
  </r>
  <r>
    <x v="6"/>
    <n v="2205"/>
    <s v="KCP KM 5"/>
    <s v="IB"/>
    <s v="Jan 2025"/>
    <n v="2"/>
    <n v="2"/>
    <n v="0"/>
    <n v="1"/>
    <n v="1"/>
    <n v="0"/>
  </r>
  <r>
    <x v="6"/>
    <n v="2174"/>
    <s v="KCP KM 12 PALEMBANG"/>
    <s v="IB"/>
    <s v="Jan 2025"/>
    <n v="2"/>
    <n v="2"/>
    <n v="0"/>
    <n v="2"/>
    <n v="2"/>
    <n v="0"/>
  </r>
  <r>
    <x v="7"/>
    <n v="1104"/>
    <s v="KCP DEMANG"/>
    <s v="IA"/>
    <s v="Jan 2025"/>
    <n v="1"/>
    <n v="1"/>
    <n v="0"/>
    <n v="1"/>
    <n v="1"/>
    <n v="0"/>
  </r>
  <r>
    <x v="7"/>
    <n v="1001"/>
    <s v="KCP ISKANDAR"/>
    <s v="IA"/>
    <s v="Jan 2025"/>
    <n v="1"/>
    <n v="1"/>
    <n v="0"/>
    <n v="1"/>
    <n v="1"/>
    <n v="0"/>
  </r>
  <r>
    <x v="7"/>
    <n v="2278"/>
    <s v="KCP AMPERA"/>
    <s v="IA"/>
    <s v="Jan 2025"/>
    <n v="1"/>
    <n v="1"/>
    <n v="0"/>
    <n v="1"/>
    <n v="1"/>
    <n v="0"/>
  </r>
  <r>
    <x v="8"/>
    <n v="1102"/>
    <s v="KCP TANJUNG ENIM"/>
    <s v="IIIB"/>
    <s v="Jan 2025"/>
    <n v="2"/>
    <n v="2"/>
    <n v="0"/>
    <n v="1"/>
    <n v="1"/>
    <n v="0"/>
  </r>
  <r>
    <x v="9"/>
    <n v="2239"/>
    <s v="KCP SUNGAI BAHAR"/>
    <s v="IIIB"/>
    <s v="Jan 2025"/>
    <n v="1"/>
    <n v="1"/>
    <n v="0"/>
    <n v="1"/>
    <n v="1"/>
    <n v="0"/>
  </r>
  <r>
    <x v="10"/>
    <n v="2076"/>
    <s v="KCP TEBING TINGGI"/>
    <s v="IIIA"/>
    <s v="Jan 2025"/>
    <n v="1"/>
    <n v="1"/>
    <n v="0"/>
    <n v="1"/>
    <n v="1"/>
    <n v="0"/>
  </r>
  <r>
    <x v="11"/>
    <n v="2207"/>
    <s v="KCP TANJAB TIMUR"/>
    <s v="IIIA"/>
    <s v="Jan 2025"/>
    <n v="2"/>
    <n v="2"/>
    <n v="0"/>
    <n v="2"/>
    <n v="2"/>
    <n v="0"/>
  </r>
  <r>
    <x v="12"/>
    <n v="2088"/>
    <s v="KCP TUGU MULYO"/>
    <s v="IIB"/>
    <s v="Jan 2025"/>
    <n v="2"/>
    <n v="2"/>
    <n v="0"/>
    <n v="1"/>
    <n v="1"/>
    <n v="0"/>
  </r>
  <r>
    <x v="12"/>
    <n v="2272"/>
    <s v="KCP INDRALAYA"/>
    <s v="IIB"/>
    <s v="Jan 2025"/>
    <n v="2"/>
    <n v="2"/>
    <n v="0"/>
    <n v="1"/>
    <n v="1"/>
    <n v="0"/>
  </r>
  <r>
    <x v="13"/>
    <n v="2277"/>
    <s v="KCP BATANGHARI"/>
    <s v="IB"/>
    <s v="Jan 2025"/>
    <n v="1"/>
    <n v="1"/>
    <n v="0"/>
    <n v="1"/>
    <n v="1"/>
    <n v="0"/>
  </r>
  <r>
    <x v="13"/>
    <n v="2015"/>
    <s v="KCP JELUTUNG"/>
    <s v="IB"/>
    <s v="Jan 2025"/>
    <n v="2"/>
    <n v="2"/>
    <n v="0"/>
    <n v="1"/>
    <n v="1"/>
    <n v="0"/>
  </r>
  <r>
    <x v="14"/>
    <n v="2263"/>
    <s v="KCP MARTAPURA"/>
    <s v="IIIA"/>
    <s v="Jan 2025"/>
    <n v="1"/>
    <n v="1"/>
    <n v="0"/>
    <n v="1"/>
    <n v="1"/>
    <n v="0"/>
  </r>
  <r>
    <x v="14"/>
    <n v="697"/>
    <s v="KCP GUMAWANG"/>
    <s v="IIIA"/>
    <s v="Jan 2025"/>
    <n v="2"/>
    <n v="1"/>
    <n v="-1"/>
    <n v="1"/>
    <n v="1"/>
    <n v="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">
  <r>
    <x v="0"/>
    <n v="8062"/>
    <m/>
    <s v="TERAS Tanah Abang"/>
    <n v="1"/>
    <n v="1"/>
    <n v="0"/>
    <n v="1"/>
    <n v="1"/>
    <n v="0"/>
  </r>
  <r>
    <x v="1"/>
    <n v="7142"/>
    <m/>
    <s v="TERAS Pasar Namang"/>
    <n v="1"/>
    <n v="1"/>
    <n v="0"/>
    <n v="1"/>
    <n v="1"/>
    <n v="0"/>
  </r>
  <r>
    <x v="2"/>
    <n v="5806"/>
    <m/>
    <s v="TERAS Pasar Gang Kimting"/>
    <n v="1"/>
    <n v="1"/>
    <n v="0"/>
    <n v="1"/>
    <n v="1"/>
    <n v="0"/>
  </r>
  <r>
    <x v="3"/>
    <n v="5788"/>
    <m/>
    <s v="TERAS Pasar Tanjung Siapi Api"/>
    <n v="1"/>
    <n v="1"/>
    <n v="0"/>
    <n v="1"/>
    <n v="1"/>
    <n v="0"/>
  </r>
  <r>
    <x v="1"/>
    <n v="5765"/>
    <m/>
    <s v="TERAS Pasar Pagi Pangkal Pinang"/>
    <n v="1"/>
    <n v="1"/>
    <n v="0"/>
    <n v="1"/>
    <n v="1"/>
    <n v="0"/>
  </r>
  <r>
    <x v="1"/>
    <n v="5764"/>
    <m/>
    <s v="TERAS Pasar Lubuk Besar"/>
    <n v="1"/>
    <n v="1"/>
    <n v="0"/>
    <n v="1"/>
    <n v="1"/>
    <n v="0"/>
  </r>
  <r>
    <x v="3"/>
    <n v="5761"/>
    <m/>
    <s v="TERAS Pasar Sako"/>
    <n v="1"/>
    <n v="1"/>
    <n v="0"/>
    <n v="1"/>
    <n v="1"/>
    <n v="0"/>
  </r>
  <r>
    <x v="3"/>
    <n v="5739"/>
    <m/>
    <s v="TERAS Pasar Talang Jambe"/>
    <n v="1"/>
    <n v="1"/>
    <n v="0"/>
    <n v="1"/>
    <n v="1"/>
    <n v="0"/>
  </r>
  <r>
    <x v="4"/>
    <n v="5736"/>
    <m/>
    <s v="TERAS Pasar Nendagung"/>
    <n v="1"/>
    <n v="1"/>
    <n v="0"/>
    <n v="1"/>
    <n v="1"/>
    <n v="0"/>
  </r>
  <r>
    <x v="5"/>
    <n v="5732"/>
    <m/>
    <s v="TERAS Pasar Tanjung Enim"/>
    <n v="1"/>
    <n v="1"/>
    <n v="0"/>
    <n v="1"/>
    <n v="1"/>
    <n v="0"/>
  </r>
  <r>
    <x v="5"/>
    <n v="5730"/>
    <m/>
    <s v="TERAS Pasar Muara Harapan"/>
    <n v="1"/>
    <n v="2"/>
    <n v="1"/>
    <n v="1"/>
    <n v="2"/>
    <n v="1"/>
  </r>
  <r>
    <x v="5"/>
    <n v="5730"/>
    <m/>
    <s v="TERAS Pasar Ujan Mas"/>
    <n v="1"/>
    <n v="2"/>
    <n v="1"/>
    <n v="1"/>
    <n v="2"/>
    <n v="1"/>
  </r>
  <r>
    <x v="5"/>
    <n v="5729"/>
    <m/>
    <s v="TERAS Pasar Tunggu Tubang"/>
    <n v="1"/>
    <n v="1"/>
    <n v="0"/>
    <n v="1"/>
    <n v="1"/>
    <n v="0"/>
  </r>
  <r>
    <x v="5"/>
    <n v="5728"/>
    <m/>
    <s v="TERAS Pasar Muara Enim"/>
    <n v="1"/>
    <n v="1"/>
    <n v="0"/>
    <n v="1"/>
    <n v="1"/>
    <n v="0"/>
  </r>
  <r>
    <x v="5"/>
    <n v="5727"/>
    <m/>
    <s v="TERAS Pasar Sumaja Makmur"/>
    <n v="1"/>
    <n v="1"/>
    <n v="0"/>
    <n v="1"/>
    <n v="1"/>
    <n v="0"/>
  </r>
  <r>
    <x v="6"/>
    <n v="5725"/>
    <m/>
    <s v="TERAS Simpang Niam"/>
    <n v="1"/>
    <n v="1"/>
    <n v="0"/>
    <n v="1"/>
    <n v="1"/>
    <n v="0"/>
  </r>
  <r>
    <x v="7"/>
    <n v="5724"/>
    <m/>
    <s v="TERAS Pasar Atas Jambi"/>
    <n v="0"/>
    <n v="0"/>
    <n v="0"/>
    <n v="0"/>
    <n v="0"/>
    <n v="0"/>
  </r>
  <r>
    <x v="8"/>
    <n v="5683"/>
    <m/>
    <s v="TERAS Pasar Inpres"/>
    <n v="0"/>
    <n v="0"/>
    <n v="0"/>
    <n v="0"/>
    <n v="0"/>
    <n v="0"/>
  </r>
  <r>
    <x v="9"/>
    <n v="5675"/>
    <m/>
    <s v="TERAS Pasar Ptm Square"/>
    <n v="1"/>
    <n v="0"/>
    <n v="-1"/>
    <n v="1"/>
    <n v="1"/>
    <n v="0"/>
  </r>
  <r>
    <x v="10"/>
    <n v="5669"/>
    <m/>
    <s v="TERAS Pasar TPI"/>
    <n v="0"/>
    <n v="0"/>
    <n v="0"/>
    <n v="0"/>
    <n v="0"/>
    <n v="0"/>
  </r>
  <r>
    <x v="11"/>
    <n v="5634"/>
    <m/>
    <s v="TERAS Pasar Baru Talang Banjar"/>
    <n v="0"/>
    <n v="0"/>
    <n v="0"/>
    <n v="0"/>
    <n v="0"/>
    <n v="0"/>
  </r>
  <r>
    <x v="11"/>
    <n v="5628"/>
    <m/>
    <s v="TERAS Pasar Induk Angso Duo"/>
    <n v="1"/>
    <n v="0"/>
    <n v="-1"/>
    <n v="1"/>
    <n v="1"/>
    <n v="0"/>
  </r>
  <r>
    <x v="12"/>
    <n v="5611"/>
    <m/>
    <s v="TERAS Pasar Martapura Oku"/>
    <n v="1"/>
    <n v="1"/>
    <n v="0"/>
    <n v="1"/>
    <n v="1"/>
    <n v="0"/>
  </r>
  <r>
    <x v="12"/>
    <n v="5609"/>
    <m/>
    <s v="TERAS Pasar Sidorahayu"/>
    <n v="1"/>
    <n v="1"/>
    <n v="0"/>
    <n v="1"/>
    <n v="1"/>
    <n v="0"/>
  </r>
  <r>
    <x v="12"/>
    <n v="5605"/>
    <m/>
    <s v="TERAS Pasar Unit 6 Oku Timur"/>
    <n v="1"/>
    <n v="1"/>
    <n v="0"/>
    <n v="1"/>
    <n v="1"/>
    <n v="0"/>
  </r>
  <r>
    <x v="0"/>
    <n v="5604"/>
    <m/>
    <s v="TERAS Pasar Singkut"/>
    <n v="1"/>
    <n v="1"/>
    <n v="0"/>
    <n v="1"/>
    <n v="1"/>
    <n v="0"/>
  </r>
  <r>
    <x v="13"/>
    <n v="5602"/>
    <m/>
    <s v="TERAS Pasar SPC"/>
    <n v="0"/>
    <n v="0"/>
    <n v="0"/>
    <n v="0"/>
    <n v="0"/>
    <n v="0"/>
  </r>
  <r>
    <x v="14"/>
    <n v="3557"/>
    <m/>
    <s v="TERAS Pasar Pendopo"/>
    <n v="0"/>
    <n v="0"/>
    <n v="0"/>
    <n v="0"/>
    <n v="0"/>
    <n v="0"/>
  </r>
  <r>
    <x v="6"/>
    <n v="3554"/>
    <m/>
    <s v="TERAS Pasar Muara Tebo"/>
    <n v="1"/>
    <n v="1"/>
    <n v="0"/>
    <n v="1"/>
    <n v="1"/>
    <n v="0"/>
  </r>
  <r>
    <x v="9"/>
    <n v="3550"/>
    <m/>
    <s v="TERAS Pasar Ilir"/>
    <n v="1"/>
    <n v="1"/>
    <n v="0"/>
    <n v="1"/>
    <n v="1"/>
    <n v="0"/>
  </r>
  <r>
    <x v="1"/>
    <n v="3397"/>
    <m/>
    <s v="TERAS Pasar Pasir Putih"/>
    <n v="1"/>
    <n v="1"/>
    <n v="0"/>
    <n v="1"/>
    <n v="1"/>
    <n v="0"/>
  </r>
  <r>
    <x v="6"/>
    <n v="3395"/>
    <m/>
    <s v="TERAS Pasar Sarinah Rimbo Bujang"/>
    <n v="1"/>
    <n v="1"/>
    <n v="0"/>
    <n v="1"/>
    <n v="1"/>
    <n v="0"/>
  </r>
  <r>
    <x v="9"/>
    <n v="3393"/>
    <m/>
    <s v="TERAS Kavling"/>
    <n v="1"/>
    <n v="1"/>
    <n v="0"/>
    <n v="1"/>
    <n v="1"/>
    <n v="0"/>
  </r>
  <r>
    <x v="13"/>
    <n v="3388"/>
    <m/>
    <s v="TERAS Pasar Baru Bangko"/>
    <n v="1"/>
    <n v="1"/>
    <n v="0"/>
    <n v="1"/>
    <n v="1"/>
    <n v="0"/>
  </r>
  <r>
    <x v="0"/>
    <n v="3373"/>
    <m/>
    <s v="TERAS Pasar Sarolangun"/>
    <n v="1"/>
    <n v="1"/>
    <n v="0"/>
    <n v="1"/>
    <n v="1"/>
    <n v="0"/>
  </r>
  <r>
    <x v="12"/>
    <n v="3286"/>
    <m/>
    <s v="TERAS Pasar Baru Baturaja"/>
    <n v="1"/>
    <n v="1"/>
    <n v="0"/>
    <n v="1"/>
    <n v="1"/>
    <n v="0"/>
  </r>
  <r>
    <x v="3"/>
    <n v="7043"/>
    <m/>
    <s v="UNIT SIMPANG POLDA PALEMBANG S"/>
    <n v="0"/>
    <n v="0"/>
    <n v="0"/>
    <n v="0"/>
    <n v="0"/>
    <n v="0"/>
  </r>
  <r>
    <x v="15"/>
    <n v="7017"/>
    <m/>
    <s v="UNIT POLYGON PALEMBANG A RIVAI"/>
    <n v="0"/>
    <n v="0"/>
    <n v="0"/>
    <n v="0"/>
    <n v="0"/>
    <n v="0"/>
  </r>
  <r>
    <x v="15"/>
    <n v="5759"/>
    <m/>
    <s v="UNIT UNSRI PALEMBANG A RIVAI"/>
    <n v="0"/>
    <n v="0"/>
    <n v="0"/>
    <n v="0"/>
    <n v="0"/>
    <n v="0"/>
  </r>
  <r>
    <x v="3"/>
    <n v="5741"/>
    <m/>
    <s v="UNIT M. ISA PALEMBANG S"/>
    <n v="0"/>
    <n v="0"/>
    <n v="0"/>
    <n v="0"/>
    <n v="0"/>
    <n v="0"/>
  </r>
  <r>
    <x v="3"/>
    <n v="5751"/>
    <m/>
    <s v="UNIT MANGKU NEGARA PALEMBANG"/>
    <n v="0"/>
    <n v="0"/>
    <n v="0"/>
    <n v="0"/>
    <n v="0"/>
    <n v="0"/>
  </r>
  <r>
    <x v="3"/>
    <n v="5754"/>
    <m/>
    <s v="UNIT MAYOR RUSLAN PALEMBANG S"/>
    <n v="0"/>
    <n v="0"/>
    <n v="0"/>
    <n v="0"/>
    <n v="0"/>
    <n v="0"/>
  </r>
  <r>
    <x v="15"/>
    <n v="5760"/>
    <m/>
    <s v="UNIT ILIR BARAT PALEMBANG A RI"/>
    <n v="0"/>
    <n v="0"/>
    <n v="0"/>
    <n v="0"/>
    <n v="0"/>
    <n v="0"/>
  </r>
  <r>
    <x v="15"/>
    <n v="7053"/>
    <m/>
    <s v="UNIT DWIKORA PALEMBANG A RIVAI"/>
    <n v="0"/>
    <n v="0"/>
    <n v="0"/>
    <n v="0"/>
    <n v="0"/>
    <n v="0"/>
  </r>
  <r>
    <x v="16"/>
    <n v="7246"/>
    <m/>
    <s v="UNIT TEBING BULANG SEKAYU"/>
    <n v="0"/>
    <n v="0"/>
    <n v="0"/>
    <n v="0"/>
    <n v="0"/>
    <n v="0"/>
  </r>
  <r>
    <x v="15"/>
    <n v="5748"/>
    <m/>
    <s v="UNIT SEKANAK PALEMBANG A RIVAI"/>
    <n v="0"/>
    <n v="0"/>
    <n v="0"/>
    <n v="0"/>
    <n v="0"/>
    <n v="0"/>
  </r>
  <r>
    <x v="3"/>
    <n v="5744"/>
    <m/>
    <s v="UNIT SUKAMTO PALEMBANG S"/>
    <n v="0"/>
    <n v="0"/>
    <n v="0"/>
    <n v="0"/>
    <n v="0"/>
    <n v="0"/>
  </r>
  <r>
    <x v="17"/>
    <n v="8154"/>
    <m/>
    <s v="UNIT CUPAT SUNGAI LIAT"/>
    <n v="0"/>
    <n v="0"/>
    <n v="0"/>
    <n v="0"/>
    <n v="0"/>
    <n v="0"/>
  </r>
  <r>
    <x v="14"/>
    <n v="7107"/>
    <m/>
    <s v="UNIT BETUNG PRABUMULIH"/>
    <n v="0"/>
    <n v="0"/>
    <n v="0"/>
    <n v="0"/>
    <n v="0"/>
    <n v="0"/>
  </r>
  <r>
    <x v="7"/>
    <n v="7771"/>
    <m/>
    <s v="UNIT LINGGA KUAMANG MUARA BUNG"/>
    <n v="0"/>
    <n v="0"/>
    <n v="0"/>
    <n v="0"/>
    <n v="0"/>
    <n v="0"/>
  </r>
  <r>
    <x v="18"/>
    <n v="5639"/>
    <m/>
    <s v="UNIT KAYUAGUNG II KAYU AGUNG"/>
    <n v="0"/>
    <n v="0"/>
    <n v="0"/>
    <n v="0"/>
    <n v="0"/>
    <n v="0"/>
  </r>
  <r>
    <x v="18"/>
    <n v="7752"/>
    <m/>
    <s v="UNIT CENGAL KAYUAGUNG"/>
    <n v="0"/>
    <n v="0"/>
    <n v="0"/>
    <n v="0"/>
    <n v="0"/>
    <n v="0"/>
  </r>
  <r>
    <x v="3"/>
    <n v="5752"/>
    <m/>
    <s v="UNIT PAHLAWAN PALEMBANG SRIWIJ"/>
    <n v="0"/>
    <n v="0"/>
    <n v="0"/>
    <n v="0"/>
    <n v="0"/>
    <n v="0"/>
  </r>
  <r>
    <x v="2"/>
    <n v="7916"/>
    <m/>
    <s v="UNIT SIMPANG PESAK TANJUNG PAN"/>
    <n v="1"/>
    <n v="1"/>
    <n v="0"/>
    <n v="1"/>
    <n v="1"/>
    <n v="0"/>
  </r>
  <r>
    <x v="2"/>
    <n v="7140"/>
    <m/>
    <s v="UNIT SIMPANG MEMBALONG TANJUNG"/>
    <n v="1"/>
    <n v="1"/>
    <n v="0"/>
    <n v="1"/>
    <n v="1"/>
    <n v="0"/>
  </r>
  <r>
    <x v="2"/>
    <n v="5806"/>
    <m/>
    <s v="UNIT PASAR BAWAH TANJUNG PANDA"/>
    <n v="2"/>
    <n v="2"/>
    <n v="0"/>
    <n v="1"/>
    <n v="1"/>
    <n v="0"/>
  </r>
  <r>
    <x v="2"/>
    <n v="5805"/>
    <m/>
    <s v="UNIT PANGKAL LALANG TJ PANDAN"/>
    <n v="2"/>
    <n v="2"/>
    <n v="0"/>
    <n v="1"/>
    <n v="1"/>
    <n v="0"/>
  </r>
  <r>
    <x v="2"/>
    <n v="8061"/>
    <m/>
    <s v="UNIT MEMBALONG TANJUNG PANDAN"/>
    <n v="1"/>
    <n v="1"/>
    <n v="0"/>
    <n v="1"/>
    <n v="1"/>
    <n v="0"/>
  </r>
  <r>
    <x v="2"/>
    <n v="3560"/>
    <m/>
    <s v="UNIT MANGGAR TJ PANDAN"/>
    <n v="1"/>
    <n v="1"/>
    <n v="0"/>
    <n v="1"/>
    <n v="1"/>
    <n v="0"/>
  </r>
  <r>
    <x v="2"/>
    <n v="5804"/>
    <m/>
    <s v="UNIT KELAPA KAMPIT TANJUNG PAN"/>
    <n v="1"/>
    <n v="1"/>
    <n v="0"/>
    <n v="1"/>
    <n v="1"/>
    <n v="0"/>
  </r>
  <r>
    <x v="2"/>
    <n v="5803"/>
    <m/>
    <s v="UNIT GANTUNG TANJUNG PANDAN"/>
    <n v="1"/>
    <n v="1"/>
    <n v="0"/>
    <n v="1"/>
    <n v="1"/>
    <n v="0"/>
  </r>
  <r>
    <x v="2"/>
    <n v="7520"/>
    <m/>
    <s v="UNIT AIR MERBAU TANJUNG PANDAN"/>
    <n v="1"/>
    <n v="1"/>
    <n v="0"/>
    <n v="1"/>
    <n v="1"/>
    <n v="0"/>
  </r>
  <r>
    <x v="17"/>
    <n v="7527"/>
    <m/>
    <s v="UNIT TEMPILANG SUNGAI LIAT"/>
    <n v="1"/>
    <n v="1"/>
    <n v="0"/>
    <n v="1"/>
    <n v="1"/>
    <n v="0"/>
  </r>
  <r>
    <x v="17"/>
    <n v="7139"/>
    <m/>
    <s v="UNIT SIMPANG TERITIP SUNGAI LI"/>
    <n v="1"/>
    <n v="1"/>
    <n v="0"/>
    <n v="1"/>
    <n v="1"/>
    <n v="0"/>
  </r>
  <r>
    <x v="17"/>
    <n v="7889"/>
    <m/>
    <s v="UNIT RIAU SILIP SUNGAI LIAT"/>
    <n v="1"/>
    <n v="1"/>
    <n v="0"/>
    <n v="1"/>
    <n v="1"/>
    <n v="0"/>
  </r>
  <r>
    <x v="17"/>
    <n v="5792"/>
    <m/>
    <s v="UNIT PUDING BESAR SUNGAI LIAT"/>
    <n v="1"/>
    <n v="1"/>
    <n v="0"/>
    <n v="1"/>
    <n v="1"/>
    <n v="0"/>
  </r>
  <r>
    <x v="17"/>
    <n v="7052"/>
    <m/>
    <s v="UNIT MENDO SUNGAILIAT"/>
    <n v="1"/>
    <n v="1"/>
    <n v="0"/>
    <n v="1"/>
    <n v="1"/>
    <n v="0"/>
  </r>
  <r>
    <x v="17"/>
    <n v="5791"/>
    <m/>
    <s v="UNIT PARIT TIGA SUNGAI LIAT"/>
    <n v="2"/>
    <n v="2"/>
    <n v="0"/>
    <n v="2"/>
    <n v="1"/>
    <n v="-1"/>
  </r>
  <r>
    <x v="17"/>
    <n v="5793"/>
    <m/>
    <s v="UNIT KOTA SUNGAI LIAT SUNGAI L"/>
    <n v="2"/>
    <n v="2"/>
    <n v="0"/>
    <n v="2"/>
    <n v="1"/>
    <n v="-1"/>
  </r>
  <r>
    <x v="17"/>
    <n v="7050"/>
    <m/>
    <s v="UNIT KOTA II SUNGAILIAT SUNGAI"/>
    <n v="2"/>
    <n v="2"/>
    <n v="0"/>
    <n v="1"/>
    <n v="1"/>
    <n v="0"/>
  </r>
  <r>
    <x v="17"/>
    <n v="7051"/>
    <m/>
    <s v="UNIT KENANGA SUNGAI LIAT"/>
    <n v="1"/>
    <n v="1"/>
    <n v="0"/>
    <n v="1"/>
    <n v="1"/>
    <n v="0"/>
  </r>
  <r>
    <x v="17"/>
    <n v="5790"/>
    <m/>
    <s v="UNIT KELAPA SUNGAI LIAT"/>
    <n v="1"/>
    <n v="1"/>
    <n v="0"/>
    <n v="2"/>
    <n v="1"/>
    <n v="-1"/>
  </r>
  <r>
    <x v="17"/>
    <n v="8100"/>
    <m/>
    <s v="UNIT JEBUS SUNGAI LIAT"/>
    <n v="1"/>
    <n v="1"/>
    <n v="0"/>
    <n v="1"/>
    <n v="1"/>
    <n v="0"/>
  </r>
  <r>
    <x v="17"/>
    <n v="3559"/>
    <m/>
    <s v="UNIT BELINYU"/>
    <n v="2"/>
    <n v="2"/>
    <n v="0"/>
    <n v="1"/>
    <n v="1"/>
    <n v="0"/>
  </r>
  <r>
    <x v="17"/>
    <n v="5789"/>
    <m/>
    <s v="UNIT BATURUSA SUNGAI LIAT"/>
    <n v="1"/>
    <n v="1"/>
    <n v="0"/>
    <n v="1"/>
    <n v="1"/>
    <n v="0"/>
  </r>
  <r>
    <x v="16"/>
    <n v="3558"/>
    <m/>
    <s v="UNIT SUNGAI LILIN SEKAYU"/>
    <n v="2"/>
    <n v="2"/>
    <n v="0"/>
    <n v="2"/>
    <n v="2"/>
    <n v="0"/>
  </r>
  <r>
    <x v="16"/>
    <n v="7196"/>
    <m/>
    <s v="UNIT SEMBAWA SEKAYU"/>
    <n v="2"/>
    <n v="1"/>
    <n v="-1"/>
    <n v="1"/>
    <n v="1"/>
    <n v="0"/>
  </r>
  <r>
    <x v="16"/>
    <n v="5787"/>
    <m/>
    <s v="UNIT SEKAYU KOTA SEKAYU"/>
    <n v="2"/>
    <n v="2"/>
    <n v="0"/>
    <n v="1"/>
    <n v="1"/>
    <n v="0"/>
  </r>
  <r>
    <x v="16"/>
    <n v="5786"/>
    <m/>
    <s v="UNIT SANGA DESA SEKAYU"/>
    <n v="2"/>
    <n v="1"/>
    <n v="-1"/>
    <n v="1"/>
    <n v="1"/>
    <n v="0"/>
  </r>
  <r>
    <x v="16"/>
    <n v="7454"/>
    <m/>
    <s v="UNIT PLAKAT TINGGI SEKAYU"/>
    <n v="1"/>
    <n v="2"/>
    <n v="1"/>
    <n v="1"/>
    <n v="1"/>
    <n v="0"/>
  </r>
  <r>
    <x v="16"/>
    <n v="7671"/>
    <m/>
    <s v="UNIT PENINGGALAN SEKAYU"/>
    <n v="1"/>
    <n v="1"/>
    <n v="0"/>
    <n v="1"/>
    <n v="1"/>
    <n v="0"/>
  </r>
  <r>
    <x v="16"/>
    <n v="5785"/>
    <m/>
    <s v="UNIT PANGKALAN BALAI SEKAYU"/>
    <n v="2"/>
    <n v="2"/>
    <n v="0"/>
    <n v="1"/>
    <n v="1"/>
    <n v="0"/>
  </r>
  <r>
    <x v="16"/>
    <n v="7186"/>
    <m/>
    <s v="UNIT KELUANG SEKAYU"/>
    <n v="2"/>
    <n v="2"/>
    <n v="0"/>
    <n v="1"/>
    <n v="1"/>
    <n v="0"/>
  </r>
  <r>
    <x v="16"/>
    <n v="7219"/>
    <m/>
    <s v="UNIT KAYU ARE SEKAYU"/>
    <n v="2"/>
    <n v="1"/>
    <n v="-1"/>
    <n v="1"/>
    <n v="1"/>
    <n v="0"/>
  </r>
  <r>
    <x v="16"/>
    <n v="5784"/>
    <m/>
    <s v="UNIT BETUNG SEKAYU"/>
    <n v="2"/>
    <n v="2"/>
    <n v="0"/>
    <n v="2"/>
    <n v="2"/>
    <n v="0"/>
  </r>
  <r>
    <x v="16"/>
    <n v="5783"/>
    <m/>
    <s v="UNIT BAYUNG LENCIR SEKAYU"/>
    <n v="2"/>
    <n v="2"/>
    <n v="0"/>
    <n v="2"/>
    <n v="2"/>
    <n v="0"/>
  </r>
  <r>
    <x v="16"/>
    <n v="5782"/>
    <m/>
    <s v="UNIT BABAT TOMAN SEKAYU"/>
    <n v="2"/>
    <n v="2"/>
    <n v="0"/>
    <n v="2"/>
    <n v="2"/>
    <n v="0"/>
  </r>
  <r>
    <x v="0"/>
    <n v="7498"/>
    <m/>
    <s v="UNIT BUKIT SUBAN SAROLANGUN"/>
    <n v="2"/>
    <n v="1"/>
    <n v="-1"/>
    <n v="1"/>
    <n v="1"/>
    <n v="0"/>
  </r>
  <r>
    <x v="0"/>
    <n v="5604"/>
    <m/>
    <s v="UNIT SINGKUT SAROLANGUN"/>
    <n v="3"/>
    <n v="1"/>
    <n v="-2"/>
    <n v="1"/>
    <n v="1"/>
    <n v="0"/>
  </r>
  <r>
    <x v="0"/>
    <n v="3373"/>
    <m/>
    <s v="UNIT SAROLANGUN SAROLANGUN"/>
    <n v="1"/>
    <n v="1"/>
    <n v="0"/>
    <n v="2"/>
    <n v="2"/>
    <n v="0"/>
  </r>
  <r>
    <x v="0"/>
    <n v="7902"/>
    <m/>
    <s v="UNIT PAUH SAROLANGUN"/>
    <n v="1"/>
    <n v="1"/>
    <n v="0"/>
    <n v="1"/>
    <n v="1"/>
    <n v="0"/>
  </r>
  <r>
    <x v="0"/>
    <n v="7101"/>
    <m/>
    <s v="UNIT MANDI ANGIN SAROLANGUN"/>
    <n v="1"/>
    <n v="1"/>
    <n v="0"/>
    <n v="1"/>
    <n v="1"/>
    <n v="0"/>
  </r>
  <r>
    <x v="0"/>
    <n v="8062"/>
    <m/>
    <s v="UNIT LIMBUR SAROLANGUN"/>
    <n v="1"/>
    <n v="1"/>
    <n v="0"/>
    <n v="1"/>
    <n v="1"/>
    <n v="0"/>
  </r>
  <r>
    <x v="6"/>
    <n v="5725"/>
    <m/>
    <s v="UNIT SUNGAI BENGKAL R BUJANG"/>
    <n v="2"/>
    <n v="2"/>
    <n v="0"/>
    <n v="2"/>
    <n v="2"/>
    <n v="0"/>
  </r>
  <r>
    <x v="6"/>
    <n v="8162"/>
    <m/>
    <s v="UNIT SARI MULYA RIMBO BUJANG"/>
    <n v="1"/>
    <n v="1"/>
    <n v="0"/>
    <n v="1"/>
    <n v="1"/>
    <n v="0"/>
  </r>
  <r>
    <x v="6"/>
    <n v="7178"/>
    <m/>
    <s v="UNIT RIMBO ULU RIMBO BUJANG"/>
    <n v="2"/>
    <n v="2"/>
    <n v="0"/>
    <n v="1"/>
    <n v="1"/>
    <n v="0"/>
  </r>
  <r>
    <x v="6"/>
    <n v="3395"/>
    <m/>
    <s v="UNIT RIMBO BUJANG"/>
    <n v="2"/>
    <n v="2"/>
    <n v="0"/>
    <n v="2"/>
    <n v="2"/>
    <n v="0"/>
  </r>
  <r>
    <x v="6"/>
    <n v="7360"/>
    <m/>
    <s v="UNIT PULAU TEMIANG R BUJANG"/>
    <n v="2"/>
    <n v="2"/>
    <n v="0"/>
    <n v="1"/>
    <n v="1"/>
    <n v="0"/>
  </r>
  <r>
    <x v="6"/>
    <n v="3554"/>
    <m/>
    <s v="UNIT MUARA TEBO RIMBO BUJANG"/>
    <n v="2"/>
    <n v="2"/>
    <n v="0"/>
    <n v="1"/>
    <n v="1"/>
    <n v="0"/>
  </r>
  <r>
    <x v="14"/>
    <n v="7108"/>
    <m/>
    <s v="UNIT TANAH ABANG PRABUMULIH"/>
    <n v="1"/>
    <n v="1"/>
    <n v="0"/>
    <n v="1"/>
    <n v="1"/>
    <n v="0"/>
  </r>
  <r>
    <x v="14"/>
    <n v="5770"/>
    <m/>
    <s v="UNIT RAMBANG DANGKU PRABUMULIH"/>
    <n v="2"/>
    <n v="2"/>
    <n v="0"/>
    <n v="1"/>
    <n v="1"/>
    <n v="0"/>
  </r>
  <r>
    <x v="14"/>
    <n v="3557"/>
    <m/>
    <s v="UNIT PENDOPO PRABUMULIH"/>
    <n v="2"/>
    <n v="1"/>
    <n v="-1"/>
    <n v="1"/>
    <n v="1"/>
    <n v="0"/>
  </r>
  <r>
    <x v="14"/>
    <n v="7499"/>
    <m/>
    <s v="UNIT LEMBAK PRABUMULIH"/>
    <n v="1"/>
    <n v="1"/>
    <n v="0"/>
    <n v="1"/>
    <n v="1"/>
    <n v="0"/>
  </r>
  <r>
    <x v="14"/>
    <n v="5769"/>
    <m/>
    <s v="UNIT PRABUMULIH KOTA II PRABUM"/>
    <n v="2"/>
    <n v="1"/>
    <n v="-1"/>
    <n v="2"/>
    <n v="2"/>
    <n v="0"/>
  </r>
  <r>
    <x v="14"/>
    <n v="3556"/>
    <m/>
    <s v="UNIT KOTA PRABUMULIH"/>
    <n v="2"/>
    <n v="2"/>
    <n v="0"/>
    <n v="2"/>
    <n v="2"/>
    <n v="0"/>
  </r>
  <r>
    <x v="14"/>
    <n v="5768"/>
    <m/>
    <s v="UNIT GELUMBANG PRABUMULIH"/>
    <n v="2"/>
    <n v="2"/>
    <n v="0"/>
    <n v="2"/>
    <n v="2"/>
    <n v="0"/>
  </r>
  <r>
    <x v="14"/>
    <n v="5726"/>
    <m/>
    <s v="UNIT CINTA KASIH PRABUMULIH"/>
    <n v="1"/>
    <n v="1"/>
    <n v="0"/>
    <n v="1"/>
    <n v="1"/>
    <n v="0"/>
  </r>
  <r>
    <x v="14"/>
    <n v="8099"/>
    <m/>
    <s v="UNIT BERINGIN PRABUMULIH"/>
    <n v="2"/>
    <n v="2"/>
    <n v="0"/>
    <n v="1"/>
    <n v="1"/>
    <n v="0"/>
  </r>
  <r>
    <x v="14"/>
    <n v="7044"/>
    <m/>
    <s v="UNIT BABAT PRABUMULIH"/>
    <n v="2"/>
    <n v="2"/>
    <n v="0"/>
    <n v="1"/>
    <n v="1"/>
    <n v="0"/>
  </r>
  <r>
    <x v="1"/>
    <n v="7690"/>
    <m/>
    <s v="UNIT TUKAK SADAI PANGKAL PINAN"/>
    <n v="1"/>
    <n v="1"/>
    <n v="0"/>
    <n v="1"/>
    <n v="1"/>
    <n v="0"/>
  </r>
  <r>
    <x v="1"/>
    <n v="3696"/>
    <m/>
    <s v="UNIT TOBOALI PANGKAL PINANG"/>
    <n v="2"/>
    <n v="2"/>
    <n v="0"/>
    <n v="1"/>
    <n v="1"/>
    <n v="0"/>
  </r>
  <r>
    <x v="1"/>
    <n v="7142"/>
    <m/>
    <s v="UNIT SUKARNO HATTA PANGKAL PIN"/>
    <n v="1"/>
    <n v="1"/>
    <n v="0"/>
    <n v="1"/>
    <n v="1"/>
    <n v="0"/>
  </r>
  <r>
    <x v="1"/>
    <n v="5767"/>
    <m/>
    <s v="UNIT PAYUNG PANGKAL PINANG"/>
    <n v="2"/>
    <n v="2"/>
    <n v="0"/>
    <n v="1"/>
    <n v="2"/>
    <n v="1"/>
  </r>
  <r>
    <x v="1"/>
    <n v="5766"/>
    <m/>
    <s v="UNIT PANGKAL PINANG III PANGKA"/>
    <n v="1"/>
    <n v="2"/>
    <n v="1"/>
    <n v="1"/>
    <n v="1"/>
    <n v="0"/>
  </r>
  <r>
    <x v="1"/>
    <n v="5765"/>
    <m/>
    <s v="UNIT PANGKAL PINANG II PANGKAL"/>
    <n v="1"/>
    <n v="1"/>
    <n v="0"/>
    <n v="1"/>
    <n v="1"/>
    <n v="0"/>
  </r>
  <r>
    <x v="1"/>
    <n v="3397"/>
    <m/>
    <s v="UNIT PANGKAL PINANG I"/>
    <n v="2"/>
    <n v="2"/>
    <n v="0"/>
    <n v="1"/>
    <n v="1"/>
    <n v="0"/>
  </r>
  <r>
    <x v="17"/>
    <n v="3555"/>
    <m/>
    <s v="UNIT MENTOK"/>
    <n v="1"/>
    <n v="1"/>
    <n v="0"/>
    <n v="1"/>
    <n v="1"/>
    <n v="0"/>
  </r>
  <r>
    <x v="1"/>
    <n v="5764"/>
    <m/>
    <s v="UNIT KOBA PANGKAL PINANG"/>
    <n v="2"/>
    <n v="2"/>
    <n v="0"/>
    <n v="2"/>
    <n v="2"/>
    <n v="0"/>
  </r>
  <r>
    <x v="1"/>
    <n v="7691"/>
    <m/>
    <s v="UNIT KERAMAT JAYA PANGKAL PINA"/>
    <n v="1"/>
    <n v="1"/>
    <n v="0"/>
    <n v="1"/>
    <n v="1"/>
    <n v="0"/>
  </r>
  <r>
    <x v="1"/>
    <n v="7141"/>
    <m/>
    <s v="UNIT AIR ITAM PANGKAL PINANG"/>
    <n v="1"/>
    <n v="1"/>
    <n v="0"/>
    <n v="1"/>
    <n v="1"/>
    <n v="0"/>
  </r>
  <r>
    <x v="3"/>
    <n v="5788"/>
    <m/>
    <s v="UNIT SUKAJADI PLG SRIWIJAYA"/>
    <n v="2"/>
    <n v="2"/>
    <n v="0"/>
    <n v="1"/>
    <n v="1"/>
    <n v="0"/>
  </r>
  <r>
    <x v="3"/>
    <n v="5757"/>
    <m/>
    <s v="UNIT BOSTER PALEMBANG S"/>
    <n v="2"/>
    <n v="2"/>
    <n v="0"/>
    <n v="1"/>
    <n v="1"/>
    <n v="0"/>
  </r>
  <r>
    <x v="3"/>
    <n v="5756"/>
    <m/>
    <s v="UNIT SIMPANG LIMA PRUNDAM"/>
    <n v="2"/>
    <n v="2"/>
    <n v="0"/>
    <n v="1"/>
    <n v="1"/>
    <n v="0"/>
  </r>
  <r>
    <x v="3"/>
    <n v="5763"/>
    <m/>
    <s v="UNIT SEKIP KEBON SEMAI PALEMBA"/>
    <n v="2"/>
    <n v="2"/>
    <n v="0"/>
    <n v="1"/>
    <n v="1"/>
    <n v="0"/>
  </r>
  <r>
    <x v="3"/>
    <n v="5753"/>
    <m/>
    <s v="UNIT BUKIT SANGKAL CELENTANG"/>
    <n v="2"/>
    <n v="2"/>
    <n v="0"/>
    <n v="1"/>
    <n v="1"/>
    <n v="0"/>
  </r>
  <r>
    <x v="3"/>
    <n v="5746"/>
    <m/>
    <s v="UNIT LEMABANG PALEMBANG"/>
    <n v="2"/>
    <n v="2"/>
    <n v="0"/>
    <n v="1"/>
    <n v="1"/>
    <n v="0"/>
  </r>
  <r>
    <x v="3"/>
    <n v="5745"/>
    <m/>
    <s v="UNIT KUTO PALEMBANG SRIWIJAYA"/>
    <n v="2"/>
    <n v="2"/>
    <n v="0"/>
    <n v="1"/>
    <n v="1"/>
    <n v="0"/>
  </r>
  <r>
    <x v="3"/>
    <n v="7770"/>
    <m/>
    <s v="UNIT KTM TELANG PLG SRIWIJAYA"/>
    <n v="2"/>
    <n v="2"/>
    <n v="0"/>
    <n v="1"/>
    <n v="1"/>
    <n v="0"/>
  </r>
  <r>
    <x v="3"/>
    <n v="3396"/>
    <m/>
    <s v="UNIT KILOMETER 5 PALEMBANG S"/>
    <n v="2"/>
    <n v="2"/>
    <n v="0"/>
    <n v="1"/>
    <n v="1"/>
    <n v="0"/>
  </r>
  <r>
    <x v="3"/>
    <n v="5761"/>
    <m/>
    <s v="UNIT KENTEN SAKO PALEMBANG SRI"/>
    <n v="2"/>
    <n v="2"/>
    <n v="0"/>
    <n v="1"/>
    <n v="1"/>
    <n v="0"/>
  </r>
  <r>
    <x v="3"/>
    <n v="7975"/>
    <m/>
    <s v="UNIT KENTEN AZHAR PALEMBANG S"/>
    <n v="2"/>
    <n v="2"/>
    <n v="0"/>
    <n v="1"/>
    <n v="1"/>
    <n v="0"/>
  </r>
  <r>
    <x v="3"/>
    <n v="5739"/>
    <m/>
    <s v="UNIT KEBUN BUNGA PALEMBANG S"/>
    <n v="2"/>
    <n v="2"/>
    <n v="0"/>
    <n v="1"/>
    <n v="0"/>
    <n v="-1"/>
  </r>
  <r>
    <x v="15"/>
    <n v="5758"/>
    <m/>
    <s v="UNIT PAKJO PALEMBANG A RIVAI"/>
    <n v="2"/>
    <n v="1"/>
    <n v="-1"/>
    <n v="2"/>
    <n v="2"/>
    <n v="0"/>
  </r>
  <r>
    <x v="15"/>
    <n v="7054"/>
    <m/>
    <s v="UNIT SIMPANG PEBEM PALEMBANG A"/>
    <n v="2"/>
    <n v="2"/>
    <n v="0"/>
    <n v="1"/>
    <n v="1"/>
    <n v="0"/>
  </r>
  <r>
    <x v="15"/>
    <n v="5755"/>
    <m/>
    <s v="UNIT SEBERANG ULU PALEMBANG A"/>
    <n v="2"/>
    <n v="2"/>
    <n v="0"/>
    <n v="1"/>
    <n v="1"/>
    <n v="0"/>
  </r>
  <r>
    <x v="15"/>
    <n v="5747"/>
    <m/>
    <s v="UNIT PLAJU PALEMBANG A RIVAI"/>
    <n v="2"/>
    <n v="2"/>
    <n v="0"/>
    <n v="2"/>
    <n v="2"/>
    <n v="0"/>
  </r>
  <r>
    <x v="15"/>
    <n v="5762"/>
    <m/>
    <s v="UNIT MERDEKA PALEMBANG A RIVAI"/>
    <n v="2"/>
    <n v="2"/>
    <n v="0"/>
    <n v="2"/>
    <n v="2"/>
    <n v="0"/>
  </r>
  <r>
    <x v="15"/>
    <n v="7751"/>
    <m/>
    <s v="UNIT MASKEREBET PALEMBANG A RI"/>
    <n v="2"/>
    <n v="2"/>
    <n v="0"/>
    <n v="1"/>
    <n v="1"/>
    <n v="0"/>
  </r>
  <r>
    <x v="15"/>
    <n v="8060"/>
    <m/>
    <s v="UNIT MARIANA PALEMBANG A RIVAI"/>
    <n v="2"/>
    <n v="2"/>
    <n v="0"/>
    <n v="1"/>
    <n v="1"/>
    <n v="0"/>
  </r>
  <r>
    <x v="15"/>
    <n v="5750"/>
    <m/>
    <s v="UNIT LINGKARAN PALEMBANG A RIV"/>
    <n v="2"/>
    <n v="2"/>
    <n v="0"/>
    <n v="2"/>
    <n v="2"/>
    <n v="0"/>
  </r>
  <r>
    <x v="15"/>
    <n v="5740"/>
    <m/>
    <s v="UNIT KERTAPATI PALEMBANG A R"/>
    <n v="2"/>
    <n v="2"/>
    <n v="0"/>
    <n v="1"/>
    <n v="1"/>
    <n v="0"/>
  </r>
  <r>
    <x v="15"/>
    <n v="5749"/>
    <m/>
    <s v="UNIT JAKABARING PALEMBANG A RI"/>
    <n v="2"/>
    <n v="1"/>
    <n v="-1"/>
    <n v="1"/>
    <n v="1"/>
    <n v="0"/>
  </r>
  <r>
    <x v="15"/>
    <n v="8059"/>
    <m/>
    <s v="UNIT GANDUS PALEMBANG A RIVAI"/>
    <n v="2"/>
    <n v="2"/>
    <n v="0"/>
    <n v="1"/>
    <n v="1"/>
    <n v="0"/>
  </r>
  <r>
    <x v="15"/>
    <n v="5743"/>
    <m/>
    <s v="UNIT CINDE PALEMBANG A RIVAI"/>
    <n v="1"/>
    <n v="1"/>
    <n v="0"/>
    <n v="1"/>
    <n v="1"/>
    <n v="0"/>
  </r>
  <r>
    <x v="15"/>
    <n v="5742"/>
    <m/>
    <s v="UNIT 5 ULU PALEMBANG A RIVAI"/>
    <n v="2"/>
    <n v="2"/>
    <n v="0"/>
    <n v="1"/>
    <n v="1"/>
    <n v="0"/>
  </r>
  <r>
    <x v="4"/>
    <n v="5738"/>
    <m/>
    <s v="UNIT TANJUNG SAKTI PAGAR ALAM"/>
    <n v="1"/>
    <n v="1"/>
    <n v="0"/>
    <n v="1"/>
    <n v="1"/>
    <n v="0"/>
  </r>
  <r>
    <x v="4"/>
    <n v="5737"/>
    <m/>
    <s v="UNIT PENDOPO PAGAR ALAM"/>
    <n v="1"/>
    <n v="1"/>
    <n v="0"/>
    <n v="1"/>
    <n v="1"/>
    <n v="0"/>
  </r>
  <r>
    <x v="4"/>
    <n v="5736"/>
    <m/>
    <s v="UNIT PAGAR ALAM PAGAR ALAM"/>
    <n v="2"/>
    <n v="2"/>
    <n v="0"/>
    <n v="1"/>
    <n v="1"/>
    <n v="0"/>
  </r>
  <r>
    <x v="4"/>
    <n v="5735"/>
    <m/>
    <s v="UNIT MUARA PINANG PAGAR ALAM"/>
    <n v="1"/>
    <n v="1"/>
    <n v="0"/>
    <n v="1"/>
    <n v="1"/>
    <n v="0"/>
  </r>
  <r>
    <x v="4"/>
    <n v="5734"/>
    <m/>
    <s v="UNIT JARAI PAGAR ALAM"/>
    <n v="1"/>
    <n v="1"/>
    <n v="0"/>
    <n v="1"/>
    <n v="1"/>
    <n v="0"/>
  </r>
  <r>
    <x v="4"/>
    <n v="5733"/>
    <m/>
    <s v="UNIT DEMPO PERMAI PAGAR ALAM"/>
    <n v="2"/>
    <n v="2"/>
    <n v="0"/>
    <n v="1"/>
    <n v="1"/>
    <n v="0"/>
  </r>
  <r>
    <x v="5"/>
    <n v="5732"/>
    <m/>
    <s v="UNIT TANJUNG ENIM MUARA ENIM"/>
    <n v="2"/>
    <n v="2"/>
    <n v="0"/>
    <n v="2"/>
    <n v="2"/>
    <n v="0"/>
  </r>
  <r>
    <x v="5"/>
    <n v="5731"/>
    <m/>
    <s v="UNIT TANJUNG BARU MUARA ENIM"/>
    <n v="2"/>
    <n v="2"/>
    <n v="0"/>
    <n v="1"/>
    <n v="1"/>
    <n v="0"/>
  </r>
  <r>
    <x v="5"/>
    <n v="5730"/>
    <m/>
    <s v="UNIT SUDIRMAN MUARA ENIM"/>
    <n v="2"/>
    <n v="2"/>
    <n v="0"/>
    <n v="2"/>
    <n v="2"/>
    <n v="0"/>
  </r>
  <r>
    <x v="5"/>
    <n v="5729"/>
    <m/>
    <s v="UNIT PULAU PANGGUNG MUARA ENIM"/>
    <n v="2"/>
    <n v="2"/>
    <n v="0"/>
    <n v="1"/>
    <n v="1"/>
    <n v="0"/>
  </r>
  <r>
    <x v="5"/>
    <n v="5728"/>
    <m/>
    <s v="UNIT MUARA ENIM"/>
    <n v="2"/>
    <n v="2"/>
    <n v="0"/>
    <n v="2"/>
    <n v="2"/>
    <n v="0"/>
  </r>
  <r>
    <x v="5"/>
    <n v="5727"/>
    <m/>
    <s v="UNIT GUNUNG MEGANG MUARA ENIM"/>
    <n v="2"/>
    <n v="2"/>
    <n v="0"/>
    <n v="1"/>
    <n v="1"/>
    <n v="0"/>
  </r>
  <r>
    <x v="7"/>
    <n v="8152"/>
    <m/>
    <s v="UNIT SAWMIL MUARA BUNGO"/>
    <n v="1"/>
    <n v="1"/>
    <n v="0"/>
    <n v="1"/>
    <n v="1"/>
    <n v="0"/>
  </r>
  <r>
    <x v="7"/>
    <n v="7177"/>
    <m/>
    <s v="UNIT RIMBO ILIR MUARA BUNGO"/>
    <n v="1"/>
    <n v="1"/>
    <n v="0"/>
    <n v="1"/>
    <n v="1"/>
    <n v="0"/>
  </r>
  <r>
    <x v="7"/>
    <n v="8153"/>
    <m/>
    <s v="UNIT RANTAU PANDAN MUARA BUNGO"/>
    <n v="1"/>
    <n v="1"/>
    <n v="0"/>
    <n v="1"/>
    <n v="1"/>
    <n v="0"/>
  </r>
  <r>
    <x v="7"/>
    <n v="7462"/>
    <m/>
    <s v="UNIT MUARA TABIR MUARA BUNGO"/>
    <n v="1"/>
    <n v="1"/>
    <n v="0"/>
    <n v="1"/>
    <n v="1"/>
    <n v="0"/>
  </r>
  <r>
    <x v="7"/>
    <n v="7047"/>
    <m/>
    <s v="UNIT GAPURA SUCI MUARA BUNGO"/>
    <n v="1"/>
    <n v="1"/>
    <n v="0"/>
    <n v="1"/>
    <n v="1"/>
    <n v="0"/>
  </r>
  <r>
    <x v="7"/>
    <n v="5724"/>
    <m/>
    <s v="UNIT MUARA BUNGO"/>
    <n v="2"/>
    <n v="2"/>
    <n v="0"/>
    <n v="2"/>
    <n v="2"/>
    <n v="0"/>
  </r>
  <r>
    <x v="7"/>
    <n v="5723"/>
    <m/>
    <s v="UNIT KUAMANG KUNING MUARA BUNG"/>
    <n v="2"/>
    <n v="2"/>
    <n v="0"/>
    <n v="1"/>
    <n v="1"/>
    <n v="0"/>
  </r>
  <r>
    <x v="7"/>
    <n v="8151"/>
    <m/>
    <s v="UNIT KM EMPAT EMPAT MUARA BUNG"/>
    <n v="1"/>
    <n v="1"/>
    <n v="0"/>
    <n v="1"/>
    <n v="1"/>
    <n v="0"/>
  </r>
  <r>
    <x v="19"/>
    <n v="7049"/>
    <m/>
    <s v="UNIT SUNGAI BAHAR III MUARA BU"/>
    <n v="1"/>
    <n v="1"/>
    <n v="0"/>
    <n v="1"/>
    <n v="1"/>
    <n v="0"/>
  </r>
  <r>
    <x v="19"/>
    <n v="5719"/>
    <m/>
    <s v="UNIT SUNGAI BAHAR II MUARA BUL"/>
    <n v="1"/>
    <n v="1"/>
    <n v="0"/>
    <n v="1"/>
    <n v="1"/>
    <n v="0"/>
  </r>
  <r>
    <x v="19"/>
    <n v="5720"/>
    <m/>
    <s v="UNIT SUNGAI BAHAR MUARA BULIAN"/>
    <n v="2"/>
    <n v="2"/>
    <n v="0"/>
    <n v="1"/>
    <n v="1"/>
    <n v="0"/>
  </r>
  <r>
    <x v="19"/>
    <n v="7915"/>
    <m/>
    <s v="UNIT PEMAYUNG MUARA BULIAN"/>
    <n v="2"/>
    <n v="2"/>
    <n v="0"/>
    <n v="1"/>
    <n v="1"/>
    <n v="0"/>
  </r>
  <r>
    <x v="19"/>
    <n v="5717"/>
    <m/>
    <s v="UNIT PASAR RENGAS MUARA BULIAN"/>
    <n v="2"/>
    <n v="2"/>
    <n v="0"/>
    <n v="1"/>
    <n v="1"/>
    <n v="0"/>
  </r>
  <r>
    <x v="19"/>
    <n v="3553"/>
    <m/>
    <s v="UNIT MUARA TEMBESI"/>
    <n v="2"/>
    <n v="2"/>
    <n v="0"/>
    <n v="1"/>
    <n v="1"/>
    <n v="0"/>
  </r>
  <r>
    <x v="19"/>
    <n v="5715"/>
    <m/>
    <s v="UNIT MERSAM MUARA BULIAN"/>
    <n v="2"/>
    <n v="2"/>
    <n v="0"/>
    <n v="1"/>
    <n v="1"/>
    <n v="0"/>
  </r>
  <r>
    <x v="19"/>
    <n v="7048"/>
    <m/>
    <s v="UNIT MARKANDING MUARA BULIAN"/>
    <n v="1"/>
    <n v="1"/>
    <n v="0"/>
    <n v="1"/>
    <n v="1"/>
    <n v="0"/>
  </r>
  <r>
    <x v="19"/>
    <n v="5716"/>
    <m/>
    <s v="UNIT KOTA MUARA BULIAN MUARA B"/>
    <n v="2"/>
    <n v="2"/>
    <n v="0"/>
    <n v="1"/>
    <n v="1"/>
    <n v="0"/>
  </r>
  <r>
    <x v="19"/>
    <n v="7106"/>
    <m/>
    <s v="UNIT BATIN MUARA BULIAN"/>
    <n v="1"/>
    <n v="1"/>
    <n v="0"/>
    <n v="1"/>
    <n v="1"/>
    <n v="0"/>
  </r>
  <r>
    <x v="19"/>
    <n v="5713"/>
    <m/>
    <s v="UNIT BAJUBANG MUARA BULIAN"/>
    <n v="1"/>
    <n v="1"/>
    <n v="0"/>
    <n v="1"/>
    <n v="1"/>
    <n v="0"/>
  </r>
  <r>
    <x v="8"/>
    <n v="5683"/>
    <m/>
    <s v="UNIT SUDIRMAN LUBUK LINGGAU"/>
    <n v="2"/>
    <n v="2"/>
    <n v="0"/>
    <n v="1"/>
    <n v="1"/>
    <n v="0"/>
  </r>
  <r>
    <x v="8"/>
    <n v="5682"/>
    <m/>
    <s v="UNIT SIMPANG PERIUK LB LINGGAU"/>
    <n v="2"/>
    <n v="2"/>
    <n v="0"/>
    <n v="1"/>
    <n v="1"/>
    <n v="0"/>
  </r>
  <r>
    <x v="8"/>
    <n v="7607"/>
    <m/>
    <s v="UNIT SIMPANG NIBUNG LUBUK LING"/>
    <n v="1"/>
    <n v="1"/>
    <n v="0"/>
    <n v="1"/>
    <n v="1"/>
    <n v="0"/>
  </r>
  <r>
    <x v="8"/>
    <n v="5681"/>
    <m/>
    <s v="UNIT PASAR SATELIT LUBUK LINGG"/>
    <n v="2"/>
    <n v="2"/>
    <n v="0"/>
    <n v="1"/>
    <n v="1"/>
    <n v="0"/>
  </r>
  <r>
    <x v="8"/>
    <n v="5680"/>
    <m/>
    <s v="UNIT O MANGUN HARJO LUBUK LIN"/>
    <n v="2"/>
    <n v="2"/>
    <n v="0"/>
    <n v="1"/>
    <n v="1"/>
    <n v="0"/>
  </r>
  <r>
    <x v="8"/>
    <n v="5679"/>
    <m/>
    <s v="UNIT MUARA RUPIT LUBUK LINGGAU"/>
    <n v="2"/>
    <n v="2"/>
    <n v="0"/>
    <n v="1"/>
    <n v="1"/>
    <n v="0"/>
  </r>
  <r>
    <x v="8"/>
    <n v="8058"/>
    <m/>
    <s v="UNIT MUARA LAKITAN LUBUK LINGG"/>
    <n v="1"/>
    <n v="1"/>
    <n v="0"/>
    <n v="1"/>
    <n v="1"/>
    <n v="0"/>
  </r>
  <r>
    <x v="8"/>
    <n v="7046"/>
    <m/>
    <s v="UNIT MUARA KELINGI LUBUK LINGG"/>
    <n v="2"/>
    <n v="2"/>
    <n v="0"/>
    <n v="1"/>
    <n v="0"/>
    <n v="-1"/>
  </r>
  <r>
    <x v="8"/>
    <n v="7045"/>
    <m/>
    <s v="UNIT MUARA BELITI LUBUK LINGGA"/>
    <n v="2"/>
    <n v="2"/>
    <n v="0"/>
    <n v="1"/>
    <n v="1"/>
    <n v="0"/>
  </r>
  <r>
    <x v="8"/>
    <n v="5678"/>
    <m/>
    <s v="UNIT MEGANG SAKTI LUBUK LINGGA"/>
    <n v="2"/>
    <n v="2"/>
    <n v="0"/>
    <n v="1"/>
    <n v="1"/>
    <n v="0"/>
  </r>
  <r>
    <x v="8"/>
    <n v="8057"/>
    <m/>
    <s v="UNIT MARGA BARU LUBUK LINGGAU"/>
    <n v="1"/>
    <n v="1"/>
    <n v="0"/>
    <n v="1"/>
    <n v="1"/>
    <n v="0"/>
  </r>
  <r>
    <x v="8"/>
    <n v="5677"/>
    <m/>
    <s v="UNIT GARUDA LUBUK LINGGAU"/>
    <n v="2"/>
    <n v="2"/>
    <n v="0"/>
    <n v="1"/>
    <n v="1"/>
    <n v="0"/>
  </r>
  <r>
    <x v="8"/>
    <n v="7606"/>
    <m/>
    <s v="UNIT CECAR LUBUK LINGGAU"/>
    <n v="1"/>
    <n v="1"/>
    <n v="0"/>
    <n v="1"/>
    <n v="1"/>
    <n v="0"/>
  </r>
  <r>
    <x v="8"/>
    <n v="8056"/>
    <m/>
    <s v="UNIT BUMI MAKMUR LUBUK LINGGAU"/>
    <n v="1"/>
    <n v="1"/>
    <n v="0"/>
    <n v="1"/>
    <n v="1"/>
    <n v="0"/>
  </r>
  <r>
    <x v="8"/>
    <n v="5676"/>
    <m/>
    <s v="UNIT B SRIKATON LUBUK LINGGAU"/>
    <n v="2"/>
    <n v="2"/>
    <n v="0"/>
    <n v="1"/>
    <n v="1"/>
    <n v="0"/>
  </r>
  <r>
    <x v="9"/>
    <n v="3550"/>
    <m/>
    <s v="UNIT TEBING TINGGI LAHAT"/>
    <n v="2"/>
    <n v="1"/>
    <n v="-1"/>
    <n v="1"/>
    <n v="1"/>
    <n v="0"/>
  </r>
  <r>
    <x v="9"/>
    <n v="7461"/>
    <m/>
    <s v="UNIT TANJUNG AUR LAHAT"/>
    <n v="2"/>
    <n v="2"/>
    <n v="0"/>
    <n v="1"/>
    <n v="1"/>
    <n v="0"/>
  </r>
  <r>
    <x v="9"/>
    <n v="5675"/>
    <m/>
    <s v="UNIT PS LEMATANG LAHAT"/>
    <n v="2"/>
    <n v="2"/>
    <n v="0"/>
    <n v="2"/>
    <n v="2"/>
    <n v="0"/>
  </r>
  <r>
    <x v="9"/>
    <n v="3393"/>
    <m/>
    <s v="UNIT PASAR LAMA LAHAT"/>
    <n v="2"/>
    <n v="1"/>
    <n v="-1"/>
    <n v="2"/>
    <n v="2"/>
    <n v="0"/>
  </r>
  <r>
    <x v="9"/>
    <n v="5674"/>
    <m/>
    <s v="UNIT MERAPI LAHAT"/>
    <n v="1"/>
    <n v="1"/>
    <n v="0"/>
    <n v="1"/>
    <n v="1"/>
    <n v="0"/>
  </r>
  <r>
    <x v="9"/>
    <n v="5673"/>
    <m/>
    <s v="UNIT KOTA AGUNG LAHAT"/>
    <n v="1"/>
    <n v="1"/>
    <n v="0"/>
    <n v="1"/>
    <n v="1"/>
    <n v="0"/>
  </r>
  <r>
    <x v="9"/>
    <n v="5672"/>
    <m/>
    <s v="UNIT BUNGAMAS LAHAT"/>
    <n v="1"/>
    <n v="1"/>
    <n v="0"/>
    <n v="1"/>
    <n v="1"/>
    <n v="0"/>
  </r>
  <r>
    <x v="10"/>
    <n v="7080"/>
    <m/>
    <s v="UNIT SERDANG JAYA KUALA T"/>
    <n v="1"/>
    <n v="1"/>
    <n v="0"/>
    <n v="1"/>
    <n v="1"/>
    <n v="0"/>
  </r>
  <r>
    <x v="10"/>
    <n v="7288"/>
    <m/>
    <s v="UNIT TEBING TINGGI KUALA TUNGK"/>
    <n v="1"/>
    <n v="1"/>
    <n v="0"/>
    <n v="1"/>
    <n v="1"/>
    <n v="0"/>
  </r>
  <r>
    <x v="10"/>
    <n v="7850"/>
    <m/>
    <s v="UNIT SUDIRMAN KUALA TUNGKAL"/>
    <n v="1"/>
    <n v="1"/>
    <n v="0"/>
    <n v="1"/>
    <n v="1"/>
    <n v="0"/>
  </r>
  <r>
    <x v="10"/>
    <n v="7738"/>
    <m/>
    <s v="UNIT SIDOMUKTI KUALA TUNGKAL"/>
    <n v="1"/>
    <n v="1"/>
    <n v="0"/>
    <n v="1"/>
    <n v="1"/>
    <n v="0"/>
  </r>
  <r>
    <x v="10"/>
    <n v="7289"/>
    <m/>
    <s v="UNIT RANTAU BADAK KUALA TUNGKA"/>
    <n v="1"/>
    <n v="1"/>
    <n v="0"/>
    <n v="1"/>
    <n v="1"/>
    <n v="0"/>
  </r>
  <r>
    <x v="10"/>
    <n v="5671"/>
    <m/>
    <s v="UNIT PURWODADI KUALA TUNGKAL"/>
    <n v="1"/>
    <n v="1"/>
    <n v="0"/>
    <n v="1"/>
    <n v="1"/>
    <n v="0"/>
  </r>
  <r>
    <x v="10"/>
    <n v="8144"/>
    <m/>
    <s v="UNIT PENGABUAN KUALA TUNGKAL"/>
    <n v="1"/>
    <n v="1"/>
    <n v="0"/>
    <n v="1"/>
    <n v="1"/>
    <n v="0"/>
  </r>
  <r>
    <x v="10"/>
    <n v="7739"/>
    <m/>
    <s v="UNIT PELITA KUALA TUNGKAL"/>
    <n v="2"/>
    <n v="2"/>
    <n v="0"/>
    <n v="1"/>
    <n v="1"/>
    <n v="0"/>
  </r>
  <r>
    <x v="10"/>
    <n v="5670"/>
    <m/>
    <s v="UNIT PELABUHAN DAGANG KUALA TU"/>
    <n v="2"/>
    <n v="2"/>
    <n v="0"/>
    <n v="1"/>
    <n v="1"/>
    <n v="0"/>
  </r>
  <r>
    <x v="10"/>
    <n v="5669"/>
    <m/>
    <s v="UNIT NIPAH PANJANG KUALA TUNGK"/>
    <n v="1"/>
    <n v="1"/>
    <n v="0"/>
    <n v="1"/>
    <n v="1"/>
    <n v="0"/>
  </r>
  <r>
    <x v="10"/>
    <n v="5668"/>
    <m/>
    <s v="UNIT MUARA SABAK KUALA TUNGKAL"/>
    <n v="2"/>
    <n v="2"/>
    <n v="0"/>
    <n v="1"/>
    <n v="1"/>
    <n v="0"/>
  </r>
  <r>
    <x v="10"/>
    <n v="5667"/>
    <m/>
    <s v="UNIT MERLUNG KUALA TUNGKAL"/>
    <n v="2"/>
    <n v="2"/>
    <n v="0"/>
    <n v="1"/>
    <n v="1"/>
    <n v="0"/>
  </r>
  <r>
    <x v="10"/>
    <n v="5666"/>
    <m/>
    <s v="UNIT KOTA K. TUNGKAL KUALA TUN"/>
    <n v="2"/>
    <n v="2"/>
    <n v="0"/>
    <n v="1"/>
    <n v="1"/>
    <n v="0"/>
  </r>
  <r>
    <x v="10"/>
    <n v="7104"/>
    <m/>
    <s v="UNIT GERAGAI KUALA TUNGKAL"/>
    <n v="1"/>
    <n v="1"/>
    <n v="0"/>
    <n v="1"/>
    <n v="1"/>
    <n v="0"/>
  </r>
  <r>
    <x v="18"/>
    <n v="5648"/>
    <m/>
    <s v="UNIT TUGU MULYO KAYUAGUNG"/>
    <n v="2"/>
    <n v="2"/>
    <n v="0"/>
    <n v="2"/>
    <n v="2"/>
    <n v="0"/>
  </r>
  <r>
    <x v="18"/>
    <n v="5647"/>
    <m/>
    <s v="UNIT TANJUNG RAJA"/>
    <n v="2"/>
    <n v="2"/>
    <n v="0"/>
    <n v="2"/>
    <n v="2"/>
    <n v="0"/>
  </r>
  <r>
    <x v="18"/>
    <n v="5646"/>
    <m/>
    <s v="UNIT TANJUNG LUBUK KAYU AGUNG"/>
    <n v="2"/>
    <n v="2"/>
    <n v="0"/>
    <n v="1"/>
    <n v="1"/>
    <n v="0"/>
  </r>
  <r>
    <x v="18"/>
    <n v="5645"/>
    <m/>
    <s v="UNIT TANJUNG BATU KAYU AGUNG"/>
    <n v="2"/>
    <n v="2"/>
    <n v="0"/>
    <n v="2"/>
    <n v="2"/>
    <n v="0"/>
  </r>
  <r>
    <x v="18"/>
    <n v="7786"/>
    <m/>
    <s v="UNIT SUMBER HIDUP KAYUAGUNG"/>
    <n v="2"/>
    <n v="2"/>
    <n v="0"/>
    <n v="1"/>
    <n v="1"/>
    <n v="0"/>
  </r>
  <r>
    <x v="18"/>
    <n v="5643"/>
    <m/>
    <s v="UNIT SIRAH PULAU PADANG KAYU A"/>
    <n v="2"/>
    <n v="2"/>
    <n v="0"/>
    <n v="2"/>
    <n v="2"/>
    <n v="0"/>
  </r>
  <r>
    <x v="18"/>
    <n v="5644"/>
    <m/>
    <s v="UNIT SP TIMBANGAN KAYUAGUNG"/>
    <n v="2"/>
    <n v="2"/>
    <n v="0"/>
    <n v="2"/>
    <n v="2"/>
    <n v="0"/>
  </r>
  <r>
    <x v="18"/>
    <n v="5642"/>
    <m/>
    <s v="UNIT PEMATANG PANGGANG KAYU AG"/>
    <n v="2"/>
    <n v="2"/>
    <n v="0"/>
    <n v="2"/>
    <n v="2"/>
    <n v="0"/>
  </r>
  <r>
    <x v="18"/>
    <n v="5641"/>
    <m/>
    <s v="UNIT PAMPANGAN KAYU AGUNG"/>
    <n v="1"/>
    <n v="1"/>
    <n v="0"/>
    <n v="1"/>
    <n v="1"/>
    <n v="0"/>
  </r>
  <r>
    <x v="18"/>
    <n v="7785"/>
    <m/>
    <s v="UNIT MUARA BURNAI KAYUAGUNG"/>
    <n v="2"/>
    <n v="2"/>
    <n v="0"/>
    <n v="1"/>
    <n v="1"/>
    <n v="0"/>
  </r>
  <r>
    <x v="18"/>
    <n v="5640"/>
    <m/>
    <s v="UNIT LUBUK SEBERUK KAYU AGUNG"/>
    <n v="2"/>
    <n v="2"/>
    <n v="0"/>
    <n v="2"/>
    <n v="2"/>
    <n v="0"/>
  </r>
  <r>
    <x v="18"/>
    <n v="7217"/>
    <m/>
    <s v="UNIT KEMANG INDAH KAYU AGUNG"/>
    <n v="2"/>
    <n v="2"/>
    <n v="0"/>
    <n v="1"/>
    <n v="1"/>
    <n v="0"/>
  </r>
  <r>
    <x v="18"/>
    <n v="5638"/>
    <m/>
    <s v="UNIT KAYU AGUNG I KAYU AGUNG"/>
    <n v="2"/>
    <n v="2"/>
    <n v="0"/>
    <n v="2"/>
    <n v="2"/>
    <n v="0"/>
  </r>
  <r>
    <x v="18"/>
    <n v="5637"/>
    <m/>
    <s v="UNIT INDRALAYA KAYU AGUNG"/>
    <n v="2"/>
    <n v="2"/>
    <n v="0"/>
    <n v="2"/>
    <n v="2"/>
    <n v="0"/>
  </r>
  <r>
    <x v="18"/>
    <n v="5636"/>
    <m/>
    <s v="UNIT CINTA MANIS KAYU AGUNG"/>
    <n v="2"/>
    <n v="2"/>
    <n v="0"/>
    <n v="1"/>
    <n v="1"/>
    <n v="0"/>
  </r>
  <r>
    <x v="18"/>
    <n v="7432"/>
    <m/>
    <s v="UNIT CATUR TUNGGAL KAYU AGUNG"/>
    <n v="2"/>
    <n v="2"/>
    <n v="0"/>
    <n v="1"/>
    <n v="1"/>
    <n v="0"/>
  </r>
  <r>
    <x v="11"/>
    <n v="5722"/>
    <m/>
    <s v="UNIT UNIJA JAMBI"/>
    <n v="2"/>
    <n v="2"/>
    <n v="0"/>
    <n v="1"/>
    <n v="1"/>
    <n v="0"/>
  </r>
  <r>
    <x v="11"/>
    <n v="5635"/>
    <m/>
    <s v="UNIT THEHOK JAMBI"/>
    <n v="2"/>
    <n v="2"/>
    <n v="0"/>
    <n v="2"/>
    <n v="2"/>
    <n v="0"/>
  </r>
  <r>
    <x v="11"/>
    <n v="5721"/>
    <m/>
    <s v="UNIT TEMPINO JAMBI"/>
    <n v="2"/>
    <n v="1"/>
    <n v="-1"/>
    <n v="1"/>
    <n v="1"/>
    <n v="0"/>
  </r>
  <r>
    <x v="11"/>
    <n v="5634"/>
    <m/>
    <s v="UNIT TALANG BANJAR JAMBI"/>
    <n v="2"/>
    <n v="2"/>
    <n v="0"/>
    <n v="2"/>
    <n v="1"/>
    <n v="-1"/>
  </r>
  <r>
    <x v="11"/>
    <n v="5632"/>
    <m/>
    <s v="UNIT SP IV SIPIN"/>
    <n v="2"/>
    <n v="1"/>
    <n v="-1"/>
    <n v="2"/>
    <n v="1"/>
    <n v="-1"/>
  </r>
  <r>
    <x v="11"/>
    <n v="5718"/>
    <m/>
    <s v="UNIT SIMPANG PRAMUKA JAMBI"/>
    <n v="2"/>
    <n v="2"/>
    <n v="0"/>
    <n v="1"/>
    <n v="1"/>
    <n v="0"/>
  </r>
  <r>
    <x v="11"/>
    <n v="3552"/>
    <m/>
    <s v="UNIT SANGETI JAMBI"/>
    <n v="2"/>
    <n v="2"/>
    <n v="0"/>
    <n v="1"/>
    <n v="1"/>
    <n v="0"/>
  </r>
  <r>
    <x v="11"/>
    <n v="5629"/>
    <m/>
    <s v="UNIT AUR DURI JAMBI"/>
    <n v="2"/>
    <n v="2"/>
    <n v="0"/>
    <n v="1"/>
    <n v="1"/>
    <n v="0"/>
  </r>
  <r>
    <x v="11"/>
    <n v="5628"/>
    <m/>
    <s v="UNIT ANGSO DUO JAMBI"/>
    <n v="2"/>
    <n v="2"/>
    <n v="0"/>
    <n v="1"/>
    <n v="1"/>
    <n v="0"/>
  </r>
  <r>
    <x v="12"/>
    <n v="8150"/>
    <m/>
    <s v="UNIT SUMBER JAYA BATURAJA"/>
    <n v="1"/>
    <n v="1"/>
    <n v="0"/>
    <n v="1"/>
    <n v="1"/>
    <n v="0"/>
  </r>
  <r>
    <x v="12"/>
    <n v="5614"/>
    <m/>
    <s v="UNIT PURWODADI"/>
    <n v="2"/>
    <n v="2"/>
    <n v="0"/>
    <n v="1"/>
    <n v="1"/>
    <n v="0"/>
  </r>
  <r>
    <x v="12"/>
    <n v="7041"/>
    <m/>
    <s v="UNIT SINAR PENIJAUAN BATURAJA"/>
    <n v="1"/>
    <n v="1"/>
    <n v="0"/>
    <n v="1"/>
    <n v="1"/>
    <n v="0"/>
  </r>
  <r>
    <x v="12"/>
    <n v="5613"/>
    <m/>
    <s v="UNIT RAWA BENING BATURAJA"/>
    <n v="2"/>
    <n v="2"/>
    <n v="0"/>
    <n v="1"/>
    <n v="1"/>
    <n v="0"/>
  </r>
  <r>
    <x v="12"/>
    <n v="7412"/>
    <m/>
    <s v="UNIT PENINJAUAN BATURAJA"/>
    <n v="1"/>
    <n v="1"/>
    <n v="0"/>
    <n v="1"/>
    <n v="1"/>
    <n v="0"/>
  </r>
  <r>
    <x v="12"/>
    <n v="8052"/>
    <m/>
    <s v="UNIT PASAR ILIR BATURAJA"/>
    <n v="2"/>
    <n v="2"/>
    <n v="0"/>
    <n v="1"/>
    <n v="1"/>
    <n v="0"/>
  </r>
  <r>
    <x v="12"/>
    <n v="5612"/>
    <m/>
    <s v="UNIT MUARADUA BATURAJA"/>
    <n v="2"/>
    <n v="1"/>
    <n v="-1"/>
    <n v="2"/>
    <n v="2"/>
    <n v="0"/>
  </r>
  <r>
    <x v="12"/>
    <n v="5611"/>
    <m/>
    <s v="UNIT MARTAPURA BATURAJA"/>
    <n v="2"/>
    <n v="2"/>
    <n v="0"/>
    <n v="2"/>
    <n v="2"/>
    <n v="0"/>
  </r>
  <r>
    <x v="12"/>
    <n v="5610"/>
    <m/>
    <s v="UNIT LINTAS SUMATERA BATURAJA"/>
    <n v="1"/>
    <n v="1"/>
    <n v="0"/>
    <n v="1"/>
    <n v="1"/>
    <n v="0"/>
  </r>
  <r>
    <x v="12"/>
    <n v="3286"/>
    <m/>
    <s v="UNIT KOTA BATURAJA"/>
    <n v="2"/>
    <n v="2"/>
    <n v="0"/>
    <n v="2"/>
    <n v="1"/>
    <n v="0"/>
  </r>
  <r>
    <x v="12"/>
    <n v="5609"/>
    <m/>
    <s v="UNIT HARJOWINANGUN BATURAJA"/>
    <n v="2"/>
    <n v="2"/>
    <n v="0"/>
    <n v="1"/>
    <n v="1"/>
    <n v="0"/>
  </r>
  <r>
    <x v="12"/>
    <n v="5607"/>
    <m/>
    <s v="UNIT NUSA BAKTI"/>
    <n v="2"/>
    <n v="1"/>
    <n v="-1"/>
    <n v="1"/>
    <n v="1"/>
    <n v="0"/>
  </r>
  <r>
    <x v="12"/>
    <n v="5608"/>
    <m/>
    <s v="UNIT GUMAWANG I BATURAJA"/>
    <n v="2"/>
    <n v="2"/>
    <n v="0"/>
    <n v="1"/>
    <n v="1"/>
    <n v="0"/>
  </r>
  <r>
    <x v="12"/>
    <n v="5606"/>
    <m/>
    <s v="UNIT GATOT SUBROTO BATURAJA"/>
    <n v="2"/>
    <n v="2"/>
    <n v="0"/>
    <n v="2"/>
    <n v="2"/>
    <n v="0"/>
  </r>
  <r>
    <x v="12"/>
    <n v="5605"/>
    <m/>
    <s v="UNIT BATUMARTA BATURAJA"/>
    <n v="2"/>
    <n v="2"/>
    <n v="0"/>
    <n v="2"/>
    <n v="2"/>
    <n v="0"/>
  </r>
  <r>
    <x v="13"/>
    <n v="7339"/>
    <m/>
    <s v="UNIT TAMBANG EMAS BANGKO"/>
    <n v="1"/>
    <n v="1"/>
    <n v="0"/>
    <n v="1"/>
    <n v="1"/>
    <n v="0"/>
  </r>
  <r>
    <x v="13"/>
    <n v="7102"/>
    <m/>
    <s v="UNIT RANTAU PANJANG BANGKO"/>
    <n v="2"/>
    <n v="1"/>
    <n v="-1"/>
    <n v="1"/>
    <n v="1"/>
    <n v="0"/>
  </r>
  <r>
    <x v="13"/>
    <n v="8149"/>
    <m/>
    <s v="UNIT PINANG MERAH BANGKO"/>
    <n v="1"/>
    <n v="1"/>
    <n v="0"/>
    <n v="1"/>
    <n v="1"/>
    <n v="0"/>
  </r>
  <r>
    <x v="13"/>
    <n v="5603"/>
    <m/>
    <s v="UNIT PAMENAN BANGKO"/>
    <n v="2"/>
    <n v="2"/>
    <n v="0"/>
    <n v="2"/>
    <n v="2"/>
    <n v="0"/>
  </r>
  <r>
    <x v="13"/>
    <n v="3389"/>
    <m/>
    <s v="UNIT MERANGIN BANGKO"/>
    <n v="2"/>
    <n v="2"/>
    <n v="0"/>
    <n v="1"/>
    <n v="1"/>
    <n v="0"/>
  </r>
  <r>
    <x v="13"/>
    <n v="7663"/>
    <m/>
    <s v="UNIT MARGOYOSO BANGKO"/>
    <n v="1"/>
    <n v="1"/>
    <n v="0"/>
    <n v="1"/>
    <n v="1"/>
    <n v="0"/>
  </r>
  <r>
    <x v="13"/>
    <n v="5602"/>
    <m/>
    <s v="UNIT HITAM ULU BANGKO"/>
    <n v="2"/>
    <n v="2"/>
    <n v="0"/>
    <n v="1"/>
    <n v="1"/>
    <n v="0"/>
  </r>
  <r>
    <x v="13"/>
    <n v="3388"/>
    <m/>
    <s v="UNIT BANGKO KOTA"/>
    <n v="2"/>
    <n v="2"/>
    <n v="0"/>
    <n v="2"/>
    <n v="2"/>
    <n v="0"/>
  </r>
  <r>
    <x v="20"/>
    <n v="7767"/>
    <m/>
    <s v="UNIT TALANG BAKUNG ABUNJANI SP"/>
    <n v="2"/>
    <n v="1"/>
    <n v="-1"/>
    <n v="1"/>
    <n v="1"/>
    <n v="0"/>
  </r>
  <r>
    <x v="20"/>
    <n v="5633"/>
    <m/>
    <s v="UNIT SULTAN THAHA ABUNJANI SP"/>
    <n v="2"/>
    <n v="1"/>
    <n v="-1"/>
    <n v="1"/>
    <n v="1"/>
    <n v="0"/>
  </r>
  <r>
    <x v="20"/>
    <n v="5631"/>
    <m/>
    <s v="UNIT SIMPANG RIMBO ABUNJANI SP"/>
    <n v="2"/>
    <n v="1"/>
    <n v="-1"/>
    <n v="1"/>
    <n v="1"/>
    <n v="0"/>
  </r>
  <r>
    <x v="20"/>
    <n v="5630"/>
    <m/>
    <s v="UNIT SIMPANG KAWAT ABUNJANI SP"/>
    <n v="2"/>
    <n v="1"/>
    <n v="-1"/>
    <n v="1"/>
    <n v="1"/>
    <n v="0"/>
  </r>
  <r>
    <x v="20"/>
    <n v="7105"/>
    <m/>
    <s v="UNIT PETALING ABUNJANI SP"/>
    <n v="2"/>
    <n v="1"/>
    <n v="-1"/>
    <n v="1"/>
    <n v="1"/>
    <n v="0"/>
  </r>
  <r>
    <x v="20"/>
    <n v="5714"/>
    <m/>
    <s v="UNIT MENDALO INDAH ABUNJANI SP"/>
    <n v="2"/>
    <n v="1"/>
    <n v="-1"/>
    <n v="1"/>
    <n v="1"/>
    <n v="0"/>
  </r>
  <r>
    <x v="20"/>
    <n v="7338"/>
    <m/>
    <s v="UNIT MAYANG ABUNJANI SP"/>
    <n v="2"/>
    <n v="2"/>
    <n v="0"/>
    <n v="1"/>
    <n v="1"/>
    <n v="0"/>
  </r>
  <r>
    <x v="20"/>
    <n v="7608"/>
    <m/>
    <s v="UNIT KEBUN HANDIL ABUNJANI SP"/>
    <n v="2"/>
    <n v="1"/>
    <n v="-1"/>
    <n v="1"/>
    <n v="1"/>
    <n v="0"/>
  </r>
  <r>
    <x v="20"/>
    <n v="7103"/>
    <m/>
    <s v="UNIT KASANG JAYA ABUNJANI SP"/>
    <n v="2"/>
    <n v="1"/>
    <n v="-1"/>
    <n v="1"/>
    <n v="1"/>
    <n v="0"/>
  </r>
  <r>
    <x v="20"/>
    <n v="7042"/>
    <m/>
    <s v="UNIT FATAHILAH ABUNJANI SP"/>
    <n v="2"/>
    <n v="1"/>
    <n v="-1"/>
    <n v="1"/>
    <n v="1"/>
    <n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1676"/>
    <s v="KK TASPEN PANGKALPINANG"/>
    <s v="Sep 2026"/>
    <n v="0"/>
    <n v="0"/>
    <n v="0"/>
    <n v="1"/>
    <n v="1"/>
    <n v="0"/>
  </r>
  <r>
    <x v="0"/>
    <n v="1670"/>
    <s v="KK RUMAH SAKIT BAKTI TIMAH"/>
    <s v="Sep 2026"/>
    <n v="0"/>
    <n v="0"/>
    <n v="0"/>
    <n v="1"/>
    <n v="1"/>
    <n v="0"/>
  </r>
  <r>
    <x v="0"/>
    <n v="1707"/>
    <s v="KK BANGKA TRADE CENTER"/>
    <s v="Sep 2026"/>
    <n v="1"/>
    <n v="0"/>
    <n v="-1"/>
    <n v="1"/>
    <n v="1"/>
    <n v="0"/>
  </r>
  <r>
    <x v="1"/>
    <n v="1863"/>
    <s v="KK RS PERTAMINA PLAJU"/>
    <s v="Sep 2026"/>
    <n v="1"/>
    <n v="1"/>
    <n v="0"/>
    <n v="1"/>
    <n v="1"/>
    <n v="0"/>
  </r>
  <r>
    <x v="1"/>
    <n v="1304"/>
    <s v="KK RS CHARITAS"/>
    <s v="Sep 2026"/>
    <n v="1"/>
    <n v="1"/>
    <n v="0"/>
    <n v="1"/>
    <n v="1"/>
    <n v="0"/>
  </r>
  <r>
    <x v="1"/>
    <n v="1887"/>
    <s v="KK PUSRI"/>
    <s v="Sep 2026"/>
    <n v="0"/>
    <n v="0"/>
    <n v="0"/>
    <n v="1"/>
    <n v="1"/>
    <n v="0"/>
  </r>
  <r>
    <x v="1"/>
    <n v="1500"/>
    <s v="KK POLTABES PALEMBANG"/>
    <s v="Sep 2026"/>
    <n v="1"/>
    <n v="1"/>
    <n v="0"/>
    <n v="1"/>
    <n v="1"/>
    <n v="0"/>
  </r>
  <r>
    <x v="2"/>
    <n v="1487"/>
    <s v="KK PEMATANG LUMUT"/>
    <s v="Sep 2026"/>
    <n v="1"/>
    <n v="1"/>
    <n v="0"/>
    <n v="1"/>
    <n v="1"/>
    <n v="0"/>
  </r>
  <r>
    <x v="3"/>
    <n v="1679"/>
    <s v="KK POLTABES JAMBI"/>
    <s v="Sep 2026"/>
    <n v="1"/>
    <n v="1"/>
    <n v="0"/>
    <n v="1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54A61D-4CF8-4F00-A432-17574C8AF154}" name="PivotTable7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9" firstHeaderRow="0" firstDataRow="1" firstDataCol="1"/>
  <pivotFields count="11">
    <pivotField axis="axisRow" showAll="0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Formasi Customer Service" fld="5" baseField="0" baseItem="0"/>
    <dataField name="Sum of Existing" fld="6" baseField="0" baseItem="0"/>
    <dataField name="Sum of GAP" fld="7" baseField="0" baseItem="0"/>
    <dataField name="Sum of Formasi Teller" fld="8" baseField="0" baseItem="0"/>
    <dataField name="Sum of Existing2" fld="9" baseField="0" baseItem="0"/>
    <dataField name="Sum of GAP2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E38489-EBB6-4856-9256-E05DE04B9C43}" name="PivotTable9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5" firstHeaderRow="0" firstDataRow="1" firstDataCol="1"/>
  <pivotFields count="10">
    <pivotField axis="axisRow" showAll="0">
      <items count="22">
        <item x="20"/>
        <item x="13"/>
        <item x="12"/>
        <item x="11"/>
        <item x="18"/>
        <item x="10"/>
        <item x="9"/>
        <item x="8"/>
        <item x="19"/>
        <item x="7"/>
        <item x="5"/>
        <item x="4"/>
        <item x="15"/>
        <item x="3"/>
        <item x="1"/>
        <item x="14"/>
        <item x="6"/>
        <item x="0"/>
        <item x="16"/>
        <item x="17"/>
        <item x="2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Formasi Customer Service Unit" fld="4" baseField="0" baseItem="0"/>
    <dataField name="Sum of Existing" fld="5" baseField="0" baseItem="0"/>
    <dataField name="Sum of GAP" fld="6" baseField="0" baseItem="0"/>
    <dataField name="Sum of Formasi Teller Unit" fld="7" baseField="0" baseItem="0"/>
    <dataField name="Sum of Existing2" fld="8" baseField="0" baseItem="0"/>
    <dataField name="Sum of GAP2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DB36F-C823-4367-B44A-7AEA8E637AE2}" name="PivotTable10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8" firstHeaderRow="0" firstDataRow="1" firstDataCol="1"/>
  <pivotFields count="10"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Formasi Customer Service" fld="4" baseField="0" baseItem="0"/>
    <dataField name="Sum of Existing" fld="5" baseField="0" baseItem="0"/>
    <dataField name="Sum of GAP" fld="6" baseField="0" baseItem="0"/>
    <dataField name="Sum of Formasi Teller" fld="7" baseField="0" baseItem="0"/>
    <dataField name="Sum of Existing2" fld="8" baseField="0" baseItem="0"/>
    <dataField name="Sum of GAP2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3202CA-3C50-4E6D-8110-F72949330A52}" name="PivotTable2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6" firstHeaderRow="1" firstDataRow="2" firstDataCol="1"/>
  <pivotFields count="9">
    <pivotField axis="axisRow" showAll="0">
      <items count="23">
        <item x="2"/>
        <item x="3"/>
        <item x="4"/>
        <item x="6"/>
        <item x="12"/>
        <item x="14"/>
        <item x="10"/>
        <item x="7"/>
        <item x="20"/>
        <item x="11"/>
        <item x="9"/>
        <item x="18"/>
        <item x="5"/>
        <item x="15"/>
        <item x="1"/>
        <item x="8"/>
        <item x="19"/>
        <item x="13"/>
        <item x="17"/>
        <item x="0"/>
        <item x="16"/>
        <item x="21"/>
        <item t="default"/>
      </items>
    </pivotField>
    <pivotField axis="axisCol" dataField="1" multipleItemSelectionAllowed="1" showAll="0">
      <items count="6">
        <item x="0"/>
        <item x="1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JOBDESC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EE4D2-2308-497D-BD52-B3FCEE91C86D}" name="PivotTable3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34" firstHeaderRow="1" firstDataRow="2" firstDataCol="1"/>
  <pivotFields count="13">
    <pivotField showAll="0"/>
    <pivotField axis="axisCol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Row" showAll="0">
      <items count="30">
        <item x="24"/>
        <item x="1"/>
        <item x="10"/>
        <item x="23"/>
        <item x="9"/>
        <item x="16"/>
        <item x="11"/>
        <item x="2"/>
        <item x="7"/>
        <item x="4"/>
        <item x="15"/>
        <item x="25"/>
        <item x="18"/>
        <item x="27"/>
        <item x="26"/>
        <item x="17"/>
        <item x="19"/>
        <item x="20"/>
        <item x="14"/>
        <item x="13"/>
        <item x="6"/>
        <item x="8"/>
        <item x="0"/>
        <item x="5"/>
        <item x="3"/>
        <item x="12"/>
        <item x="21"/>
        <item x="22"/>
        <item x="28"/>
        <item t="default"/>
      </items>
    </pivotField>
    <pivotField showAll="0"/>
  </pivotFields>
  <rowFields count="1">
    <field x="11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JOBDESC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6DED7B-0FFA-43EE-9398-C3CBF6850ACB}" name="PivotTable6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1" firstDataRow="2" firstDataCol="1"/>
  <pivotFields count="13">
    <pivotField showAll="0"/>
    <pivotField axis="axisCol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3"/>
        <item x="1"/>
        <item x="4"/>
        <item t="default"/>
      </items>
    </pivotField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JOBDESC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E5A4F-2A34-4030-88F6-3058CB2111E6}" name="PivotTable5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23" firstHeaderRow="1" firstDataRow="2" firstDataCol="1"/>
  <pivotFields count="13">
    <pivotField showAll="0"/>
    <pivotField axis="axisCol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19">
        <item x="22"/>
        <item x="179"/>
        <item x="14"/>
        <item x="10"/>
        <item x="78"/>
        <item x="172"/>
        <item x="148"/>
        <item x="154"/>
        <item x="74"/>
        <item x="38"/>
        <item x="98"/>
        <item x="173"/>
        <item x="201"/>
        <item x="164"/>
        <item x="169"/>
        <item x="184"/>
        <item x="207"/>
        <item x="208"/>
        <item x="157"/>
        <item x="12"/>
        <item x="11"/>
        <item x="181"/>
        <item x="29"/>
        <item x="20"/>
        <item x="32"/>
        <item x="21"/>
        <item x="28"/>
        <item x="19"/>
        <item x="26"/>
        <item x="27"/>
        <item x="23"/>
        <item x="30"/>
        <item x="40"/>
        <item x="41"/>
        <item x="0"/>
        <item x="2"/>
        <item x="34"/>
        <item x="3"/>
        <item x="35"/>
        <item x="37"/>
        <item x="48"/>
        <item x="51"/>
        <item x="42"/>
        <item x="49"/>
        <item x="46"/>
        <item x="53"/>
        <item x="47"/>
        <item x="45"/>
        <item x="44"/>
        <item x="55"/>
        <item x="43"/>
        <item x="52"/>
        <item x="59"/>
        <item x="60"/>
        <item x="66"/>
        <item x="70"/>
        <item x="58"/>
        <item x="64"/>
        <item x="76"/>
        <item x="75"/>
        <item x="77"/>
        <item x="72"/>
        <item x="85"/>
        <item x="82"/>
        <item x="90"/>
        <item x="84"/>
        <item x="83"/>
        <item x="89"/>
        <item x="80"/>
        <item x="81"/>
        <item x="104"/>
        <item x="4"/>
        <item x="96"/>
        <item x="94"/>
        <item x="100"/>
        <item x="36"/>
        <item x="99"/>
        <item x="97"/>
        <item x="39"/>
        <item x="33"/>
        <item x="107"/>
        <item x="108"/>
        <item x="170"/>
        <item x="166"/>
        <item x="116"/>
        <item x="117"/>
        <item x="118"/>
        <item x="113"/>
        <item x="114"/>
        <item x="115"/>
        <item x="121"/>
        <item x="122"/>
        <item x="123"/>
        <item x="119"/>
        <item x="120"/>
        <item x="124"/>
        <item x="144"/>
        <item x="128"/>
        <item x="127"/>
        <item x="134"/>
        <item x="141"/>
        <item x="140"/>
        <item x="130"/>
        <item x="137"/>
        <item x="126"/>
        <item x="138"/>
        <item x="131"/>
        <item x="149"/>
        <item x="146"/>
        <item x="132"/>
        <item x="145"/>
        <item x="125"/>
        <item x="139"/>
        <item x="153"/>
        <item x="150"/>
        <item x="155"/>
        <item x="152"/>
        <item x="162"/>
        <item x="167"/>
        <item x="163"/>
        <item x="186"/>
        <item x="190"/>
        <item x="185"/>
        <item x="191"/>
        <item x="187"/>
        <item x="183"/>
        <item x="147"/>
        <item x="195"/>
        <item x="206"/>
        <item x="194"/>
        <item x="200"/>
        <item x="197"/>
        <item x="211"/>
        <item x="212"/>
        <item x="209"/>
        <item x="215"/>
        <item x="31"/>
        <item x="1"/>
        <item x="168"/>
        <item x="79"/>
        <item x="88"/>
        <item x="111"/>
        <item x="95"/>
        <item x="101"/>
        <item x="198"/>
        <item x="199"/>
        <item x="204"/>
        <item x="133"/>
        <item x="68"/>
        <item x="180"/>
        <item x="15"/>
        <item x="6"/>
        <item x="62"/>
        <item x="5"/>
        <item x="102"/>
        <item x="161"/>
        <item x="203"/>
        <item x="213"/>
        <item x="158"/>
        <item x="156"/>
        <item x="105"/>
        <item x="175"/>
        <item x="182"/>
        <item x="188"/>
        <item x="50"/>
        <item x="193"/>
        <item x="63"/>
        <item x="65"/>
        <item x="8"/>
        <item x="13"/>
        <item x="171"/>
        <item x="25"/>
        <item x="57"/>
        <item x="189"/>
        <item x="73"/>
        <item x="110"/>
        <item x="178"/>
        <item x="160"/>
        <item x="210"/>
        <item x="205"/>
        <item x="86"/>
        <item x="87"/>
        <item x="9"/>
        <item x="16"/>
        <item x="192"/>
        <item x="159"/>
        <item x="151"/>
        <item x="71"/>
        <item x="69"/>
        <item x="135"/>
        <item x="7"/>
        <item x="143"/>
        <item x="56"/>
        <item x="54"/>
        <item x="61"/>
        <item x="196"/>
        <item x="176"/>
        <item x="103"/>
        <item x="214"/>
        <item x="142"/>
        <item x="18"/>
        <item x="93"/>
        <item x="92"/>
        <item x="91"/>
        <item x="129"/>
        <item x="136"/>
        <item x="216"/>
        <item x="177"/>
        <item x="165"/>
        <item x="202"/>
        <item x="67"/>
        <item x="17"/>
        <item x="24"/>
        <item x="112"/>
        <item x="106"/>
        <item x="109"/>
        <item x="174"/>
        <item x="217"/>
        <item t="default"/>
      </items>
    </pivotField>
    <pivotField showAll="0"/>
  </pivotFields>
  <rowFields count="1">
    <field x="11"/>
  </rowFields>
  <rowItems count="2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JOBDESC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EB8F7-DA80-49DB-9112-D0E2595EC268}" name="PivotTable4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35" firstHeaderRow="1" firstDataRow="2" firstDataCol="1"/>
  <pivotFields count="13">
    <pivotField showAll="0"/>
    <pivotField axis="axisCol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1">
        <item x="1"/>
        <item x="25"/>
        <item x="0"/>
        <item x="7"/>
        <item x="23"/>
        <item x="21"/>
        <item x="6"/>
        <item x="22"/>
        <item x="26"/>
        <item x="3"/>
        <item x="4"/>
        <item x="2"/>
        <item x="5"/>
        <item x="8"/>
        <item x="24"/>
        <item x="13"/>
        <item x="12"/>
        <item x="11"/>
        <item x="9"/>
        <item x="10"/>
        <item x="14"/>
        <item x="15"/>
        <item x="17"/>
        <item x="20"/>
        <item x="18"/>
        <item x="16"/>
        <item x="28"/>
        <item x="19"/>
        <item x="27"/>
        <item x="29"/>
        <item t="default"/>
      </items>
    </pivotField>
    <pivotField showAll="0"/>
  </pivotFields>
  <rowFields count="1">
    <field x="1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JOBDESC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BE1A-654F-4C52-BE7D-AE59AA50A6B4}">
  <dimension ref="A1:K895"/>
  <sheetViews>
    <sheetView tabSelected="1" zoomScale="70" zoomScaleNormal="70" workbookViewId="0">
      <selection activeCell="D2" sqref="D2"/>
    </sheetView>
  </sheetViews>
  <sheetFormatPr defaultRowHeight="14.5" x14ac:dyDescent="0.35"/>
  <cols>
    <col min="1" max="1" width="17.6328125" bestFit="1" customWidth="1"/>
    <col min="2" max="2" width="11.453125" bestFit="1" customWidth="1"/>
    <col min="3" max="3" width="31.08984375" customWidth="1"/>
    <col min="4" max="4" width="25.54296875" bestFit="1" customWidth="1"/>
    <col min="5" max="5" width="38.7265625" bestFit="1" customWidth="1"/>
    <col min="6" max="6" width="18.7265625" bestFit="1" customWidth="1"/>
    <col min="7" max="7" width="35.90625" bestFit="1" customWidth="1"/>
    <col min="8" max="8" width="13" bestFit="1" customWidth="1"/>
    <col min="9" max="9" width="20.54296875" bestFit="1" customWidth="1"/>
    <col min="10" max="11" width="15.26953125" bestFit="1" customWidth="1"/>
  </cols>
  <sheetData>
    <row r="1" spans="1:11" x14ac:dyDescent="0.35">
      <c r="A1" t="s">
        <v>1</v>
      </c>
      <c r="B1" t="s">
        <v>3</v>
      </c>
      <c r="C1" t="s">
        <v>4</v>
      </c>
      <c r="D1" t="s">
        <v>5</v>
      </c>
      <c r="E1" s="40" t="s">
        <v>2231</v>
      </c>
      <c r="F1" t="s">
        <v>7</v>
      </c>
      <c r="G1" s="40" t="s">
        <v>2232</v>
      </c>
      <c r="H1" t="s">
        <v>9</v>
      </c>
      <c r="I1" s="40" t="s">
        <v>10</v>
      </c>
      <c r="J1" s="40" t="s">
        <v>11</v>
      </c>
      <c r="K1" t="s">
        <v>12</v>
      </c>
    </row>
    <row r="2" spans="1:11" x14ac:dyDescent="0.35">
      <c r="A2" t="s">
        <v>14</v>
      </c>
      <c r="B2" t="s">
        <v>32</v>
      </c>
      <c r="C2" t="s">
        <v>965</v>
      </c>
      <c r="D2" t="s">
        <v>17</v>
      </c>
      <c r="E2" t="s">
        <v>306</v>
      </c>
      <c r="F2" t="s">
        <v>19</v>
      </c>
      <c r="G2" t="s">
        <v>35</v>
      </c>
      <c r="H2" t="s">
        <v>21</v>
      </c>
      <c r="I2" t="s">
        <v>157</v>
      </c>
      <c r="J2">
        <v>606</v>
      </c>
      <c r="K2" t="s">
        <v>23</v>
      </c>
    </row>
    <row r="3" spans="1:11" x14ac:dyDescent="0.35">
      <c r="A3" t="s">
        <v>14</v>
      </c>
      <c r="B3" t="s">
        <v>32</v>
      </c>
      <c r="C3" t="s">
        <v>1484</v>
      </c>
      <c r="D3" t="s">
        <v>17</v>
      </c>
      <c r="E3" t="s">
        <v>306</v>
      </c>
      <c r="F3" t="s">
        <v>19</v>
      </c>
      <c r="G3" t="s">
        <v>35</v>
      </c>
      <c r="H3" t="s">
        <v>21</v>
      </c>
      <c r="I3" t="s">
        <v>157</v>
      </c>
      <c r="J3">
        <v>606</v>
      </c>
      <c r="K3" t="s">
        <v>23</v>
      </c>
    </row>
    <row r="4" spans="1:11" x14ac:dyDescent="0.35">
      <c r="A4" t="s">
        <v>317</v>
      </c>
      <c r="B4" t="s">
        <v>32</v>
      </c>
      <c r="C4" t="s">
        <v>1893</v>
      </c>
      <c r="D4" t="s">
        <v>319</v>
      </c>
      <c r="E4" t="s">
        <v>306</v>
      </c>
      <c r="F4" t="s">
        <v>19</v>
      </c>
      <c r="G4" t="s">
        <v>35</v>
      </c>
      <c r="H4" t="s">
        <v>21</v>
      </c>
      <c r="I4" t="s">
        <v>157</v>
      </c>
      <c r="J4">
        <v>606</v>
      </c>
      <c r="K4" t="s">
        <v>673</v>
      </c>
    </row>
    <row r="5" spans="1:11" x14ac:dyDescent="0.35">
      <c r="A5" t="s">
        <v>317</v>
      </c>
      <c r="B5" t="s">
        <v>32</v>
      </c>
      <c r="C5" t="s">
        <v>1897</v>
      </c>
      <c r="D5" t="s">
        <v>319</v>
      </c>
      <c r="E5" t="s">
        <v>306</v>
      </c>
      <c r="F5" t="s">
        <v>19</v>
      </c>
      <c r="G5" t="s">
        <v>35</v>
      </c>
      <c r="H5" t="s">
        <v>21</v>
      </c>
      <c r="I5" t="s">
        <v>157</v>
      </c>
      <c r="J5">
        <v>606</v>
      </c>
      <c r="K5" t="s">
        <v>673</v>
      </c>
    </row>
    <row r="6" spans="1:11" x14ac:dyDescent="0.35">
      <c r="A6" t="s">
        <v>74</v>
      </c>
      <c r="B6" t="s">
        <v>32</v>
      </c>
      <c r="C6" t="s">
        <v>305</v>
      </c>
      <c r="D6" t="s">
        <v>76</v>
      </c>
      <c r="E6" t="s">
        <v>306</v>
      </c>
      <c r="F6" t="s">
        <v>19</v>
      </c>
      <c r="G6" t="s">
        <v>35</v>
      </c>
      <c r="H6" t="s">
        <v>21</v>
      </c>
      <c r="I6" t="s">
        <v>157</v>
      </c>
      <c r="J6">
        <v>606</v>
      </c>
      <c r="K6" t="s">
        <v>23</v>
      </c>
    </row>
    <row r="7" spans="1:11" x14ac:dyDescent="0.35">
      <c r="A7" t="s">
        <v>14</v>
      </c>
      <c r="B7" t="s">
        <v>15</v>
      </c>
      <c r="C7" t="s">
        <v>154</v>
      </c>
      <c r="D7" t="s">
        <v>17</v>
      </c>
      <c r="E7" t="s">
        <v>155</v>
      </c>
      <c r="F7" t="s">
        <v>19</v>
      </c>
      <c r="G7" t="s">
        <v>156</v>
      </c>
      <c r="H7" t="s">
        <v>21</v>
      </c>
      <c r="I7" t="s">
        <v>157</v>
      </c>
      <c r="J7">
        <v>5630</v>
      </c>
      <c r="K7" t="s">
        <v>23</v>
      </c>
    </row>
    <row r="8" spans="1:11" x14ac:dyDescent="0.35">
      <c r="A8" t="s">
        <v>14</v>
      </c>
      <c r="B8" t="s">
        <v>15</v>
      </c>
      <c r="C8" t="s">
        <v>381</v>
      </c>
      <c r="D8" t="s">
        <v>17</v>
      </c>
      <c r="E8" t="s">
        <v>382</v>
      </c>
      <c r="F8" t="s">
        <v>19</v>
      </c>
      <c r="G8" t="s">
        <v>383</v>
      </c>
      <c r="H8" t="s">
        <v>21</v>
      </c>
      <c r="I8" t="s">
        <v>157</v>
      </c>
      <c r="J8">
        <v>7042</v>
      </c>
      <c r="K8" t="s">
        <v>23</v>
      </c>
    </row>
    <row r="9" spans="1:11" x14ac:dyDescent="0.35">
      <c r="A9" t="s">
        <v>14</v>
      </c>
      <c r="B9" t="s">
        <v>15</v>
      </c>
      <c r="C9" t="s">
        <v>400</v>
      </c>
      <c r="D9" t="s">
        <v>17</v>
      </c>
      <c r="E9" t="s">
        <v>401</v>
      </c>
      <c r="F9" t="s">
        <v>19</v>
      </c>
      <c r="G9" t="s">
        <v>402</v>
      </c>
      <c r="H9" t="s">
        <v>21</v>
      </c>
      <c r="I9" t="s">
        <v>157</v>
      </c>
      <c r="J9">
        <v>5631</v>
      </c>
      <c r="K9" t="s">
        <v>23</v>
      </c>
    </row>
    <row r="10" spans="1:11" x14ac:dyDescent="0.35">
      <c r="A10" t="s">
        <v>14</v>
      </c>
      <c r="B10" t="s">
        <v>15</v>
      </c>
      <c r="C10" t="s">
        <v>404</v>
      </c>
      <c r="D10" t="s">
        <v>17</v>
      </c>
      <c r="E10" t="s">
        <v>405</v>
      </c>
      <c r="F10" t="s">
        <v>19</v>
      </c>
      <c r="G10" t="s">
        <v>406</v>
      </c>
      <c r="H10" t="s">
        <v>21</v>
      </c>
      <c r="I10" t="s">
        <v>157</v>
      </c>
      <c r="J10">
        <v>5633</v>
      </c>
      <c r="K10" t="s">
        <v>23</v>
      </c>
    </row>
    <row r="11" spans="1:11" x14ac:dyDescent="0.35">
      <c r="A11" t="s">
        <v>14</v>
      </c>
      <c r="B11" t="s">
        <v>15</v>
      </c>
      <c r="C11" t="s">
        <v>456</v>
      </c>
      <c r="D11" t="s">
        <v>17</v>
      </c>
      <c r="E11" t="s">
        <v>457</v>
      </c>
      <c r="F11" t="s">
        <v>19</v>
      </c>
      <c r="G11" t="s">
        <v>458</v>
      </c>
      <c r="H11" t="s">
        <v>21</v>
      </c>
      <c r="I11" t="s">
        <v>157</v>
      </c>
      <c r="J11">
        <v>5714</v>
      </c>
      <c r="K11" t="s">
        <v>23</v>
      </c>
    </row>
    <row r="12" spans="1:11" x14ac:dyDescent="0.35">
      <c r="A12" t="s">
        <v>14</v>
      </c>
      <c r="B12" t="s">
        <v>15</v>
      </c>
      <c r="C12" t="s">
        <v>1486</v>
      </c>
      <c r="D12" t="s">
        <v>17</v>
      </c>
      <c r="E12" t="s">
        <v>1487</v>
      </c>
      <c r="F12" t="s">
        <v>19</v>
      </c>
      <c r="G12" t="s">
        <v>1488</v>
      </c>
      <c r="H12" t="s">
        <v>21</v>
      </c>
      <c r="I12" t="s">
        <v>157</v>
      </c>
      <c r="J12">
        <v>7105</v>
      </c>
      <c r="K12" t="s">
        <v>23</v>
      </c>
    </row>
    <row r="13" spans="1:11" x14ac:dyDescent="0.35">
      <c r="A13" t="s">
        <v>14</v>
      </c>
      <c r="B13" t="s">
        <v>15</v>
      </c>
      <c r="C13" t="s">
        <v>1490</v>
      </c>
      <c r="D13" t="s">
        <v>17</v>
      </c>
      <c r="E13" t="s">
        <v>1491</v>
      </c>
      <c r="F13" t="s">
        <v>19</v>
      </c>
      <c r="G13" t="s">
        <v>1492</v>
      </c>
      <c r="H13" t="s">
        <v>21</v>
      </c>
      <c r="I13" t="s">
        <v>157</v>
      </c>
      <c r="J13">
        <v>7103</v>
      </c>
      <c r="K13" t="s">
        <v>23</v>
      </c>
    </row>
    <row r="14" spans="1:11" x14ac:dyDescent="0.35">
      <c r="A14" t="s">
        <v>14</v>
      </c>
      <c r="B14" t="s">
        <v>15</v>
      </c>
      <c r="C14" t="s">
        <v>1650</v>
      </c>
      <c r="D14" t="s">
        <v>17</v>
      </c>
      <c r="E14" t="s">
        <v>962</v>
      </c>
      <c r="F14" t="s">
        <v>19</v>
      </c>
      <c r="G14" t="s">
        <v>963</v>
      </c>
      <c r="H14" t="s">
        <v>21</v>
      </c>
      <c r="I14" t="s">
        <v>157</v>
      </c>
      <c r="J14">
        <v>7767</v>
      </c>
      <c r="K14" t="s">
        <v>23</v>
      </c>
    </row>
    <row r="15" spans="1:11" x14ac:dyDescent="0.35">
      <c r="A15" t="s">
        <v>14</v>
      </c>
      <c r="B15" t="s">
        <v>15</v>
      </c>
      <c r="C15" t="s">
        <v>1756</v>
      </c>
      <c r="D15" t="s">
        <v>17</v>
      </c>
      <c r="E15" t="s">
        <v>1757</v>
      </c>
      <c r="F15" t="s">
        <v>19</v>
      </c>
      <c r="G15" t="s">
        <v>1758</v>
      </c>
      <c r="H15" t="s">
        <v>21</v>
      </c>
      <c r="I15" t="s">
        <v>157</v>
      </c>
      <c r="J15">
        <v>7338</v>
      </c>
      <c r="K15" t="s">
        <v>23</v>
      </c>
    </row>
    <row r="16" spans="1:11" x14ac:dyDescent="0.35">
      <c r="A16" t="s">
        <v>14</v>
      </c>
      <c r="B16" t="s">
        <v>15</v>
      </c>
      <c r="C16" t="s">
        <v>1777</v>
      </c>
      <c r="D16" t="s">
        <v>17</v>
      </c>
      <c r="E16" t="s">
        <v>1757</v>
      </c>
      <c r="F16" t="s">
        <v>19</v>
      </c>
      <c r="G16" t="s">
        <v>1758</v>
      </c>
      <c r="H16" t="s">
        <v>21</v>
      </c>
      <c r="I16" t="s">
        <v>157</v>
      </c>
      <c r="J16">
        <v>7338</v>
      </c>
      <c r="K16" t="s">
        <v>23</v>
      </c>
    </row>
    <row r="17" spans="1:11" x14ac:dyDescent="0.35">
      <c r="A17" t="s">
        <v>14</v>
      </c>
      <c r="B17" t="s">
        <v>15</v>
      </c>
      <c r="C17" t="s">
        <v>1778</v>
      </c>
      <c r="D17" t="s">
        <v>17</v>
      </c>
      <c r="E17" t="s">
        <v>1607</v>
      </c>
      <c r="F17" t="s">
        <v>19</v>
      </c>
      <c r="G17" t="s">
        <v>1608</v>
      </c>
      <c r="H17" t="s">
        <v>21</v>
      </c>
      <c r="I17" t="s">
        <v>157</v>
      </c>
      <c r="J17">
        <v>7608</v>
      </c>
      <c r="K17" t="s">
        <v>23</v>
      </c>
    </row>
    <row r="18" spans="1:11" x14ac:dyDescent="0.35">
      <c r="A18" t="s">
        <v>317</v>
      </c>
      <c r="B18" t="s">
        <v>15</v>
      </c>
      <c r="C18" t="s">
        <v>961</v>
      </c>
      <c r="D18" t="s">
        <v>319</v>
      </c>
      <c r="E18" t="s">
        <v>962</v>
      </c>
      <c r="F18" t="s">
        <v>19</v>
      </c>
      <c r="G18" t="s">
        <v>963</v>
      </c>
      <c r="H18" t="s">
        <v>21</v>
      </c>
      <c r="I18" t="s">
        <v>157</v>
      </c>
      <c r="J18">
        <v>7767</v>
      </c>
      <c r="K18" t="s">
        <v>673</v>
      </c>
    </row>
    <row r="19" spans="1:11" x14ac:dyDescent="0.35">
      <c r="A19" t="s">
        <v>317</v>
      </c>
      <c r="B19" t="s">
        <v>15</v>
      </c>
      <c r="C19" t="s">
        <v>1008</v>
      </c>
      <c r="D19" t="s">
        <v>319</v>
      </c>
      <c r="E19" t="s">
        <v>405</v>
      </c>
      <c r="F19" t="s">
        <v>19</v>
      </c>
      <c r="G19" t="s">
        <v>406</v>
      </c>
      <c r="H19" t="s">
        <v>21</v>
      </c>
      <c r="I19" t="s">
        <v>157</v>
      </c>
      <c r="J19">
        <v>5633</v>
      </c>
      <c r="K19" t="s">
        <v>673</v>
      </c>
    </row>
    <row r="20" spans="1:11" x14ac:dyDescent="0.35">
      <c r="A20" t="s">
        <v>317</v>
      </c>
      <c r="B20" t="s">
        <v>15</v>
      </c>
      <c r="C20" t="s">
        <v>1606</v>
      </c>
      <c r="D20" t="s">
        <v>319</v>
      </c>
      <c r="E20" t="s">
        <v>1607</v>
      </c>
      <c r="F20" t="s">
        <v>19</v>
      </c>
      <c r="G20" t="s">
        <v>1608</v>
      </c>
      <c r="H20" t="s">
        <v>21</v>
      </c>
      <c r="I20" t="s">
        <v>157</v>
      </c>
      <c r="J20">
        <v>7608</v>
      </c>
      <c r="K20" t="s">
        <v>673</v>
      </c>
    </row>
    <row r="21" spans="1:11" x14ac:dyDescent="0.35">
      <c r="A21" t="s">
        <v>317</v>
      </c>
      <c r="B21" t="s">
        <v>15</v>
      </c>
      <c r="C21" t="s">
        <v>1651</v>
      </c>
      <c r="D21" t="s">
        <v>319</v>
      </c>
      <c r="E21" t="s">
        <v>401</v>
      </c>
      <c r="F21" t="s">
        <v>19</v>
      </c>
      <c r="G21" t="s">
        <v>402</v>
      </c>
      <c r="H21" t="s">
        <v>21</v>
      </c>
      <c r="I21" t="s">
        <v>157</v>
      </c>
      <c r="J21">
        <v>5631</v>
      </c>
      <c r="K21" t="s">
        <v>673</v>
      </c>
    </row>
    <row r="22" spans="1:11" x14ac:dyDescent="0.35">
      <c r="A22" t="s">
        <v>317</v>
      </c>
      <c r="B22" t="s">
        <v>15</v>
      </c>
      <c r="C22" t="s">
        <v>1652</v>
      </c>
      <c r="D22" t="s">
        <v>319</v>
      </c>
      <c r="E22" t="s">
        <v>1487</v>
      </c>
      <c r="F22" t="s">
        <v>19</v>
      </c>
      <c r="G22" t="s">
        <v>1488</v>
      </c>
      <c r="H22" t="s">
        <v>21</v>
      </c>
      <c r="I22" t="s">
        <v>157</v>
      </c>
      <c r="J22">
        <v>7105</v>
      </c>
      <c r="K22" t="s">
        <v>673</v>
      </c>
    </row>
    <row r="23" spans="1:11" x14ac:dyDescent="0.35">
      <c r="A23" t="s">
        <v>317</v>
      </c>
      <c r="B23" t="s">
        <v>15</v>
      </c>
      <c r="C23" t="s">
        <v>1755</v>
      </c>
      <c r="D23" t="s">
        <v>319</v>
      </c>
      <c r="E23" t="s">
        <v>155</v>
      </c>
      <c r="F23" t="s">
        <v>19</v>
      </c>
      <c r="G23" t="s">
        <v>156</v>
      </c>
      <c r="H23" t="s">
        <v>21</v>
      </c>
      <c r="I23" t="s">
        <v>157</v>
      </c>
      <c r="J23">
        <v>5630</v>
      </c>
      <c r="K23" t="s">
        <v>23</v>
      </c>
    </row>
    <row r="24" spans="1:11" x14ac:dyDescent="0.35">
      <c r="A24" t="s">
        <v>317</v>
      </c>
      <c r="B24" t="s">
        <v>15</v>
      </c>
      <c r="C24" t="s">
        <v>1783</v>
      </c>
      <c r="D24" t="s">
        <v>319</v>
      </c>
      <c r="E24" t="s">
        <v>1491</v>
      </c>
      <c r="F24" t="s">
        <v>19</v>
      </c>
      <c r="G24" t="s">
        <v>1492</v>
      </c>
      <c r="H24" t="s">
        <v>21</v>
      </c>
      <c r="I24" t="s">
        <v>157</v>
      </c>
      <c r="J24">
        <v>7103</v>
      </c>
      <c r="K24" t="s">
        <v>23</v>
      </c>
    </row>
    <row r="25" spans="1:11" x14ac:dyDescent="0.35">
      <c r="A25" t="s">
        <v>317</v>
      </c>
      <c r="B25" t="s">
        <v>15</v>
      </c>
      <c r="C25" t="s">
        <v>1786</v>
      </c>
      <c r="D25" t="s">
        <v>319</v>
      </c>
      <c r="E25" t="s">
        <v>382</v>
      </c>
      <c r="F25" t="s">
        <v>19</v>
      </c>
      <c r="G25" t="s">
        <v>383</v>
      </c>
      <c r="H25" t="s">
        <v>21</v>
      </c>
      <c r="I25" t="s">
        <v>157</v>
      </c>
      <c r="J25">
        <v>7042</v>
      </c>
      <c r="K25" t="s">
        <v>673</v>
      </c>
    </row>
    <row r="26" spans="1:11" x14ac:dyDescent="0.35">
      <c r="A26" t="s">
        <v>317</v>
      </c>
      <c r="B26" t="s">
        <v>15</v>
      </c>
      <c r="C26" t="s">
        <v>1787</v>
      </c>
      <c r="D26" t="s">
        <v>319</v>
      </c>
      <c r="E26" t="s">
        <v>1757</v>
      </c>
      <c r="F26" t="s">
        <v>19</v>
      </c>
      <c r="G26" t="s">
        <v>1758</v>
      </c>
      <c r="H26" t="s">
        <v>21</v>
      </c>
      <c r="I26" t="s">
        <v>157</v>
      </c>
      <c r="J26">
        <v>7338</v>
      </c>
      <c r="K26" t="s">
        <v>673</v>
      </c>
    </row>
    <row r="27" spans="1:11" x14ac:dyDescent="0.35">
      <c r="A27" t="s">
        <v>317</v>
      </c>
      <c r="B27" t="s">
        <v>15</v>
      </c>
      <c r="C27" t="s">
        <v>1898</v>
      </c>
      <c r="D27" t="s">
        <v>319</v>
      </c>
      <c r="E27" t="s">
        <v>457</v>
      </c>
      <c r="F27" t="s">
        <v>19</v>
      </c>
      <c r="G27" t="s">
        <v>458</v>
      </c>
      <c r="H27" t="s">
        <v>21</v>
      </c>
      <c r="I27" t="s">
        <v>157</v>
      </c>
      <c r="J27">
        <v>5714</v>
      </c>
      <c r="K27" t="s">
        <v>673</v>
      </c>
    </row>
    <row r="28" spans="1:11" x14ac:dyDescent="0.35">
      <c r="A28" t="s">
        <v>14</v>
      </c>
      <c r="B28" t="s">
        <v>32</v>
      </c>
      <c r="C28" t="s">
        <v>532</v>
      </c>
      <c r="D28" t="s">
        <v>17</v>
      </c>
      <c r="E28" t="s">
        <v>356</v>
      </c>
      <c r="F28" t="s">
        <v>19</v>
      </c>
      <c r="G28" t="s">
        <v>35</v>
      </c>
      <c r="H28" t="s">
        <v>21</v>
      </c>
      <c r="I28" t="s">
        <v>354</v>
      </c>
      <c r="J28">
        <v>275</v>
      </c>
      <c r="K28" t="s">
        <v>23</v>
      </c>
    </row>
    <row r="29" spans="1:11" x14ac:dyDescent="0.35">
      <c r="A29" t="s">
        <v>14</v>
      </c>
      <c r="B29" t="s">
        <v>32</v>
      </c>
      <c r="C29" t="s">
        <v>608</v>
      </c>
      <c r="D29" t="s">
        <v>17</v>
      </c>
      <c r="E29" t="s">
        <v>356</v>
      </c>
      <c r="F29" t="s">
        <v>19</v>
      </c>
      <c r="G29" t="s">
        <v>35</v>
      </c>
      <c r="H29" t="s">
        <v>21</v>
      </c>
      <c r="I29" t="s">
        <v>354</v>
      </c>
      <c r="J29">
        <v>275</v>
      </c>
      <c r="K29" t="s">
        <v>23</v>
      </c>
    </row>
    <row r="30" spans="1:11" x14ac:dyDescent="0.35">
      <c r="A30" t="s">
        <v>14</v>
      </c>
      <c r="B30" t="s">
        <v>32</v>
      </c>
      <c r="C30" t="s">
        <v>809</v>
      </c>
      <c r="D30" t="s">
        <v>17</v>
      </c>
      <c r="E30" t="s">
        <v>356</v>
      </c>
      <c r="F30" t="s">
        <v>19</v>
      </c>
      <c r="G30" t="s">
        <v>35</v>
      </c>
      <c r="H30" t="s">
        <v>21</v>
      </c>
      <c r="I30" t="s">
        <v>354</v>
      </c>
      <c r="J30">
        <v>275</v>
      </c>
      <c r="K30" t="s">
        <v>23</v>
      </c>
    </row>
    <row r="31" spans="1:11" x14ac:dyDescent="0.35">
      <c r="A31" t="s">
        <v>317</v>
      </c>
      <c r="B31" t="s">
        <v>32</v>
      </c>
      <c r="C31" t="s">
        <v>1415</v>
      </c>
      <c r="D31" t="s">
        <v>319</v>
      </c>
      <c r="E31" t="s">
        <v>356</v>
      </c>
      <c r="F31" t="s">
        <v>19</v>
      </c>
      <c r="G31" t="s">
        <v>35</v>
      </c>
      <c r="H31" t="s">
        <v>21</v>
      </c>
      <c r="I31" t="s">
        <v>354</v>
      </c>
      <c r="J31">
        <v>275</v>
      </c>
      <c r="K31" t="s">
        <v>673</v>
      </c>
    </row>
    <row r="32" spans="1:11" x14ac:dyDescent="0.35">
      <c r="A32" t="s">
        <v>317</v>
      </c>
      <c r="B32" t="s">
        <v>32</v>
      </c>
      <c r="C32" t="s">
        <v>1681</v>
      </c>
      <c r="D32" t="s">
        <v>319</v>
      </c>
      <c r="E32" t="s">
        <v>356</v>
      </c>
      <c r="F32" t="s">
        <v>19</v>
      </c>
      <c r="G32" t="s">
        <v>35</v>
      </c>
      <c r="H32" t="s">
        <v>21</v>
      </c>
      <c r="I32" t="s">
        <v>354</v>
      </c>
      <c r="J32">
        <v>275</v>
      </c>
      <c r="K32" t="s">
        <v>23</v>
      </c>
    </row>
    <row r="33" spans="1:11" x14ac:dyDescent="0.35">
      <c r="A33" t="s">
        <v>317</v>
      </c>
      <c r="B33" t="s">
        <v>32</v>
      </c>
      <c r="C33" t="s">
        <v>1770</v>
      </c>
      <c r="D33" t="s">
        <v>319</v>
      </c>
      <c r="E33" t="s">
        <v>356</v>
      </c>
      <c r="F33" t="s">
        <v>19</v>
      </c>
      <c r="G33" t="s">
        <v>35</v>
      </c>
      <c r="H33" t="s">
        <v>21</v>
      </c>
      <c r="I33" t="s">
        <v>354</v>
      </c>
      <c r="J33">
        <v>275</v>
      </c>
      <c r="K33" t="s">
        <v>673</v>
      </c>
    </row>
    <row r="34" spans="1:11" x14ac:dyDescent="0.35">
      <c r="A34" t="s">
        <v>74</v>
      </c>
      <c r="B34" t="s">
        <v>32</v>
      </c>
      <c r="C34" t="s">
        <v>355</v>
      </c>
      <c r="D34" t="s">
        <v>76</v>
      </c>
      <c r="E34" t="s">
        <v>356</v>
      </c>
      <c r="F34" t="s">
        <v>19</v>
      </c>
      <c r="G34" t="s">
        <v>35</v>
      </c>
      <c r="H34" t="s">
        <v>21</v>
      </c>
      <c r="I34" t="s">
        <v>354</v>
      </c>
      <c r="J34">
        <v>275</v>
      </c>
      <c r="K34" t="s">
        <v>23</v>
      </c>
    </row>
    <row r="35" spans="1:11" x14ac:dyDescent="0.35">
      <c r="A35" t="s">
        <v>14</v>
      </c>
      <c r="B35" t="s">
        <v>15</v>
      </c>
      <c r="C35" t="s">
        <v>351</v>
      </c>
      <c r="D35" t="s">
        <v>17</v>
      </c>
      <c r="E35" t="s">
        <v>352</v>
      </c>
      <c r="F35" t="s">
        <v>19</v>
      </c>
      <c r="G35" t="s">
        <v>353</v>
      </c>
      <c r="H35" t="s">
        <v>21</v>
      </c>
      <c r="I35" t="s">
        <v>354</v>
      </c>
      <c r="J35">
        <v>3389</v>
      </c>
      <c r="K35" t="s">
        <v>23</v>
      </c>
    </row>
    <row r="36" spans="1:11" x14ac:dyDescent="0.35">
      <c r="A36" t="s">
        <v>14</v>
      </c>
      <c r="B36" t="s">
        <v>15</v>
      </c>
      <c r="C36" t="s">
        <v>358</v>
      </c>
      <c r="D36" t="s">
        <v>17</v>
      </c>
      <c r="E36" t="s">
        <v>359</v>
      </c>
      <c r="F36" t="s">
        <v>19</v>
      </c>
      <c r="G36" t="s">
        <v>360</v>
      </c>
      <c r="H36" t="s">
        <v>21</v>
      </c>
      <c r="I36" t="s">
        <v>354</v>
      </c>
      <c r="J36">
        <v>5603</v>
      </c>
      <c r="K36" t="s">
        <v>23</v>
      </c>
    </row>
    <row r="37" spans="1:11" x14ac:dyDescent="0.35">
      <c r="A37" t="s">
        <v>14</v>
      </c>
      <c r="B37" t="s">
        <v>15</v>
      </c>
      <c r="C37" t="s">
        <v>534</v>
      </c>
      <c r="D37" t="s">
        <v>17</v>
      </c>
      <c r="E37" t="s">
        <v>535</v>
      </c>
      <c r="F37" t="s">
        <v>19</v>
      </c>
      <c r="G37" t="s">
        <v>536</v>
      </c>
      <c r="H37" t="s">
        <v>21</v>
      </c>
      <c r="I37" t="s">
        <v>354</v>
      </c>
      <c r="J37">
        <v>5602</v>
      </c>
      <c r="K37" t="s">
        <v>23</v>
      </c>
    </row>
    <row r="38" spans="1:11" x14ac:dyDescent="0.35">
      <c r="A38" t="s">
        <v>14</v>
      </c>
      <c r="B38" t="s">
        <v>15</v>
      </c>
      <c r="C38" t="s">
        <v>573</v>
      </c>
      <c r="D38" t="s">
        <v>17</v>
      </c>
      <c r="E38" t="s">
        <v>352</v>
      </c>
      <c r="F38" t="s">
        <v>19</v>
      </c>
      <c r="G38" t="s">
        <v>353</v>
      </c>
      <c r="H38" t="s">
        <v>21</v>
      </c>
      <c r="I38" t="s">
        <v>354</v>
      </c>
      <c r="J38">
        <v>3389</v>
      </c>
      <c r="K38" t="s">
        <v>23</v>
      </c>
    </row>
    <row r="39" spans="1:11" x14ac:dyDescent="0.35">
      <c r="A39" t="s">
        <v>14</v>
      </c>
      <c r="B39" t="s">
        <v>15</v>
      </c>
      <c r="C39" t="s">
        <v>623</v>
      </c>
      <c r="D39" t="s">
        <v>17</v>
      </c>
      <c r="E39" t="s">
        <v>624</v>
      </c>
      <c r="F39" t="s">
        <v>19</v>
      </c>
      <c r="G39" t="s">
        <v>625</v>
      </c>
      <c r="H39" t="s">
        <v>21</v>
      </c>
      <c r="I39" t="s">
        <v>354</v>
      </c>
      <c r="J39">
        <v>7339</v>
      </c>
      <c r="K39" t="s">
        <v>23</v>
      </c>
    </row>
    <row r="40" spans="1:11" x14ac:dyDescent="0.35">
      <c r="A40" t="s">
        <v>14</v>
      </c>
      <c r="B40" t="s">
        <v>15</v>
      </c>
      <c r="C40" t="s">
        <v>808</v>
      </c>
      <c r="D40" t="s">
        <v>17</v>
      </c>
      <c r="E40" t="s">
        <v>535</v>
      </c>
      <c r="F40" t="s">
        <v>19</v>
      </c>
      <c r="G40" t="s">
        <v>536</v>
      </c>
      <c r="H40" t="s">
        <v>21</v>
      </c>
      <c r="I40" t="s">
        <v>354</v>
      </c>
      <c r="J40">
        <v>5602</v>
      </c>
      <c r="K40" t="s">
        <v>23</v>
      </c>
    </row>
    <row r="41" spans="1:11" x14ac:dyDescent="0.35">
      <c r="A41" t="s">
        <v>14</v>
      </c>
      <c r="B41" t="s">
        <v>15</v>
      </c>
      <c r="C41" t="s">
        <v>835</v>
      </c>
      <c r="D41" t="s">
        <v>17</v>
      </c>
      <c r="E41" t="s">
        <v>836</v>
      </c>
      <c r="F41" t="s">
        <v>19</v>
      </c>
      <c r="G41" t="s">
        <v>837</v>
      </c>
      <c r="H41" t="s">
        <v>21</v>
      </c>
      <c r="I41" t="s">
        <v>354</v>
      </c>
      <c r="J41">
        <v>3388</v>
      </c>
      <c r="K41" t="s">
        <v>23</v>
      </c>
    </row>
    <row r="42" spans="1:11" x14ac:dyDescent="0.35">
      <c r="A42" t="s">
        <v>14</v>
      </c>
      <c r="B42" t="s">
        <v>15</v>
      </c>
      <c r="C42" t="s">
        <v>903</v>
      </c>
      <c r="D42" t="s">
        <v>17</v>
      </c>
      <c r="E42" t="s">
        <v>359</v>
      </c>
      <c r="F42" t="s">
        <v>19</v>
      </c>
      <c r="G42" t="s">
        <v>360</v>
      </c>
      <c r="H42" t="s">
        <v>21</v>
      </c>
      <c r="I42" t="s">
        <v>354</v>
      </c>
      <c r="J42">
        <v>5603</v>
      </c>
      <c r="K42" t="s">
        <v>23</v>
      </c>
    </row>
    <row r="43" spans="1:11" x14ac:dyDescent="0.35">
      <c r="A43" t="s">
        <v>14</v>
      </c>
      <c r="B43" t="s">
        <v>15</v>
      </c>
      <c r="C43" t="s">
        <v>1453</v>
      </c>
      <c r="D43" t="s">
        <v>17</v>
      </c>
      <c r="E43" t="s">
        <v>1454</v>
      </c>
      <c r="F43" t="s">
        <v>19</v>
      </c>
      <c r="G43" t="s">
        <v>1455</v>
      </c>
      <c r="H43" t="s">
        <v>21</v>
      </c>
      <c r="I43" t="s">
        <v>354</v>
      </c>
      <c r="J43">
        <v>7102</v>
      </c>
      <c r="K43" t="s">
        <v>23</v>
      </c>
    </row>
    <row r="44" spans="1:11" x14ac:dyDescent="0.35">
      <c r="A44" t="s">
        <v>14</v>
      </c>
      <c r="B44" t="s">
        <v>15</v>
      </c>
      <c r="C44" t="s">
        <v>1600</v>
      </c>
      <c r="D44" t="s">
        <v>17</v>
      </c>
      <c r="E44" t="s">
        <v>836</v>
      </c>
      <c r="F44" t="s">
        <v>19</v>
      </c>
      <c r="G44" t="s">
        <v>1601</v>
      </c>
      <c r="H44" t="s">
        <v>21</v>
      </c>
      <c r="I44" t="s">
        <v>354</v>
      </c>
      <c r="J44">
        <v>3388</v>
      </c>
      <c r="K44" t="s">
        <v>23</v>
      </c>
    </row>
    <row r="45" spans="1:11" x14ac:dyDescent="0.35">
      <c r="A45" t="s">
        <v>14</v>
      </c>
      <c r="B45" t="s">
        <v>15</v>
      </c>
      <c r="C45" t="s">
        <v>1683</v>
      </c>
      <c r="D45" t="s">
        <v>17</v>
      </c>
      <c r="E45" t="s">
        <v>836</v>
      </c>
      <c r="F45" t="s">
        <v>19</v>
      </c>
      <c r="G45" t="s">
        <v>837</v>
      </c>
      <c r="H45" t="s">
        <v>21</v>
      </c>
      <c r="I45" t="s">
        <v>354</v>
      </c>
      <c r="J45">
        <v>3388</v>
      </c>
      <c r="K45" t="s">
        <v>23</v>
      </c>
    </row>
    <row r="46" spans="1:11" x14ac:dyDescent="0.35">
      <c r="A46" t="s">
        <v>14</v>
      </c>
      <c r="B46" t="s">
        <v>15</v>
      </c>
      <c r="C46" t="s">
        <v>1690</v>
      </c>
      <c r="D46" t="s">
        <v>17</v>
      </c>
      <c r="E46" t="s">
        <v>1686</v>
      </c>
      <c r="F46" t="s">
        <v>19</v>
      </c>
      <c r="G46" t="s">
        <v>1687</v>
      </c>
      <c r="H46" t="s">
        <v>21</v>
      </c>
      <c r="I46" t="s">
        <v>354</v>
      </c>
      <c r="J46">
        <v>7663</v>
      </c>
      <c r="K46" t="s">
        <v>23</v>
      </c>
    </row>
    <row r="47" spans="1:11" x14ac:dyDescent="0.35">
      <c r="A47" t="s">
        <v>14</v>
      </c>
      <c r="B47" t="s">
        <v>15</v>
      </c>
      <c r="C47" t="s">
        <v>1768</v>
      </c>
      <c r="D47" t="s">
        <v>17</v>
      </c>
      <c r="E47" t="s">
        <v>1698</v>
      </c>
      <c r="F47" t="s">
        <v>19</v>
      </c>
      <c r="G47" t="s">
        <v>1699</v>
      </c>
      <c r="H47" t="s">
        <v>21</v>
      </c>
      <c r="I47" t="s">
        <v>354</v>
      </c>
      <c r="J47">
        <v>8149</v>
      </c>
      <c r="K47" t="s">
        <v>23</v>
      </c>
    </row>
    <row r="48" spans="1:11" x14ac:dyDescent="0.35">
      <c r="A48" t="s">
        <v>317</v>
      </c>
      <c r="B48" t="s">
        <v>15</v>
      </c>
      <c r="C48" t="s">
        <v>912</v>
      </c>
      <c r="D48" t="s">
        <v>319</v>
      </c>
      <c r="E48" t="s">
        <v>359</v>
      </c>
      <c r="F48" t="s">
        <v>19</v>
      </c>
      <c r="G48" t="s">
        <v>360</v>
      </c>
      <c r="H48" t="s">
        <v>21</v>
      </c>
      <c r="I48" t="s">
        <v>354</v>
      </c>
      <c r="J48">
        <v>5603</v>
      </c>
      <c r="K48" t="s">
        <v>673</v>
      </c>
    </row>
    <row r="49" spans="1:11" x14ac:dyDescent="0.35">
      <c r="A49" t="s">
        <v>317</v>
      </c>
      <c r="B49" t="s">
        <v>15</v>
      </c>
      <c r="C49" t="s">
        <v>1417</v>
      </c>
      <c r="D49" t="s">
        <v>319</v>
      </c>
      <c r="E49" t="s">
        <v>535</v>
      </c>
      <c r="F49" t="s">
        <v>19</v>
      </c>
      <c r="G49" t="s">
        <v>536</v>
      </c>
      <c r="H49" t="s">
        <v>21</v>
      </c>
      <c r="I49" t="s">
        <v>354</v>
      </c>
      <c r="J49">
        <v>5602</v>
      </c>
      <c r="K49" t="s">
        <v>673</v>
      </c>
    </row>
    <row r="50" spans="1:11" x14ac:dyDescent="0.35">
      <c r="A50" t="s">
        <v>317</v>
      </c>
      <c r="B50" t="s">
        <v>15</v>
      </c>
      <c r="C50" t="s">
        <v>1616</v>
      </c>
      <c r="D50" t="s">
        <v>319</v>
      </c>
      <c r="E50" t="s">
        <v>836</v>
      </c>
      <c r="F50" t="s">
        <v>19</v>
      </c>
      <c r="G50" t="s">
        <v>837</v>
      </c>
      <c r="H50" t="s">
        <v>21</v>
      </c>
      <c r="I50" t="s">
        <v>354</v>
      </c>
      <c r="J50">
        <v>3388</v>
      </c>
      <c r="K50" t="s">
        <v>673</v>
      </c>
    </row>
    <row r="51" spans="1:11" x14ac:dyDescent="0.35">
      <c r="A51" t="s">
        <v>317</v>
      </c>
      <c r="B51" t="s">
        <v>15</v>
      </c>
      <c r="C51" t="s">
        <v>1682</v>
      </c>
      <c r="D51" t="s">
        <v>319</v>
      </c>
      <c r="E51" t="s">
        <v>359</v>
      </c>
      <c r="F51" t="s">
        <v>19</v>
      </c>
      <c r="G51" t="s">
        <v>360</v>
      </c>
      <c r="H51" t="s">
        <v>21</v>
      </c>
      <c r="I51" t="s">
        <v>354</v>
      </c>
      <c r="J51">
        <v>5603</v>
      </c>
      <c r="K51" t="s">
        <v>23</v>
      </c>
    </row>
    <row r="52" spans="1:11" x14ac:dyDescent="0.35">
      <c r="A52" t="s">
        <v>317</v>
      </c>
      <c r="B52" t="s">
        <v>15</v>
      </c>
      <c r="C52" t="s">
        <v>1684</v>
      </c>
      <c r="D52" t="s">
        <v>319</v>
      </c>
      <c r="E52" t="s">
        <v>836</v>
      </c>
      <c r="F52" t="s">
        <v>19</v>
      </c>
      <c r="G52" t="s">
        <v>837</v>
      </c>
      <c r="H52" t="s">
        <v>21</v>
      </c>
      <c r="I52" t="s">
        <v>354</v>
      </c>
      <c r="J52">
        <v>3388</v>
      </c>
      <c r="K52" t="s">
        <v>23</v>
      </c>
    </row>
    <row r="53" spans="1:11" x14ac:dyDescent="0.35">
      <c r="A53" t="s">
        <v>317</v>
      </c>
      <c r="B53" t="s">
        <v>15</v>
      </c>
      <c r="C53" t="s">
        <v>1685</v>
      </c>
      <c r="D53" t="s">
        <v>319</v>
      </c>
      <c r="E53" t="s">
        <v>1686</v>
      </c>
      <c r="F53" t="s">
        <v>19</v>
      </c>
      <c r="G53" t="s">
        <v>1687</v>
      </c>
      <c r="H53" t="s">
        <v>21</v>
      </c>
      <c r="I53" t="s">
        <v>354</v>
      </c>
      <c r="J53">
        <v>7663</v>
      </c>
      <c r="K53" t="s">
        <v>23</v>
      </c>
    </row>
    <row r="54" spans="1:11" x14ac:dyDescent="0.35">
      <c r="A54" t="s">
        <v>317</v>
      </c>
      <c r="B54" t="s">
        <v>15</v>
      </c>
      <c r="C54" t="s">
        <v>1688</v>
      </c>
      <c r="D54" t="s">
        <v>319</v>
      </c>
      <c r="E54" t="s">
        <v>624</v>
      </c>
      <c r="F54" t="s">
        <v>19</v>
      </c>
      <c r="G54" t="s">
        <v>625</v>
      </c>
      <c r="H54" t="s">
        <v>21</v>
      </c>
      <c r="I54" t="s">
        <v>354</v>
      </c>
      <c r="J54">
        <v>7339</v>
      </c>
      <c r="K54" t="s">
        <v>23</v>
      </c>
    </row>
    <row r="55" spans="1:11" x14ac:dyDescent="0.35">
      <c r="A55" t="s">
        <v>317</v>
      </c>
      <c r="B55" t="s">
        <v>15</v>
      </c>
      <c r="C55" t="s">
        <v>1696</v>
      </c>
      <c r="D55" t="s">
        <v>319</v>
      </c>
      <c r="E55" t="s">
        <v>352</v>
      </c>
      <c r="F55" t="s">
        <v>19</v>
      </c>
      <c r="G55" t="s">
        <v>353</v>
      </c>
      <c r="H55" t="s">
        <v>21</v>
      </c>
      <c r="I55" t="s">
        <v>354</v>
      </c>
      <c r="J55">
        <v>3389</v>
      </c>
      <c r="K55" t="s">
        <v>23</v>
      </c>
    </row>
    <row r="56" spans="1:11" x14ac:dyDescent="0.35">
      <c r="A56" t="s">
        <v>317</v>
      </c>
      <c r="B56" t="s">
        <v>15</v>
      </c>
      <c r="C56" t="s">
        <v>1697</v>
      </c>
      <c r="D56" t="s">
        <v>319</v>
      </c>
      <c r="E56" t="s">
        <v>1698</v>
      </c>
      <c r="F56" t="s">
        <v>19</v>
      </c>
      <c r="G56" t="s">
        <v>1699</v>
      </c>
      <c r="H56" t="s">
        <v>21</v>
      </c>
      <c r="I56" t="s">
        <v>354</v>
      </c>
      <c r="J56">
        <v>8149</v>
      </c>
      <c r="K56" t="s">
        <v>23</v>
      </c>
    </row>
    <row r="57" spans="1:11" x14ac:dyDescent="0.35">
      <c r="A57" t="s">
        <v>317</v>
      </c>
      <c r="B57" t="s">
        <v>15</v>
      </c>
      <c r="C57" t="s">
        <v>1767</v>
      </c>
      <c r="D57" t="s">
        <v>319</v>
      </c>
      <c r="E57" t="s">
        <v>836</v>
      </c>
      <c r="F57" t="s">
        <v>19</v>
      </c>
      <c r="G57" t="s">
        <v>1601</v>
      </c>
      <c r="H57" t="s">
        <v>21</v>
      </c>
      <c r="I57" t="s">
        <v>354</v>
      </c>
      <c r="J57">
        <v>3388</v>
      </c>
      <c r="K57" t="s">
        <v>673</v>
      </c>
    </row>
    <row r="58" spans="1:11" x14ac:dyDescent="0.35">
      <c r="A58" t="s">
        <v>317</v>
      </c>
      <c r="B58" t="s">
        <v>15</v>
      </c>
      <c r="C58" t="s">
        <v>1785</v>
      </c>
      <c r="D58" t="s">
        <v>319</v>
      </c>
      <c r="E58" t="s">
        <v>1454</v>
      </c>
      <c r="F58" t="s">
        <v>19</v>
      </c>
      <c r="G58" t="s">
        <v>1455</v>
      </c>
      <c r="H58" t="s">
        <v>21</v>
      </c>
      <c r="I58" t="s">
        <v>354</v>
      </c>
      <c r="J58">
        <v>7102</v>
      </c>
      <c r="K58" t="s">
        <v>673</v>
      </c>
    </row>
    <row r="59" spans="1:11" x14ac:dyDescent="0.35">
      <c r="A59" t="s">
        <v>14</v>
      </c>
      <c r="B59" t="s">
        <v>32</v>
      </c>
      <c r="C59" t="s">
        <v>63</v>
      </c>
      <c r="D59" t="s">
        <v>17</v>
      </c>
      <c r="E59" t="s">
        <v>64</v>
      </c>
      <c r="F59" t="s">
        <v>19</v>
      </c>
      <c r="G59" t="s">
        <v>35</v>
      </c>
      <c r="H59" t="s">
        <v>21</v>
      </c>
      <c r="I59" t="s">
        <v>62</v>
      </c>
      <c r="J59">
        <v>8</v>
      </c>
      <c r="K59" t="s">
        <v>23</v>
      </c>
    </row>
    <row r="60" spans="1:11" x14ac:dyDescent="0.35">
      <c r="A60" t="s">
        <v>14</v>
      </c>
      <c r="B60" t="s">
        <v>32</v>
      </c>
      <c r="C60" t="s">
        <v>331</v>
      </c>
      <c r="D60" t="s">
        <v>17</v>
      </c>
      <c r="E60" t="s">
        <v>64</v>
      </c>
      <c r="F60" t="s">
        <v>19</v>
      </c>
      <c r="G60" t="s">
        <v>35</v>
      </c>
      <c r="H60" t="s">
        <v>21</v>
      </c>
      <c r="I60" t="s">
        <v>62</v>
      </c>
      <c r="J60">
        <v>8</v>
      </c>
      <c r="K60" t="s">
        <v>23</v>
      </c>
    </row>
    <row r="61" spans="1:11" x14ac:dyDescent="0.35">
      <c r="A61" t="s">
        <v>14</v>
      </c>
      <c r="B61" t="s">
        <v>32</v>
      </c>
      <c r="C61" t="s">
        <v>411</v>
      </c>
      <c r="D61" t="s">
        <v>17</v>
      </c>
      <c r="E61" t="s">
        <v>64</v>
      </c>
      <c r="F61" t="s">
        <v>19</v>
      </c>
      <c r="G61" t="s">
        <v>35</v>
      </c>
      <c r="H61" t="s">
        <v>21</v>
      </c>
      <c r="I61" t="s">
        <v>62</v>
      </c>
      <c r="J61">
        <v>8</v>
      </c>
      <c r="K61" t="s">
        <v>23</v>
      </c>
    </row>
    <row r="62" spans="1:11" x14ac:dyDescent="0.35">
      <c r="A62" t="s">
        <v>14</v>
      </c>
      <c r="B62" t="s">
        <v>32</v>
      </c>
      <c r="C62" t="s">
        <v>1504</v>
      </c>
      <c r="D62" t="s">
        <v>17</v>
      </c>
      <c r="E62" t="s">
        <v>64</v>
      </c>
      <c r="F62" t="s">
        <v>19</v>
      </c>
      <c r="G62" t="s">
        <v>35</v>
      </c>
      <c r="H62" t="s">
        <v>21</v>
      </c>
      <c r="I62" t="s">
        <v>62</v>
      </c>
      <c r="J62">
        <v>8</v>
      </c>
      <c r="K62" t="s">
        <v>23</v>
      </c>
    </row>
    <row r="63" spans="1:11" x14ac:dyDescent="0.35">
      <c r="A63" t="s">
        <v>317</v>
      </c>
      <c r="B63" t="s">
        <v>32</v>
      </c>
      <c r="C63" t="s">
        <v>1426</v>
      </c>
      <c r="D63" t="s">
        <v>319</v>
      </c>
      <c r="E63" t="s">
        <v>64</v>
      </c>
      <c r="F63" t="s">
        <v>19</v>
      </c>
      <c r="G63" t="s">
        <v>35</v>
      </c>
      <c r="H63" t="s">
        <v>21</v>
      </c>
      <c r="I63" t="s">
        <v>62</v>
      </c>
      <c r="J63">
        <v>8</v>
      </c>
      <c r="K63" t="s">
        <v>673</v>
      </c>
    </row>
    <row r="64" spans="1:11" x14ac:dyDescent="0.35">
      <c r="A64" t="s">
        <v>317</v>
      </c>
      <c r="B64" t="s">
        <v>32</v>
      </c>
      <c r="C64" t="s">
        <v>1701</v>
      </c>
      <c r="D64" t="s">
        <v>319</v>
      </c>
      <c r="E64" t="s">
        <v>64</v>
      </c>
      <c r="F64" t="s">
        <v>19</v>
      </c>
      <c r="G64" t="s">
        <v>35</v>
      </c>
      <c r="H64" t="s">
        <v>21</v>
      </c>
      <c r="I64" t="s">
        <v>62</v>
      </c>
      <c r="J64">
        <v>8</v>
      </c>
      <c r="K64" t="s">
        <v>673</v>
      </c>
    </row>
    <row r="65" spans="1:11" x14ac:dyDescent="0.35">
      <c r="A65" t="s">
        <v>317</v>
      </c>
      <c r="B65" t="s">
        <v>32</v>
      </c>
      <c r="C65" t="s">
        <v>1764</v>
      </c>
      <c r="D65" t="s">
        <v>319</v>
      </c>
      <c r="E65" t="s">
        <v>64</v>
      </c>
      <c r="F65" t="s">
        <v>19</v>
      </c>
      <c r="G65" t="s">
        <v>35</v>
      </c>
      <c r="H65" t="s">
        <v>21</v>
      </c>
      <c r="I65" t="s">
        <v>62</v>
      </c>
      <c r="J65">
        <v>8</v>
      </c>
      <c r="K65" t="s">
        <v>23</v>
      </c>
    </row>
    <row r="66" spans="1:11" x14ac:dyDescent="0.35">
      <c r="A66" t="s">
        <v>317</v>
      </c>
      <c r="B66" t="s">
        <v>32</v>
      </c>
      <c r="C66" t="s">
        <v>1825</v>
      </c>
      <c r="D66" t="s">
        <v>319</v>
      </c>
      <c r="E66" t="s">
        <v>64</v>
      </c>
      <c r="F66" t="s">
        <v>19</v>
      </c>
      <c r="G66" t="s">
        <v>35</v>
      </c>
      <c r="H66" t="s">
        <v>21</v>
      </c>
      <c r="I66" t="s">
        <v>62</v>
      </c>
      <c r="J66">
        <v>8</v>
      </c>
      <c r="K66" t="s">
        <v>673</v>
      </c>
    </row>
    <row r="67" spans="1:11" x14ac:dyDescent="0.35">
      <c r="A67" t="s">
        <v>1827</v>
      </c>
      <c r="B67" t="s">
        <v>32</v>
      </c>
      <c r="C67" t="s">
        <v>1828</v>
      </c>
      <c r="D67" t="s">
        <v>1829</v>
      </c>
      <c r="E67" t="s">
        <v>64</v>
      </c>
      <c r="F67" t="s">
        <v>19</v>
      </c>
      <c r="G67" t="s">
        <v>35</v>
      </c>
      <c r="H67" t="s">
        <v>21</v>
      </c>
      <c r="I67" t="s">
        <v>62</v>
      </c>
      <c r="J67">
        <v>8</v>
      </c>
      <c r="K67" t="s">
        <v>673</v>
      </c>
    </row>
    <row r="68" spans="1:11" x14ac:dyDescent="0.35">
      <c r="A68" t="s">
        <v>74</v>
      </c>
      <c r="B68" t="s">
        <v>32</v>
      </c>
      <c r="C68" t="s">
        <v>384</v>
      </c>
      <c r="D68" t="s">
        <v>76</v>
      </c>
      <c r="E68" t="s">
        <v>64</v>
      </c>
      <c r="F68" t="s">
        <v>19</v>
      </c>
      <c r="G68" t="s">
        <v>35</v>
      </c>
      <c r="H68" t="s">
        <v>21</v>
      </c>
      <c r="I68" t="s">
        <v>62</v>
      </c>
      <c r="J68">
        <v>8</v>
      </c>
      <c r="K68" t="s">
        <v>23</v>
      </c>
    </row>
    <row r="69" spans="1:11" x14ac:dyDescent="0.35">
      <c r="A69" t="s">
        <v>14</v>
      </c>
      <c r="B69" t="s">
        <v>53</v>
      </c>
      <c r="C69" t="s">
        <v>664</v>
      </c>
      <c r="D69" t="s">
        <v>17</v>
      </c>
      <c r="E69" t="s">
        <v>665</v>
      </c>
      <c r="F69" t="s">
        <v>19</v>
      </c>
      <c r="G69" t="s">
        <v>56</v>
      </c>
      <c r="H69" t="s">
        <v>21</v>
      </c>
      <c r="I69" t="s">
        <v>62</v>
      </c>
      <c r="J69">
        <v>2263</v>
      </c>
      <c r="K69" t="s">
        <v>23</v>
      </c>
    </row>
    <row r="70" spans="1:11" x14ac:dyDescent="0.35">
      <c r="A70" t="s">
        <v>14</v>
      </c>
      <c r="B70" t="s">
        <v>53</v>
      </c>
      <c r="C70" t="s">
        <v>1694</v>
      </c>
      <c r="D70" t="s">
        <v>17</v>
      </c>
      <c r="E70" t="s">
        <v>1547</v>
      </c>
      <c r="F70" t="s">
        <v>19</v>
      </c>
      <c r="G70" t="s">
        <v>56</v>
      </c>
      <c r="H70" t="s">
        <v>21</v>
      </c>
      <c r="I70" t="s">
        <v>62</v>
      </c>
      <c r="J70">
        <v>697</v>
      </c>
      <c r="K70" t="s">
        <v>23</v>
      </c>
    </row>
    <row r="71" spans="1:11" x14ac:dyDescent="0.35">
      <c r="A71" t="s">
        <v>317</v>
      </c>
      <c r="B71" t="s">
        <v>53</v>
      </c>
      <c r="C71" t="s">
        <v>1546</v>
      </c>
      <c r="D71" t="s">
        <v>319</v>
      </c>
      <c r="E71" t="s">
        <v>1547</v>
      </c>
      <c r="F71" t="s">
        <v>19</v>
      </c>
      <c r="G71" t="s">
        <v>56</v>
      </c>
      <c r="H71" t="s">
        <v>21</v>
      </c>
      <c r="I71" t="s">
        <v>62</v>
      </c>
      <c r="J71">
        <v>697</v>
      </c>
      <c r="K71" t="s">
        <v>673</v>
      </c>
    </row>
    <row r="72" spans="1:11" x14ac:dyDescent="0.35">
      <c r="A72" t="s">
        <v>317</v>
      </c>
      <c r="B72" t="s">
        <v>53</v>
      </c>
      <c r="C72" t="s">
        <v>1715</v>
      </c>
      <c r="D72" t="s">
        <v>319</v>
      </c>
      <c r="E72" t="s">
        <v>665</v>
      </c>
      <c r="F72" t="s">
        <v>19</v>
      </c>
      <c r="G72" t="s">
        <v>56</v>
      </c>
      <c r="H72" t="s">
        <v>21</v>
      </c>
      <c r="I72" t="s">
        <v>62</v>
      </c>
      <c r="J72">
        <v>2263</v>
      </c>
      <c r="K72" t="s">
        <v>673</v>
      </c>
    </row>
    <row r="73" spans="1:11" x14ac:dyDescent="0.35">
      <c r="A73" t="s">
        <v>14</v>
      </c>
      <c r="B73" t="s">
        <v>15</v>
      </c>
      <c r="C73" t="s">
        <v>59</v>
      </c>
      <c r="D73" t="s">
        <v>17</v>
      </c>
      <c r="E73" t="s">
        <v>60</v>
      </c>
      <c r="F73" t="s">
        <v>19</v>
      </c>
      <c r="G73" t="s">
        <v>61</v>
      </c>
      <c r="H73" t="s">
        <v>21</v>
      </c>
      <c r="I73" t="s">
        <v>62</v>
      </c>
      <c r="J73">
        <v>8052</v>
      </c>
      <c r="K73" t="s">
        <v>23</v>
      </c>
    </row>
    <row r="74" spans="1:11" x14ac:dyDescent="0.35">
      <c r="A74" t="s">
        <v>14</v>
      </c>
      <c r="B74" t="s">
        <v>15</v>
      </c>
      <c r="C74" t="s">
        <v>66</v>
      </c>
      <c r="D74" t="s">
        <v>17</v>
      </c>
      <c r="E74" t="s">
        <v>67</v>
      </c>
      <c r="F74" t="s">
        <v>19</v>
      </c>
      <c r="G74" t="s">
        <v>68</v>
      </c>
      <c r="H74" t="s">
        <v>21</v>
      </c>
      <c r="I74" t="s">
        <v>62</v>
      </c>
      <c r="J74">
        <v>5610</v>
      </c>
      <c r="K74" t="s">
        <v>23</v>
      </c>
    </row>
    <row r="75" spans="1:11" x14ac:dyDescent="0.35">
      <c r="A75" t="s">
        <v>14</v>
      </c>
      <c r="B75" t="s">
        <v>15</v>
      </c>
      <c r="C75" t="s">
        <v>80</v>
      </c>
      <c r="D75" t="s">
        <v>17</v>
      </c>
      <c r="E75" t="s">
        <v>81</v>
      </c>
      <c r="F75" t="s">
        <v>19</v>
      </c>
      <c r="G75" t="s">
        <v>82</v>
      </c>
      <c r="H75" t="s">
        <v>21</v>
      </c>
      <c r="I75" t="s">
        <v>62</v>
      </c>
      <c r="J75">
        <v>3286</v>
      </c>
      <c r="K75" t="s">
        <v>23</v>
      </c>
    </row>
    <row r="76" spans="1:11" x14ac:dyDescent="0.35">
      <c r="A76" t="s">
        <v>14</v>
      </c>
      <c r="B76" t="s">
        <v>15</v>
      </c>
      <c r="C76" t="s">
        <v>413</v>
      </c>
      <c r="D76" t="s">
        <v>17</v>
      </c>
      <c r="E76" t="s">
        <v>414</v>
      </c>
      <c r="F76" t="s">
        <v>19</v>
      </c>
      <c r="G76" t="s">
        <v>415</v>
      </c>
      <c r="H76" t="s">
        <v>21</v>
      </c>
      <c r="I76" t="s">
        <v>62</v>
      </c>
      <c r="J76">
        <v>5606</v>
      </c>
      <c r="K76" t="s">
        <v>23</v>
      </c>
    </row>
    <row r="77" spans="1:11" x14ac:dyDescent="0.35">
      <c r="A77" t="s">
        <v>14</v>
      </c>
      <c r="B77" t="s">
        <v>15</v>
      </c>
      <c r="C77" t="s">
        <v>417</v>
      </c>
      <c r="D77" t="s">
        <v>17</v>
      </c>
      <c r="E77" t="s">
        <v>418</v>
      </c>
      <c r="F77" t="s">
        <v>19</v>
      </c>
      <c r="G77" t="s">
        <v>419</v>
      </c>
      <c r="H77" t="s">
        <v>21</v>
      </c>
      <c r="I77" t="s">
        <v>62</v>
      </c>
      <c r="J77">
        <v>5608</v>
      </c>
      <c r="K77" t="s">
        <v>23</v>
      </c>
    </row>
    <row r="78" spans="1:11" x14ac:dyDescent="0.35">
      <c r="A78" t="s">
        <v>14</v>
      </c>
      <c r="B78" t="s">
        <v>15</v>
      </c>
      <c r="C78" t="s">
        <v>421</v>
      </c>
      <c r="D78" t="s">
        <v>17</v>
      </c>
      <c r="E78" t="s">
        <v>81</v>
      </c>
      <c r="F78" t="s">
        <v>19</v>
      </c>
      <c r="G78" t="s">
        <v>422</v>
      </c>
      <c r="H78" t="s">
        <v>21</v>
      </c>
      <c r="I78" t="s">
        <v>62</v>
      </c>
      <c r="J78">
        <v>3286</v>
      </c>
      <c r="K78" t="s">
        <v>23</v>
      </c>
    </row>
    <row r="79" spans="1:11" x14ac:dyDescent="0.35">
      <c r="A79" t="s">
        <v>14</v>
      </c>
      <c r="B79" t="s">
        <v>15</v>
      </c>
      <c r="C79" t="s">
        <v>510</v>
      </c>
      <c r="D79" t="s">
        <v>17</v>
      </c>
      <c r="E79" t="s">
        <v>511</v>
      </c>
      <c r="F79" t="s">
        <v>19</v>
      </c>
      <c r="G79" t="s">
        <v>512</v>
      </c>
      <c r="H79" t="s">
        <v>21</v>
      </c>
      <c r="I79" t="s">
        <v>62</v>
      </c>
      <c r="J79">
        <v>5613</v>
      </c>
      <c r="K79" t="s">
        <v>23</v>
      </c>
    </row>
    <row r="80" spans="1:11" x14ac:dyDescent="0.35">
      <c r="A80" t="s">
        <v>14</v>
      </c>
      <c r="B80" t="s">
        <v>15</v>
      </c>
      <c r="C80" t="s">
        <v>566</v>
      </c>
      <c r="D80" t="s">
        <v>17</v>
      </c>
      <c r="E80" t="s">
        <v>567</v>
      </c>
      <c r="F80" t="s">
        <v>19</v>
      </c>
      <c r="G80" t="s">
        <v>568</v>
      </c>
      <c r="H80" t="s">
        <v>21</v>
      </c>
      <c r="I80" t="s">
        <v>62</v>
      </c>
      <c r="J80">
        <v>8150</v>
      </c>
      <c r="K80" t="s">
        <v>23</v>
      </c>
    </row>
    <row r="81" spans="1:11" x14ac:dyDescent="0.35">
      <c r="A81" t="s">
        <v>14</v>
      </c>
      <c r="B81" t="s">
        <v>15</v>
      </c>
      <c r="C81" t="s">
        <v>605</v>
      </c>
      <c r="D81" t="s">
        <v>17</v>
      </c>
      <c r="E81" t="s">
        <v>606</v>
      </c>
      <c r="F81" t="s">
        <v>19</v>
      </c>
      <c r="G81" t="s">
        <v>607</v>
      </c>
      <c r="H81" t="s">
        <v>21</v>
      </c>
      <c r="I81" t="s">
        <v>62</v>
      </c>
      <c r="J81">
        <v>7412</v>
      </c>
      <c r="K81" t="s">
        <v>23</v>
      </c>
    </row>
    <row r="82" spans="1:11" x14ac:dyDescent="0.35">
      <c r="A82" t="s">
        <v>14</v>
      </c>
      <c r="B82" t="s">
        <v>15</v>
      </c>
      <c r="C82" t="s">
        <v>649</v>
      </c>
      <c r="D82" t="s">
        <v>17</v>
      </c>
      <c r="E82" t="s">
        <v>511</v>
      </c>
      <c r="F82" t="s">
        <v>19</v>
      </c>
      <c r="G82" t="s">
        <v>512</v>
      </c>
      <c r="H82" t="s">
        <v>21</v>
      </c>
      <c r="I82" t="s">
        <v>62</v>
      </c>
      <c r="J82">
        <v>5613</v>
      </c>
      <c r="K82" t="s">
        <v>23</v>
      </c>
    </row>
    <row r="83" spans="1:11" x14ac:dyDescent="0.35">
      <c r="A83" t="s">
        <v>14</v>
      </c>
      <c r="B83" t="s">
        <v>15</v>
      </c>
      <c r="C83" t="s">
        <v>651</v>
      </c>
      <c r="D83" t="s">
        <v>17</v>
      </c>
      <c r="E83" t="s">
        <v>652</v>
      </c>
      <c r="F83" t="s">
        <v>19</v>
      </c>
      <c r="G83" t="s">
        <v>653</v>
      </c>
      <c r="H83" t="s">
        <v>21</v>
      </c>
      <c r="I83" t="s">
        <v>62</v>
      </c>
      <c r="J83">
        <v>5611</v>
      </c>
      <c r="K83" t="s">
        <v>23</v>
      </c>
    </row>
    <row r="84" spans="1:11" x14ac:dyDescent="0.35">
      <c r="A84" t="s">
        <v>14</v>
      </c>
      <c r="B84" t="s">
        <v>15</v>
      </c>
      <c r="C84" t="s">
        <v>655</v>
      </c>
      <c r="D84" t="s">
        <v>17</v>
      </c>
      <c r="E84" t="s">
        <v>652</v>
      </c>
      <c r="F84" t="s">
        <v>19</v>
      </c>
      <c r="G84" t="s">
        <v>656</v>
      </c>
      <c r="H84" t="s">
        <v>21</v>
      </c>
      <c r="I84" t="s">
        <v>62</v>
      </c>
      <c r="J84">
        <v>5611</v>
      </c>
      <c r="K84" t="s">
        <v>23</v>
      </c>
    </row>
    <row r="85" spans="1:11" x14ac:dyDescent="0.35">
      <c r="A85" t="s">
        <v>14</v>
      </c>
      <c r="B85" t="s">
        <v>15</v>
      </c>
      <c r="C85" t="s">
        <v>658</v>
      </c>
      <c r="D85" t="s">
        <v>17</v>
      </c>
      <c r="E85" t="s">
        <v>652</v>
      </c>
      <c r="F85" t="s">
        <v>19</v>
      </c>
      <c r="G85" t="s">
        <v>656</v>
      </c>
      <c r="H85" t="s">
        <v>21</v>
      </c>
      <c r="I85" t="s">
        <v>62</v>
      </c>
      <c r="J85">
        <v>5611</v>
      </c>
      <c r="K85" t="s">
        <v>23</v>
      </c>
    </row>
    <row r="86" spans="1:11" x14ac:dyDescent="0.35">
      <c r="A86" t="s">
        <v>14</v>
      </c>
      <c r="B86" t="s">
        <v>15</v>
      </c>
      <c r="C86" t="s">
        <v>660</v>
      </c>
      <c r="D86" t="s">
        <v>17</v>
      </c>
      <c r="E86" t="s">
        <v>661</v>
      </c>
      <c r="F86" t="s">
        <v>19</v>
      </c>
      <c r="G86" t="s">
        <v>662</v>
      </c>
      <c r="H86" t="s">
        <v>21</v>
      </c>
      <c r="I86" t="s">
        <v>62</v>
      </c>
      <c r="J86">
        <v>5612</v>
      </c>
      <c r="K86" t="s">
        <v>23</v>
      </c>
    </row>
    <row r="87" spans="1:11" x14ac:dyDescent="0.35">
      <c r="A87" t="s">
        <v>14</v>
      </c>
      <c r="B87" t="s">
        <v>15</v>
      </c>
      <c r="C87" t="s">
        <v>667</v>
      </c>
      <c r="D87" t="s">
        <v>17</v>
      </c>
      <c r="E87" t="s">
        <v>668</v>
      </c>
      <c r="F87" t="s">
        <v>19</v>
      </c>
      <c r="G87" t="s">
        <v>669</v>
      </c>
      <c r="H87" t="s">
        <v>21</v>
      </c>
      <c r="I87" t="s">
        <v>62</v>
      </c>
      <c r="J87">
        <v>5609</v>
      </c>
      <c r="K87" t="s">
        <v>23</v>
      </c>
    </row>
    <row r="88" spans="1:11" x14ac:dyDescent="0.35">
      <c r="A88" t="s">
        <v>14</v>
      </c>
      <c r="B88" t="s">
        <v>15</v>
      </c>
      <c r="C88" t="s">
        <v>671</v>
      </c>
      <c r="D88" t="s">
        <v>17</v>
      </c>
      <c r="E88" t="s">
        <v>414</v>
      </c>
      <c r="F88" t="s">
        <v>19</v>
      </c>
      <c r="G88" t="s">
        <v>415</v>
      </c>
      <c r="H88" t="s">
        <v>21</v>
      </c>
      <c r="I88" t="s">
        <v>62</v>
      </c>
      <c r="J88">
        <v>5606</v>
      </c>
      <c r="K88" t="s">
        <v>23</v>
      </c>
    </row>
    <row r="89" spans="1:11" x14ac:dyDescent="0.35">
      <c r="A89" t="s">
        <v>14</v>
      </c>
      <c r="B89" t="s">
        <v>15</v>
      </c>
      <c r="C89" t="s">
        <v>1368</v>
      </c>
      <c r="D89" t="s">
        <v>17</v>
      </c>
      <c r="E89" t="s">
        <v>1369</v>
      </c>
      <c r="F89" t="s">
        <v>19</v>
      </c>
      <c r="G89" t="s">
        <v>1370</v>
      </c>
      <c r="H89" t="s">
        <v>21</v>
      </c>
      <c r="I89" t="s">
        <v>62</v>
      </c>
      <c r="J89">
        <v>5605</v>
      </c>
      <c r="K89" t="s">
        <v>23</v>
      </c>
    </row>
    <row r="90" spans="1:11" x14ac:dyDescent="0.35">
      <c r="A90" t="s">
        <v>14</v>
      </c>
      <c r="B90" t="s">
        <v>15</v>
      </c>
      <c r="C90" t="s">
        <v>1372</v>
      </c>
      <c r="D90" t="s">
        <v>17</v>
      </c>
      <c r="E90" t="s">
        <v>1373</v>
      </c>
      <c r="F90" t="s">
        <v>19</v>
      </c>
      <c r="G90" t="s">
        <v>1374</v>
      </c>
      <c r="H90" t="s">
        <v>21</v>
      </c>
      <c r="I90" t="s">
        <v>62</v>
      </c>
      <c r="J90">
        <v>5614</v>
      </c>
      <c r="K90" t="s">
        <v>23</v>
      </c>
    </row>
    <row r="91" spans="1:11" x14ac:dyDescent="0.35">
      <c r="A91" t="s">
        <v>14</v>
      </c>
      <c r="B91" t="s">
        <v>15</v>
      </c>
      <c r="C91" t="s">
        <v>1497</v>
      </c>
      <c r="D91" t="s">
        <v>17</v>
      </c>
      <c r="E91" t="s">
        <v>1373</v>
      </c>
      <c r="F91" t="s">
        <v>19</v>
      </c>
      <c r="G91" t="s">
        <v>1374</v>
      </c>
      <c r="H91" t="s">
        <v>21</v>
      </c>
      <c r="I91" t="s">
        <v>62</v>
      </c>
      <c r="J91">
        <v>5614</v>
      </c>
      <c r="K91" t="s">
        <v>23</v>
      </c>
    </row>
    <row r="92" spans="1:11" x14ac:dyDescent="0.35">
      <c r="A92" t="s">
        <v>14</v>
      </c>
      <c r="B92" t="s">
        <v>15</v>
      </c>
      <c r="C92" t="s">
        <v>1501</v>
      </c>
      <c r="D92" t="s">
        <v>17</v>
      </c>
      <c r="E92" t="s">
        <v>81</v>
      </c>
      <c r="F92" t="s">
        <v>19</v>
      </c>
      <c r="G92" t="s">
        <v>422</v>
      </c>
      <c r="H92" t="s">
        <v>21</v>
      </c>
      <c r="I92" t="s">
        <v>62</v>
      </c>
      <c r="J92">
        <v>3286</v>
      </c>
      <c r="K92" t="s">
        <v>23</v>
      </c>
    </row>
    <row r="93" spans="1:11" x14ac:dyDescent="0.35">
      <c r="A93" t="s">
        <v>14</v>
      </c>
      <c r="B93" t="s">
        <v>15</v>
      </c>
      <c r="C93" t="s">
        <v>1503</v>
      </c>
      <c r="D93" t="s">
        <v>17</v>
      </c>
      <c r="E93" t="s">
        <v>418</v>
      </c>
      <c r="F93" t="s">
        <v>19</v>
      </c>
      <c r="G93" t="s">
        <v>419</v>
      </c>
      <c r="H93" t="s">
        <v>21</v>
      </c>
      <c r="I93" t="s">
        <v>62</v>
      </c>
      <c r="J93">
        <v>5608</v>
      </c>
      <c r="K93" t="s">
        <v>23</v>
      </c>
    </row>
    <row r="94" spans="1:11" x14ac:dyDescent="0.35">
      <c r="A94" t="s">
        <v>14</v>
      </c>
      <c r="B94" t="s">
        <v>15</v>
      </c>
      <c r="C94" t="s">
        <v>1506</v>
      </c>
      <c r="D94" t="s">
        <v>17</v>
      </c>
      <c r="E94" t="s">
        <v>60</v>
      </c>
      <c r="F94" t="s">
        <v>19</v>
      </c>
      <c r="G94" t="s">
        <v>61</v>
      </c>
      <c r="H94" t="s">
        <v>21</v>
      </c>
      <c r="I94" t="s">
        <v>62</v>
      </c>
      <c r="J94">
        <v>8052</v>
      </c>
      <c r="K94" t="s">
        <v>23</v>
      </c>
    </row>
    <row r="95" spans="1:11" x14ac:dyDescent="0.35">
      <c r="A95" t="s">
        <v>14</v>
      </c>
      <c r="B95" t="s">
        <v>15</v>
      </c>
      <c r="C95" t="s">
        <v>1510</v>
      </c>
      <c r="D95" t="s">
        <v>17</v>
      </c>
      <c r="E95" t="s">
        <v>1511</v>
      </c>
      <c r="F95" t="s">
        <v>19</v>
      </c>
      <c r="G95" t="s">
        <v>1512</v>
      </c>
      <c r="H95" t="s">
        <v>21</v>
      </c>
      <c r="I95" t="s">
        <v>62</v>
      </c>
      <c r="J95">
        <v>7041</v>
      </c>
      <c r="K95" t="s">
        <v>23</v>
      </c>
    </row>
    <row r="96" spans="1:11" x14ac:dyDescent="0.35">
      <c r="A96" t="s">
        <v>14</v>
      </c>
      <c r="B96" t="s">
        <v>15</v>
      </c>
      <c r="C96" t="s">
        <v>1599</v>
      </c>
      <c r="D96" t="s">
        <v>17</v>
      </c>
      <c r="E96" t="s">
        <v>668</v>
      </c>
      <c r="F96" t="s">
        <v>19</v>
      </c>
      <c r="G96" t="s">
        <v>669</v>
      </c>
      <c r="H96" t="s">
        <v>21</v>
      </c>
      <c r="I96" t="s">
        <v>62</v>
      </c>
      <c r="J96">
        <v>5609</v>
      </c>
      <c r="K96" t="s">
        <v>23</v>
      </c>
    </row>
    <row r="97" spans="1:11" x14ac:dyDescent="0.35">
      <c r="A97" t="s">
        <v>14</v>
      </c>
      <c r="B97" t="s">
        <v>15</v>
      </c>
      <c r="C97" t="s">
        <v>1602</v>
      </c>
      <c r="D97" t="s">
        <v>17</v>
      </c>
      <c r="E97" t="s">
        <v>1369</v>
      </c>
      <c r="F97" t="s">
        <v>19</v>
      </c>
      <c r="G97" t="s">
        <v>1603</v>
      </c>
      <c r="H97" t="s">
        <v>21</v>
      </c>
      <c r="I97" t="s">
        <v>62</v>
      </c>
      <c r="J97">
        <v>5605</v>
      </c>
      <c r="K97" t="s">
        <v>23</v>
      </c>
    </row>
    <row r="98" spans="1:11" x14ac:dyDescent="0.35">
      <c r="A98" t="s">
        <v>14</v>
      </c>
      <c r="B98" t="s">
        <v>15</v>
      </c>
      <c r="C98" t="s">
        <v>1693</v>
      </c>
      <c r="D98" t="s">
        <v>17</v>
      </c>
      <c r="E98" t="s">
        <v>1369</v>
      </c>
      <c r="F98" t="s">
        <v>19</v>
      </c>
      <c r="G98" t="s">
        <v>1370</v>
      </c>
      <c r="H98" t="s">
        <v>21</v>
      </c>
      <c r="I98" t="s">
        <v>62</v>
      </c>
      <c r="J98">
        <v>5605</v>
      </c>
      <c r="K98" t="s">
        <v>23</v>
      </c>
    </row>
    <row r="99" spans="1:11" x14ac:dyDescent="0.35">
      <c r="A99" t="s">
        <v>14</v>
      </c>
      <c r="B99" t="s">
        <v>15</v>
      </c>
      <c r="C99" t="s">
        <v>1704</v>
      </c>
      <c r="D99" t="s">
        <v>17</v>
      </c>
      <c r="E99" t="s">
        <v>1551</v>
      </c>
      <c r="F99" t="s">
        <v>19</v>
      </c>
      <c r="G99" t="s">
        <v>1552</v>
      </c>
      <c r="H99" t="s">
        <v>21</v>
      </c>
      <c r="I99" t="s">
        <v>62</v>
      </c>
      <c r="J99">
        <v>5607</v>
      </c>
      <c r="K99" t="s">
        <v>23</v>
      </c>
    </row>
    <row r="100" spans="1:11" x14ac:dyDescent="0.35">
      <c r="A100" t="s">
        <v>14</v>
      </c>
      <c r="B100" t="s">
        <v>15</v>
      </c>
      <c r="C100" t="s">
        <v>1718</v>
      </c>
      <c r="D100" t="s">
        <v>17</v>
      </c>
      <c r="E100" t="s">
        <v>668</v>
      </c>
      <c r="F100" t="s">
        <v>19</v>
      </c>
      <c r="G100" t="s">
        <v>1717</v>
      </c>
      <c r="H100" t="s">
        <v>21</v>
      </c>
      <c r="I100" t="s">
        <v>62</v>
      </c>
      <c r="J100">
        <v>5609</v>
      </c>
      <c r="K100" t="s">
        <v>23</v>
      </c>
    </row>
    <row r="101" spans="1:11" x14ac:dyDescent="0.35">
      <c r="A101" t="s">
        <v>317</v>
      </c>
      <c r="B101" t="s">
        <v>15</v>
      </c>
      <c r="C101" t="s">
        <v>1425</v>
      </c>
      <c r="D101" t="s">
        <v>319</v>
      </c>
      <c r="E101" t="s">
        <v>81</v>
      </c>
      <c r="F101" t="s">
        <v>19</v>
      </c>
      <c r="G101" t="s">
        <v>82</v>
      </c>
      <c r="H101" t="s">
        <v>21</v>
      </c>
      <c r="I101" t="s">
        <v>62</v>
      </c>
      <c r="J101">
        <v>3286</v>
      </c>
      <c r="K101" t="s">
        <v>673</v>
      </c>
    </row>
    <row r="102" spans="1:11" x14ac:dyDescent="0.35">
      <c r="A102" t="s">
        <v>317</v>
      </c>
      <c r="B102" t="s">
        <v>15</v>
      </c>
      <c r="C102" t="s">
        <v>1447</v>
      </c>
      <c r="D102" t="s">
        <v>319</v>
      </c>
      <c r="E102" t="s">
        <v>418</v>
      </c>
      <c r="F102" t="s">
        <v>19</v>
      </c>
      <c r="G102" t="s">
        <v>419</v>
      </c>
      <c r="H102" t="s">
        <v>21</v>
      </c>
      <c r="I102" t="s">
        <v>62</v>
      </c>
      <c r="J102">
        <v>5608</v>
      </c>
      <c r="K102" t="s">
        <v>673</v>
      </c>
    </row>
    <row r="103" spans="1:11" x14ac:dyDescent="0.35">
      <c r="A103" t="s">
        <v>317</v>
      </c>
      <c r="B103" t="s">
        <v>15</v>
      </c>
      <c r="C103" t="s">
        <v>1449</v>
      </c>
      <c r="D103" t="s">
        <v>319</v>
      </c>
      <c r="E103" t="s">
        <v>652</v>
      </c>
      <c r="F103" t="s">
        <v>19</v>
      </c>
      <c r="G103" t="s">
        <v>656</v>
      </c>
      <c r="H103" t="s">
        <v>21</v>
      </c>
      <c r="I103" t="s">
        <v>62</v>
      </c>
      <c r="J103">
        <v>5611</v>
      </c>
      <c r="K103" t="s">
        <v>673</v>
      </c>
    </row>
    <row r="104" spans="1:11" x14ac:dyDescent="0.35">
      <c r="A104" t="s">
        <v>317</v>
      </c>
      <c r="B104" t="s">
        <v>15</v>
      </c>
      <c r="C104" t="s">
        <v>1451</v>
      </c>
      <c r="D104" t="s">
        <v>319</v>
      </c>
      <c r="E104" t="s">
        <v>1373</v>
      </c>
      <c r="F104" t="s">
        <v>19</v>
      </c>
      <c r="G104" t="s">
        <v>1374</v>
      </c>
      <c r="H104" t="s">
        <v>21</v>
      </c>
      <c r="I104" t="s">
        <v>62</v>
      </c>
      <c r="J104">
        <v>5614</v>
      </c>
      <c r="K104" t="s">
        <v>673</v>
      </c>
    </row>
    <row r="105" spans="1:11" x14ac:dyDescent="0.35">
      <c r="A105" t="s">
        <v>317</v>
      </c>
      <c r="B105" t="s">
        <v>15</v>
      </c>
      <c r="C105" t="s">
        <v>1548</v>
      </c>
      <c r="D105" t="s">
        <v>319</v>
      </c>
      <c r="E105" t="s">
        <v>81</v>
      </c>
      <c r="F105" t="s">
        <v>19</v>
      </c>
      <c r="G105" t="s">
        <v>422</v>
      </c>
      <c r="H105" t="s">
        <v>21</v>
      </c>
      <c r="I105" t="s">
        <v>62</v>
      </c>
      <c r="J105">
        <v>3286</v>
      </c>
      <c r="K105" t="s">
        <v>673</v>
      </c>
    </row>
    <row r="106" spans="1:11" x14ac:dyDescent="0.35">
      <c r="A106" t="s">
        <v>317</v>
      </c>
      <c r="B106" t="s">
        <v>15</v>
      </c>
      <c r="C106" t="s">
        <v>1549</v>
      </c>
      <c r="D106" t="s">
        <v>319</v>
      </c>
      <c r="E106" t="s">
        <v>511</v>
      </c>
      <c r="F106" t="s">
        <v>19</v>
      </c>
      <c r="G106" t="s">
        <v>512</v>
      </c>
      <c r="H106" t="s">
        <v>21</v>
      </c>
      <c r="I106" t="s">
        <v>62</v>
      </c>
      <c r="J106">
        <v>5613</v>
      </c>
      <c r="K106" t="s">
        <v>673</v>
      </c>
    </row>
    <row r="107" spans="1:11" x14ac:dyDescent="0.35">
      <c r="A107" t="s">
        <v>317</v>
      </c>
      <c r="B107" t="s">
        <v>15</v>
      </c>
      <c r="C107" t="s">
        <v>1550</v>
      </c>
      <c r="D107" t="s">
        <v>319</v>
      </c>
      <c r="E107" t="s">
        <v>1551</v>
      </c>
      <c r="F107" t="s">
        <v>19</v>
      </c>
      <c r="G107" t="s">
        <v>1552</v>
      </c>
      <c r="H107" t="s">
        <v>21</v>
      </c>
      <c r="I107" t="s">
        <v>62</v>
      </c>
      <c r="J107">
        <v>5607</v>
      </c>
      <c r="K107" t="s">
        <v>673</v>
      </c>
    </row>
    <row r="108" spans="1:11" x14ac:dyDescent="0.35">
      <c r="A108" t="s">
        <v>317</v>
      </c>
      <c r="B108" t="s">
        <v>15</v>
      </c>
      <c r="C108" t="s">
        <v>1553</v>
      </c>
      <c r="D108" t="s">
        <v>319</v>
      </c>
      <c r="E108" t="s">
        <v>661</v>
      </c>
      <c r="F108" t="s">
        <v>19</v>
      </c>
      <c r="G108" t="s">
        <v>662</v>
      </c>
      <c r="H108" t="s">
        <v>21</v>
      </c>
      <c r="I108" t="s">
        <v>62</v>
      </c>
      <c r="J108">
        <v>5612</v>
      </c>
      <c r="K108" t="s">
        <v>673</v>
      </c>
    </row>
    <row r="109" spans="1:11" x14ac:dyDescent="0.35">
      <c r="A109" t="s">
        <v>317</v>
      </c>
      <c r="B109" t="s">
        <v>15</v>
      </c>
      <c r="C109" t="s">
        <v>1554</v>
      </c>
      <c r="D109" t="s">
        <v>319</v>
      </c>
      <c r="E109" t="s">
        <v>67</v>
      </c>
      <c r="F109" t="s">
        <v>19</v>
      </c>
      <c r="G109" t="s">
        <v>68</v>
      </c>
      <c r="H109" t="s">
        <v>21</v>
      </c>
      <c r="I109" t="s">
        <v>62</v>
      </c>
      <c r="J109">
        <v>5610</v>
      </c>
      <c r="K109" t="s">
        <v>673</v>
      </c>
    </row>
    <row r="110" spans="1:11" x14ac:dyDescent="0.35">
      <c r="A110" t="s">
        <v>317</v>
      </c>
      <c r="B110" t="s">
        <v>15</v>
      </c>
      <c r="C110" t="s">
        <v>1641</v>
      </c>
      <c r="D110" t="s">
        <v>319</v>
      </c>
      <c r="E110" t="s">
        <v>567</v>
      </c>
      <c r="F110" t="s">
        <v>19</v>
      </c>
      <c r="G110" t="s">
        <v>568</v>
      </c>
      <c r="H110" t="s">
        <v>21</v>
      </c>
      <c r="I110" t="s">
        <v>62</v>
      </c>
      <c r="J110">
        <v>8150</v>
      </c>
      <c r="K110" t="s">
        <v>673</v>
      </c>
    </row>
    <row r="111" spans="1:11" x14ac:dyDescent="0.35">
      <c r="A111" t="s">
        <v>317</v>
      </c>
      <c r="B111" t="s">
        <v>15</v>
      </c>
      <c r="C111" t="s">
        <v>1642</v>
      </c>
      <c r="D111" t="s">
        <v>319</v>
      </c>
      <c r="E111" t="s">
        <v>1369</v>
      </c>
      <c r="F111" t="s">
        <v>19</v>
      </c>
      <c r="G111" t="s">
        <v>1370</v>
      </c>
      <c r="H111" t="s">
        <v>21</v>
      </c>
      <c r="I111" t="s">
        <v>62</v>
      </c>
      <c r="J111">
        <v>5605</v>
      </c>
      <c r="K111" t="s">
        <v>673</v>
      </c>
    </row>
    <row r="112" spans="1:11" x14ac:dyDescent="0.35">
      <c r="A112" t="s">
        <v>317</v>
      </c>
      <c r="B112" t="s">
        <v>15</v>
      </c>
      <c r="C112" t="s">
        <v>1643</v>
      </c>
      <c r="D112" t="s">
        <v>319</v>
      </c>
      <c r="E112" t="s">
        <v>1369</v>
      </c>
      <c r="F112" t="s">
        <v>19</v>
      </c>
      <c r="G112" t="s">
        <v>1603</v>
      </c>
      <c r="H112" t="s">
        <v>21</v>
      </c>
      <c r="I112" t="s">
        <v>62</v>
      </c>
      <c r="J112">
        <v>5605</v>
      </c>
      <c r="K112" t="s">
        <v>673</v>
      </c>
    </row>
    <row r="113" spans="1:11" x14ac:dyDescent="0.35">
      <c r="A113" t="s">
        <v>317</v>
      </c>
      <c r="B113" t="s">
        <v>15</v>
      </c>
      <c r="C113" t="s">
        <v>1644</v>
      </c>
      <c r="D113" t="s">
        <v>319</v>
      </c>
      <c r="E113" t="s">
        <v>652</v>
      </c>
      <c r="F113" t="s">
        <v>19</v>
      </c>
      <c r="G113" t="s">
        <v>656</v>
      </c>
      <c r="H113" t="s">
        <v>21</v>
      </c>
      <c r="I113" t="s">
        <v>62</v>
      </c>
      <c r="J113">
        <v>5611</v>
      </c>
      <c r="K113" t="s">
        <v>673</v>
      </c>
    </row>
    <row r="114" spans="1:11" x14ac:dyDescent="0.35">
      <c r="A114" t="s">
        <v>317</v>
      </c>
      <c r="B114" t="s">
        <v>15</v>
      </c>
      <c r="C114" t="s">
        <v>1692</v>
      </c>
      <c r="D114" t="s">
        <v>319</v>
      </c>
      <c r="E114" t="s">
        <v>661</v>
      </c>
      <c r="F114" t="s">
        <v>19</v>
      </c>
      <c r="G114" t="s">
        <v>662</v>
      </c>
      <c r="H114" t="s">
        <v>21</v>
      </c>
      <c r="I114" t="s">
        <v>62</v>
      </c>
      <c r="J114">
        <v>5612</v>
      </c>
      <c r="K114" t="s">
        <v>673</v>
      </c>
    </row>
    <row r="115" spans="1:11" x14ac:dyDescent="0.35">
      <c r="A115" t="s">
        <v>317</v>
      </c>
      <c r="B115" t="s">
        <v>15</v>
      </c>
      <c r="C115" t="s">
        <v>1700</v>
      </c>
      <c r="D115" t="s">
        <v>319</v>
      </c>
      <c r="E115" t="s">
        <v>414</v>
      </c>
      <c r="F115" t="s">
        <v>19</v>
      </c>
      <c r="G115" t="s">
        <v>415</v>
      </c>
      <c r="H115" t="s">
        <v>21</v>
      </c>
      <c r="I115" t="s">
        <v>62</v>
      </c>
      <c r="J115">
        <v>5606</v>
      </c>
      <c r="K115" t="s">
        <v>673</v>
      </c>
    </row>
    <row r="116" spans="1:11" x14ac:dyDescent="0.35">
      <c r="A116" t="s">
        <v>317</v>
      </c>
      <c r="B116" t="s">
        <v>15</v>
      </c>
      <c r="C116" t="s">
        <v>1702</v>
      </c>
      <c r="D116" t="s">
        <v>319</v>
      </c>
      <c r="E116" t="s">
        <v>1511</v>
      </c>
      <c r="F116" t="s">
        <v>19</v>
      </c>
      <c r="G116" t="s">
        <v>1512</v>
      </c>
      <c r="H116" t="s">
        <v>21</v>
      </c>
      <c r="I116" t="s">
        <v>62</v>
      </c>
      <c r="J116">
        <v>7041</v>
      </c>
      <c r="K116" t="s">
        <v>673</v>
      </c>
    </row>
    <row r="117" spans="1:11" x14ac:dyDescent="0.35">
      <c r="A117" t="s">
        <v>317</v>
      </c>
      <c r="B117" t="s">
        <v>15</v>
      </c>
      <c r="C117" t="s">
        <v>1703</v>
      </c>
      <c r="D117" t="s">
        <v>319</v>
      </c>
      <c r="E117" t="s">
        <v>1369</v>
      </c>
      <c r="F117" t="s">
        <v>19</v>
      </c>
      <c r="G117" t="s">
        <v>1370</v>
      </c>
      <c r="H117" t="s">
        <v>21</v>
      </c>
      <c r="I117" t="s">
        <v>62</v>
      </c>
      <c r="J117">
        <v>5605</v>
      </c>
      <c r="K117" t="s">
        <v>673</v>
      </c>
    </row>
    <row r="118" spans="1:11" x14ac:dyDescent="0.35">
      <c r="A118" t="s">
        <v>317</v>
      </c>
      <c r="B118" t="s">
        <v>15</v>
      </c>
      <c r="C118" t="s">
        <v>1706</v>
      </c>
      <c r="D118" t="s">
        <v>319</v>
      </c>
      <c r="E118" t="s">
        <v>652</v>
      </c>
      <c r="F118" t="s">
        <v>19</v>
      </c>
      <c r="G118" t="s">
        <v>653</v>
      </c>
      <c r="H118" t="s">
        <v>21</v>
      </c>
      <c r="I118" t="s">
        <v>62</v>
      </c>
      <c r="J118">
        <v>5611</v>
      </c>
      <c r="K118" t="s">
        <v>673</v>
      </c>
    </row>
    <row r="119" spans="1:11" x14ac:dyDescent="0.35">
      <c r="A119" t="s">
        <v>317</v>
      </c>
      <c r="B119" t="s">
        <v>15</v>
      </c>
      <c r="C119" t="s">
        <v>1716</v>
      </c>
      <c r="D119" t="s">
        <v>319</v>
      </c>
      <c r="E119" t="s">
        <v>668</v>
      </c>
      <c r="F119" t="s">
        <v>19</v>
      </c>
      <c r="G119" t="s">
        <v>1717</v>
      </c>
      <c r="H119" t="s">
        <v>21</v>
      </c>
      <c r="I119" t="s">
        <v>62</v>
      </c>
      <c r="J119">
        <v>5609</v>
      </c>
      <c r="K119" t="s">
        <v>673</v>
      </c>
    </row>
    <row r="120" spans="1:11" x14ac:dyDescent="0.35">
      <c r="A120" t="s">
        <v>317</v>
      </c>
      <c r="B120" t="s">
        <v>15</v>
      </c>
      <c r="C120" t="s">
        <v>1826</v>
      </c>
      <c r="D120" t="s">
        <v>319</v>
      </c>
      <c r="E120" t="s">
        <v>414</v>
      </c>
      <c r="F120" t="s">
        <v>19</v>
      </c>
      <c r="G120" t="s">
        <v>415</v>
      </c>
      <c r="H120" t="s">
        <v>21</v>
      </c>
      <c r="I120" t="s">
        <v>62</v>
      </c>
      <c r="J120">
        <v>5606</v>
      </c>
      <c r="K120" t="s">
        <v>673</v>
      </c>
    </row>
    <row r="121" spans="1:11" x14ac:dyDescent="0.35">
      <c r="A121" t="s">
        <v>317</v>
      </c>
      <c r="B121" t="s">
        <v>15</v>
      </c>
      <c r="C121" t="s">
        <v>1879</v>
      </c>
      <c r="D121" t="s">
        <v>319</v>
      </c>
      <c r="E121" t="s">
        <v>60</v>
      </c>
      <c r="F121" t="s">
        <v>19</v>
      </c>
      <c r="G121" t="s">
        <v>61</v>
      </c>
      <c r="H121" t="s">
        <v>21</v>
      </c>
      <c r="I121" t="s">
        <v>62</v>
      </c>
      <c r="J121">
        <v>8052</v>
      </c>
      <c r="K121" t="s">
        <v>23</v>
      </c>
    </row>
    <row r="122" spans="1:11" x14ac:dyDescent="0.35">
      <c r="A122" t="s">
        <v>317</v>
      </c>
      <c r="B122" t="s">
        <v>15</v>
      </c>
      <c r="C122" t="s">
        <v>1880</v>
      </c>
      <c r="D122" t="s">
        <v>319</v>
      </c>
      <c r="E122" t="s">
        <v>668</v>
      </c>
      <c r="F122" t="s">
        <v>19</v>
      </c>
      <c r="G122" t="s">
        <v>669</v>
      </c>
      <c r="H122" t="s">
        <v>21</v>
      </c>
      <c r="I122" t="s">
        <v>62</v>
      </c>
      <c r="J122">
        <v>5609</v>
      </c>
      <c r="K122" t="s">
        <v>23</v>
      </c>
    </row>
    <row r="123" spans="1:11" x14ac:dyDescent="0.35">
      <c r="A123" t="s">
        <v>317</v>
      </c>
      <c r="B123" t="s">
        <v>15</v>
      </c>
      <c r="C123" t="s">
        <v>1881</v>
      </c>
      <c r="D123" t="s">
        <v>319</v>
      </c>
      <c r="E123" t="s">
        <v>606</v>
      </c>
      <c r="F123" t="s">
        <v>19</v>
      </c>
      <c r="G123" t="s">
        <v>607</v>
      </c>
      <c r="H123" t="s">
        <v>21</v>
      </c>
      <c r="I123" t="s">
        <v>62</v>
      </c>
      <c r="J123">
        <v>7412</v>
      </c>
      <c r="K123" t="s">
        <v>23</v>
      </c>
    </row>
    <row r="124" spans="1:11" x14ac:dyDescent="0.35">
      <c r="A124" t="s">
        <v>14</v>
      </c>
      <c r="B124" t="s">
        <v>32</v>
      </c>
      <c r="C124" t="s">
        <v>233</v>
      </c>
      <c r="D124" t="s">
        <v>17</v>
      </c>
      <c r="E124" t="s">
        <v>234</v>
      </c>
      <c r="F124" t="s">
        <v>19</v>
      </c>
      <c r="G124" t="s">
        <v>35</v>
      </c>
      <c r="H124" t="s">
        <v>21</v>
      </c>
      <c r="I124" t="s">
        <v>235</v>
      </c>
      <c r="J124">
        <v>20</v>
      </c>
      <c r="K124" t="s">
        <v>23</v>
      </c>
    </row>
    <row r="125" spans="1:11" x14ac:dyDescent="0.35">
      <c r="A125" t="s">
        <v>14</v>
      </c>
      <c r="B125" t="s">
        <v>32</v>
      </c>
      <c r="C125" t="s">
        <v>523</v>
      </c>
      <c r="D125" t="s">
        <v>17</v>
      </c>
      <c r="E125" t="s">
        <v>234</v>
      </c>
      <c r="F125" t="s">
        <v>19</v>
      </c>
      <c r="G125" t="s">
        <v>35</v>
      </c>
      <c r="H125" t="s">
        <v>21</v>
      </c>
      <c r="I125" t="s">
        <v>235</v>
      </c>
      <c r="J125">
        <v>20</v>
      </c>
      <c r="K125" t="s">
        <v>23</v>
      </c>
    </row>
    <row r="126" spans="1:11" x14ac:dyDescent="0.35">
      <c r="A126" t="s">
        <v>14</v>
      </c>
      <c r="B126" t="s">
        <v>32</v>
      </c>
      <c r="C126" t="s">
        <v>1477</v>
      </c>
      <c r="D126" t="s">
        <v>17</v>
      </c>
      <c r="E126" t="s">
        <v>1478</v>
      </c>
      <c r="F126" t="s">
        <v>19</v>
      </c>
      <c r="G126" t="s">
        <v>1479</v>
      </c>
      <c r="H126" t="s">
        <v>21</v>
      </c>
      <c r="I126" t="s">
        <v>235</v>
      </c>
      <c r="J126">
        <v>20</v>
      </c>
      <c r="K126" t="s">
        <v>23</v>
      </c>
    </row>
    <row r="127" spans="1:11" x14ac:dyDescent="0.35">
      <c r="A127" t="s">
        <v>317</v>
      </c>
      <c r="B127" t="s">
        <v>32</v>
      </c>
      <c r="C127" t="s">
        <v>1571</v>
      </c>
      <c r="D127" t="s">
        <v>319</v>
      </c>
      <c r="E127" t="s">
        <v>234</v>
      </c>
      <c r="F127" t="s">
        <v>19</v>
      </c>
      <c r="G127" t="s">
        <v>35</v>
      </c>
      <c r="H127" t="s">
        <v>21</v>
      </c>
      <c r="I127" t="s">
        <v>235</v>
      </c>
      <c r="J127">
        <v>20</v>
      </c>
      <c r="K127" t="s">
        <v>23</v>
      </c>
    </row>
    <row r="128" spans="1:11" x14ac:dyDescent="0.35">
      <c r="A128" t="s">
        <v>317</v>
      </c>
      <c r="B128" t="s">
        <v>32</v>
      </c>
      <c r="C128" t="s">
        <v>1574</v>
      </c>
      <c r="D128" t="s">
        <v>319</v>
      </c>
      <c r="E128" t="s">
        <v>234</v>
      </c>
      <c r="F128" t="s">
        <v>19</v>
      </c>
      <c r="G128" t="s">
        <v>35</v>
      </c>
      <c r="H128" t="s">
        <v>21</v>
      </c>
      <c r="I128" t="s">
        <v>235</v>
      </c>
      <c r="J128">
        <v>20</v>
      </c>
      <c r="K128" t="s">
        <v>673</v>
      </c>
    </row>
    <row r="129" spans="1:11" x14ac:dyDescent="0.35">
      <c r="A129" t="s">
        <v>317</v>
      </c>
      <c r="B129" t="s">
        <v>32</v>
      </c>
      <c r="C129" t="s">
        <v>1639</v>
      </c>
      <c r="D129" t="s">
        <v>319</v>
      </c>
      <c r="E129" t="s">
        <v>234</v>
      </c>
      <c r="F129" t="s">
        <v>19</v>
      </c>
      <c r="G129" t="s">
        <v>35</v>
      </c>
      <c r="H129" t="s">
        <v>21</v>
      </c>
      <c r="I129" t="s">
        <v>235</v>
      </c>
      <c r="J129">
        <v>20</v>
      </c>
      <c r="K129" t="s">
        <v>673</v>
      </c>
    </row>
    <row r="130" spans="1:11" x14ac:dyDescent="0.35">
      <c r="A130" t="s">
        <v>317</v>
      </c>
      <c r="B130" t="s">
        <v>32</v>
      </c>
      <c r="C130" t="s">
        <v>1817</v>
      </c>
      <c r="D130" t="s">
        <v>319</v>
      </c>
      <c r="E130" t="s">
        <v>234</v>
      </c>
      <c r="F130" t="s">
        <v>19</v>
      </c>
      <c r="G130" t="s">
        <v>35</v>
      </c>
      <c r="H130" t="s">
        <v>21</v>
      </c>
      <c r="I130" t="s">
        <v>235</v>
      </c>
      <c r="J130">
        <v>20</v>
      </c>
      <c r="K130" t="s">
        <v>673</v>
      </c>
    </row>
    <row r="131" spans="1:11" x14ac:dyDescent="0.35">
      <c r="A131" t="s">
        <v>317</v>
      </c>
      <c r="B131" t="s">
        <v>32</v>
      </c>
      <c r="C131" t="s">
        <v>1820</v>
      </c>
      <c r="D131" t="s">
        <v>319</v>
      </c>
      <c r="E131" t="s">
        <v>1478</v>
      </c>
      <c r="F131" t="s">
        <v>19</v>
      </c>
      <c r="G131" t="s">
        <v>1479</v>
      </c>
      <c r="H131" t="s">
        <v>21</v>
      </c>
      <c r="I131" t="s">
        <v>235</v>
      </c>
      <c r="J131">
        <v>20</v>
      </c>
      <c r="K131" t="s">
        <v>673</v>
      </c>
    </row>
    <row r="132" spans="1:11" x14ac:dyDescent="0.35">
      <c r="A132" t="s">
        <v>74</v>
      </c>
      <c r="B132" t="s">
        <v>32</v>
      </c>
      <c r="C132" t="s">
        <v>274</v>
      </c>
      <c r="D132" t="s">
        <v>76</v>
      </c>
      <c r="E132" t="s">
        <v>234</v>
      </c>
      <c r="F132" t="s">
        <v>19</v>
      </c>
      <c r="G132" t="s">
        <v>35</v>
      </c>
      <c r="H132" t="s">
        <v>21</v>
      </c>
      <c r="I132" t="s">
        <v>235</v>
      </c>
      <c r="J132">
        <v>20</v>
      </c>
      <c r="K132" t="s">
        <v>23</v>
      </c>
    </row>
    <row r="133" spans="1:11" x14ac:dyDescent="0.35">
      <c r="A133" t="s">
        <v>74</v>
      </c>
      <c r="B133" t="s">
        <v>32</v>
      </c>
      <c r="C133" t="s">
        <v>447</v>
      </c>
      <c r="D133" t="s">
        <v>76</v>
      </c>
      <c r="E133" t="s">
        <v>234</v>
      </c>
      <c r="F133" t="s">
        <v>19</v>
      </c>
      <c r="G133" t="s">
        <v>35</v>
      </c>
      <c r="H133" t="s">
        <v>21</v>
      </c>
      <c r="I133" t="s">
        <v>235</v>
      </c>
      <c r="J133">
        <v>20</v>
      </c>
      <c r="K133" t="s">
        <v>23</v>
      </c>
    </row>
    <row r="134" spans="1:11" x14ac:dyDescent="0.35">
      <c r="A134" t="s">
        <v>74</v>
      </c>
      <c r="B134" t="s">
        <v>32</v>
      </c>
      <c r="C134" t="s">
        <v>1119</v>
      </c>
      <c r="D134" t="s">
        <v>76</v>
      </c>
      <c r="E134" t="s">
        <v>234</v>
      </c>
      <c r="F134" t="s">
        <v>19</v>
      </c>
      <c r="G134" t="s">
        <v>35</v>
      </c>
      <c r="H134" t="s">
        <v>21</v>
      </c>
      <c r="I134" t="s">
        <v>235</v>
      </c>
      <c r="J134">
        <v>20</v>
      </c>
      <c r="K134" t="s">
        <v>23</v>
      </c>
    </row>
    <row r="135" spans="1:11" x14ac:dyDescent="0.35">
      <c r="A135" t="s">
        <v>74</v>
      </c>
      <c r="B135" t="s">
        <v>32</v>
      </c>
      <c r="C135" t="s">
        <v>1848</v>
      </c>
      <c r="D135" t="s">
        <v>76</v>
      </c>
      <c r="E135" t="s">
        <v>234</v>
      </c>
      <c r="F135" t="s">
        <v>19</v>
      </c>
      <c r="G135" t="s">
        <v>35</v>
      </c>
      <c r="H135" t="s">
        <v>21</v>
      </c>
      <c r="I135" t="s">
        <v>235</v>
      </c>
      <c r="J135">
        <v>20</v>
      </c>
      <c r="K135" t="s">
        <v>1849</v>
      </c>
    </row>
    <row r="136" spans="1:11" x14ac:dyDescent="0.35">
      <c r="A136" t="s">
        <v>14</v>
      </c>
      <c r="B136" t="s">
        <v>53</v>
      </c>
      <c r="C136" t="s">
        <v>1411</v>
      </c>
      <c r="D136" t="s">
        <v>17</v>
      </c>
      <c r="E136" t="s">
        <v>1412</v>
      </c>
      <c r="F136" t="s">
        <v>19</v>
      </c>
      <c r="G136" t="s">
        <v>56</v>
      </c>
      <c r="H136" t="s">
        <v>21</v>
      </c>
      <c r="I136" t="s">
        <v>235</v>
      </c>
      <c r="J136">
        <v>2015</v>
      </c>
      <c r="K136" t="s">
        <v>23</v>
      </c>
    </row>
    <row r="137" spans="1:11" x14ac:dyDescent="0.35">
      <c r="A137" t="s">
        <v>14</v>
      </c>
      <c r="B137" t="s">
        <v>53</v>
      </c>
      <c r="C137" t="s">
        <v>1573</v>
      </c>
      <c r="D137" t="s">
        <v>17</v>
      </c>
      <c r="E137" t="s">
        <v>1412</v>
      </c>
      <c r="F137" t="s">
        <v>19</v>
      </c>
      <c r="G137" t="s">
        <v>56</v>
      </c>
      <c r="H137" t="s">
        <v>21</v>
      </c>
      <c r="I137" t="s">
        <v>235</v>
      </c>
      <c r="J137">
        <v>2015</v>
      </c>
      <c r="K137" t="s">
        <v>23</v>
      </c>
    </row>
    <row r="138" spans="1:11" x14ac:dyDescent="0.35">
      <c r="A138" t="s">
        <v>14</v>
      </c>
      <c r="B138" t="s">
        <v>53</v>
      </c>
      <c r="C138" t="s">
        <v>1629</v>
      </c>
      <c r="D138" t="s">
        <v>17</v>
      </c>
      <c r="E138" t="s">
        <v>1630</v>
      </c>
      <c r="F138" t="s">
        <v>19</v>
      </c>
      <c r="G138" t="s">
        <v>56</v>
      </c>
      <c r="H138" t="s">
        <v>21</v>
      </c>
      <c r="I138" t="s">
        <v>235</v>
      </c>
      <c r="J138">
        <v>2277</v>
      </c>
      <c r="K138" t="s">
        <v>23</v>
      </c>
    </row>
    <row r="139" spans="1:11" x14ac:dyDescent="0.35">
      <c r="A139" t="s">
        <v>317</v>
      </c>
      <c r="B139" t="s">
        <v>53</v>
      </c>
      <c r="C139" t="s">
        <v>1433</v>
      </c>
      <c r="D139" t="s">
        <v>319</v>
      </c>
      <c r="E139" t="s">
        <v>1412</v>
      </c>
      <c r="F139" t="s">
        <v>19</v>
      </c>
      <c r="G139" t="s">
        <v>56</v>
      </c>
      <c r="H139" t="s">
        <v>21</v>
      </c>
      <c r="I139" t="s">
        <v>235</v>
      </c>
      <c r="J139">
        <v>2015</v>
      </c>
      <c r="K139" t="s">
        <v>673</v>
      </c>
    </row>
    <row r="140" spans="1:11" x14ac:dyDescent="0.35">
      <c r="A140" t="s">
        <v>317</v>
      </c>
      <c r="B140" t="s">
        <v>53</v>
      </c>
      <c r="C140" t="s">
        <v>1816</v>
      </c>
      <c r="D140" t="s">
        <v>319</v>
      </c>
      <c r="E140" t="s">
        <v>1630</v>
      </c>
      <c r="F140" t="s">
        <v>19</v>
      </c>
      <c r="G140" t="s">
        <v>56</v>
      </c>
      <c r="H140" t="s">
        <v>21</v>
      </c>
      <c r="I140" t="s">
        <v>235</v>
      </c>
      <c r="J140">
        <v>2277</v>
      </c>
      <c r="K140" t="s">
        <v>673</v>
      </c>
    </row>
    <row r="141" spans="1:11" x14ac:dyDescent="0.35">
      <c r="A141" t="s">
        <v>14</v>
      </c>
      <c r="B141" t="s">
        <v>15</v>
      </c>
      <c r="C141" t="s">
        <v>627</v>
      </c>
      <c r="D141" t="s">
        <v>17</v>
      </c>
      <c r="E141" t="s">
        <v>628</v>
      </c>
      <c r="F141" t="s">
        <v>19</v>
      </c>
      <c r="G141" t="s">
        <v>629</v>
      </c>
      <c r="H141" t="s">
        <v>21</v>
      </c>
      <c r="I141" t="s">
        <v>235</v>
      </c>
      <c r="J141">
        <v>5722</v>
      </c>
      <c r="K141" t="s">
        <v>23</v>
      </c>
    </row>
    <row r="142" spans="1:11" x14ac:dyDescent="0.35">
      <c r="A142" t="s">
        <v>14</v>
      </c>
      <c r="B142" t="s">
        <v>15</v>
      </c>
      <c r="C142" t="s">
        <v>641</v>
      </c>
      <c r="D142" t="s">
        <v>17</v>
      </c>
      <c r="E142" t="s">
        <v>642</v>
      </c>
      <c r="F142" t="s">
        <v>19</v>
      </c>
      <c r="G142" t="s">
        <v>643</v>
      </c>
      <c r="H142" t="s">
        <v>21</v>
      </c>
      <c r="I142" t="s">
        <v>235</v>
      </c>
      <c r="J142">
        <v>5632</v>
      </c>
      <c r="K142" t="s">
        <v>23</v>
      </c>
    </row>
    <row r="143" spans="1:11" x14ac:dyDescent="0.35">
      <c r="A143" t="s">
        <v>14</v>
      </c>
      <c r="B143" t="s">
        <v>15</v>
      </c>
      <c r="C143" t="s">
        <v>846</v>
      </c>
      <c r="D143" t="s">
        <v>17</v>
      </c>
      <c r="E143" t="s">
        <v>847</v>
      </c>
      <c r="F143" t="s">
        <v>19</v>
      </c>
      <c r="G143" t="s">
        <v>848</v>
      </c>
      <c r="H143" t="s">
        <v>21</v>
      </c>
      <c r="I143" t="s">
        <v>235</v>
      </c>
      <c r="J143">
        <v>5634</v>
      </c>
      <c r="K143" t="s">
        <v>23</v>
      </c>
    </row>
    <row r="144" spans="1:11" x14ac:dyDescent="0.35">
      <c r="A144" t="s">
        <v>14</v>
      </c>
      <c r="B144" t="s">
        <v>15</v>
      </c>
      <c r="C144" t="s">
        <v>855</v>
      </c>
      <c r="D144" t="s">
        <v>17</v>
      </c>
      <c r="E144" t="s">
        <v>856</v>
      </c>
      <c r="F144" t="s">
        <v>19</v>
      </c>
      <c r="G144" t="s">
        <v>857</v>
      </c>
      <c r="H144" t="s">
        <v>21</v>
      </c>
      <c r="I144" t="s">
        <v>235</v>
      </c>
      <c r="J144">
        <v>5718</v>
      </c>
      <c r="K144" t="s">
        <v>23</v>
      </c>
    </row>
    <row r="145" spans="1:11" x14ac:dyDescent="0.35">
      <c r="A145" t="s">
        <v>14</v>
      </c>
      <c r="B145" t="s">
        <v>15</v>
      </c>
      <c r="C145" t="s">
        <v>905</v>
      </c>
      <c r="D145" t="s">
        <v>17</v>
      </c>
      <c r="E145" t="s">
        <v>906</v>
      </c>
      <c r="F145" t="s">
        <v>19</v>
      </c>
      <c r="G145" t="s">
        <v>907</v>
      </c>
      <c r="H145" t="s">
        <v>21</v>
      </c>
      <c r="I145" t="s">
        <v>235</v>
      </c>
      <c r="J145">
        <v>5635</v>
      </c>
      <c r="K145" t="s">
        <v>23</v>
      </c>
    </row>
    <row r="146" spans="1:11" x14ac:dyDescent="0.35">
      <c r="A146" t="s">
        <v>14</v>
      </c>
      <c r="B146" t="s">
        <v>15</v>
      </c>
      <c r="C146" t="s">
        <v>1043</v>
      </c>
      <c r="D146" t="s">
        <v>17</v>
      </c>
      <c r="E146" t="s">
        <v>1044</v>
      </c>
      <c r="F146" t="s">
        <v>19</v>
      </c>
      <c r="G146" t="s">
        <v>1045</v>
      </c>
      <c r="H146" t="s">
        <v>21</v>
      </c>
      <c r="I146" t="s">
        <v>235</v>
      </c>
      <c r="J146">
        <v>3552</v>
      </c>
      <c r="K146" t="s">
        <v>23</v>
      </c>
    </row>
    <row r="147" spans="1:11" x14ac:dyDescent="0.35">
      <c r="A147" t="s">
        <v>14</v>
      </c>
      <c r="B147" t="s">
        <v>15</v>
      </c>
      <c r="C147" t="s">
        <v>1051</v>
      </c>
      <c r="D147" t="s">
        <v>17</v>
      </c>
      <c r="E147" t="s">
        <v>847</v>
      </c>
      <c r="F147" t="s">
        <v>19</v>
      </c>
      <c r="G147" t="s">
        <v>848</v>
      </c>
      <c r="H147" t="s">
        <v>21</v>
      </c>
      <c r="I147" t="s">
        <v>235</v>
      </c>
      <c r="J147">
        <v>5634</v>
      </c>
      <c r="K147" t="s">
        <v>23</v>
      </c>
    </row>
    <row r="148" spans="1:11" x14ac:dyDescent="0.35">
      <c r="A148" t="s">
        <v>14</v>
      </c>
      <c r="B148" t="s">
        <v>15</v>
      </c>
      <c r="C148" t="s">
        <v>1116</v>
      </c>
      <c r="D148" t="s">
        <v>17</v>
      </c>
      <c r="E148" t="s">
        <v>1117</v>
      </c>
      <c r="F148" t="s">
        <v>19</v>
      </c>
      <c r="G148" t="s">
        <v>1118</v>
      </c>
      <c r="H148" t="s">
        <v>21</v>
      </c>
      <c r="I148" t="s">
        <v>235</v>
      </c>
      <c r="J148">
        <v>5721</v>
      </c>
      <c r="K148" t="s">
        <v>23</v>
      </c>
    </row>
    <row r="149" spans="1:11" x14ac:dyDescent="0.35">
      <c r="A149" t="s">
        <v>14</v>
      </c>
      <c r="B149" t="s">
        <v>15</v>
      </c>
      <c r="C149" t="s">
        <v>1398</v>
      </c>
      <c r="D149" t="s">
        <v>17</v>
      </c>
      <c r="E149" t="s">
        <v>526</v>
      </c>
      <c r="F149" t="s">
        <v>19</v>
      </c>
      <c r="G149" t="s">
        <v>1399</v>
      </c>
      <c r="H149" t="s">
        <v>21</v>
      </c>
      <c r="I149" t="s">
        <v>235</v>
      </c>
      <c r="J149">
        <v>5628</v>
      </c>
      <c r="K149" t="s">
        <v>23</v>
      </c>
    </row>
    <row r="150" spans="1:11" x14ac:dyDescent="0.35">
      <c r="A150" t="s">
        <v>14</v>
      </c>
      <c r="B150" t="s">
        <v>15</v>
      </c>
      <c r="C150" t="s">
        <v>1401</v>
      </c>
      <c r="D150" t="s">
        <v>17</v>
      </c>
      <c r="E150" t="s">
        <v>1402</v>
      </c>
      <c r="F150" t="s">
        <v>19</v>
      </c>
      <c r="G150" t="s">
        <v>1403</v>
      </c>
      <c r="H150" t="s">
        <v>21</v>
      </c>
      <c r="I150" t="s">
        <v>235</v>
      </c>
      <c r="J150">
        <v>5629</v>
      </c>
      <c r="K150" t="s">
        <v>23</v>
      </c>
    </row>
    <row r="151" spans="1:11" x14ac:dyDescent="0.35">
      <c r="A151" t="s">
        <v>14</v>
      </c>
      <c r="B151" t="s">
        <v>15</v>
      </c>
      <c r="C151" t="s">
        <v>1414</v>
      </c>
      <c r="D151" t="s">
        <v>17</v>
      </c>
      <c r="E151" t="s">
        <v>526</v>
      </c>
      <c r="F151" t="s">
        <v>19</v>
      </c>
      <c r="G151" t="s">
        <v>1399</v>
      </c>
      <c r="H151" t="s">
        <v>21</v>
      </c>
      <c r="I151" t="s">
        <v>235</v>
      </c>
      <c r="J151">
        <v>5628</v>
      </c>
      <c r="K151" t="s">
        <v>23</v>
      </c>
    </row>
    <row r="152" spans="1:11" x14ac:dyDescent="0.35">
      <c r="A152" t="s">
        <v>14</v>
      </c>
      <c r="B152" t="s">
        <v>15</v>
      </c>
      <c r="C152" t="s">
        <v>1572</v>
      </c>
      <c r="D152" t="s">
        <v>17</v>
      </c>
      <c r="E152" t="s">
        <v>1402</v>
      </c>
      <c r="F152" t="s">
        <v>19</v>
      </c>
      <c r="G152" t="s">
        <v>1403</v>
      </c>
      <c r="H152" t="s">
        <v>21</v>
      </c>
      <c r="I152" t="s">
        <v>235</v>
      </c>
      <c r="J152">
        <v>5629</v>
      </c>
      <c r="K152" t="s">
        <v>23</v>
      </c>
    </row>
    <row r="153" spans="1:11" x14ac:dyDescent="0.35">
      <c r="A153" t="s">
        <v>14</v>
      </c>
      <c r="B153" t="s">
        <v>15</v>
      </c>
      <c r="C153" t="s">
        <v>1626</v>
      </c>
      <c r="D153" t="s">
        <v>17</v>
      </c>
      <c r="E153" t="s">
        <v>628</v>
      </c>
      <c r="F153" t="s">
        <v>19</v>
      </c>
      <c r="G153" t="s">
        <v>629</v>
      </c>
      <c r="H153" t="s">
        <v>21</v>
      </c>
      <c r="I153" t="s">
        <v>235</v>
      </c>
      <c r="J153">
        <v>5722</v>
      </c>
      <c r="K153" t="s">
        <v>23</v>
      </c>
    </row>
    <row r="154" spans="1:11" x14ac:dyDescent="0.35">
      <c r="A154" t="s">
        <v>14</v>
      </c>
      <c r="B154" t="s">
        <v>15</v>
      </c>
      <c r="C154" t="s">
        <v>1627</v>
      </c>
      <c r="D154" t="s">
        <v>17</v>
      </c>
      <c r="E154" t="s">
        <v>856</v>
      </c>
      <c r="F154" t="s">
        <v>19</v>
      </c>
      <c r="G154" t="s">
        <v>857</v>
      </c>
      <c r="H154" t="s">
        <v>21</v>
      </c>
      <c r="I154" t="s">
        <v>235</v>
      </c>
      <c r="J154">
        <v>5718</v>
      </c>
      <c r="K154" t="s">
        <v>23</v>
      </c>
    </row>
    <row r="155" spans="1:11" x14ac:dyDescent="0.35">
      <c r="A155" t="s">
        <v>14</v>
      </c>
      <c r="B155" t="s">
        <v>15</v>
      </c>
      <c r="C155" t="s">
        <v>1631</v>
      </c>
      <c r="D155" t="s">
        <v>17</v>
      </c>
      <c r="E155" t="s">
        <v>906</v>
      </c>
      <c r="F155" t="s">
        <v>19</v>
      </c>
      <c r="G155" t="s">
        <v>907</v>
      </c>
      <c r="H155" t="s">
        <v>21</v>
      </c>
      <c r="I155" t="s">
        <v>235</v>
      </c>
      <c r="J155">
        <v>5635</v>
      </c>
      <c r="K155" t="s">
        <v>23</v>
      </c>
    </row>
    <row r="156" spans="1:11" x14ac:dyDescent="0.35">
      <c r="A156" t="s">
        <v>14</v>
      </c>
      <c r="B156" t="s">
        <v>15</v>
      </c>
      <c r="C156" t="s">
        <v>1637</v>
      </c>
      <c r="D156" t="s">
        <v>17</v>
      </c>
      <c r="E156" t="s">
        <v>1044</v>
      </c>
      <c r="F156" t="s">
        <v>19</v>
      </c>
      <c r="G156" t="s">
        <v>1045</v>
      </c>
      <c r="H156" t="s">
        <v>21</v>
      </c>
      <c r="I156" t="s">
        <v>235</v>
      </c>
      <c r="J156">
        <v>3552</v>
      </c>
      <c r="K156" t="s">
        <v>23</v>
      </c>
    </row>
    <row r="157" spans="1:11" x14ac:dyDescent="0.35">
      <c r="A157" t="s">
        <v>317</v>
      </c>
      <c r="B157" t="s">
        <v>15</v>
      </c>
      <c r="C157" t="s">
        <v>525</v>
      </c>
      <c r="D157" t="s">
        <v>319</v>
      </c>
      <c r="E157" t="s">
        <v>526</v>
      </c>
      <c r="F157" t="s">
        <v>19</v>
      </c>
      <c r="G157" t="s">
        <v>527</v>
      </c>
      <c r="H157" t="s">
        <v>21</v>
      </c>
      <c r="I157" t="s">
        <v>235</v>
      </c>
      <c r="J157">
        <v>5628</v>
      </c>
      <c r="K157" t="s">
        <v>23</v>
      </c>
    </row>
    <row r="158" spans="1:11" x14ac:dyDescent="0.35">
      <c r="A158" t="s">
        <v>317</v>
      </c>
      <c r="B158" t="s">
        <v>15</v>
      </c>
      <c r="C158" t="s">
        <v>1063</v>
      </c>
      <c r="D158" t="s">
        <v>319</v>
      </c>
      <c r="E158" t="s">
        <v>642</v>
      </c>
      <c r="F158" t="s">
        <v>19</v>
      </c>
      <c r="G158" t="s">
        <v>643</v>
      </c>
      <c r="H158" t="s">
        <v>21</v>
      </c>
      <c r="I158" t="s">
        <v>235</v>
      </c>
      <c r="J158">
        <v>5632</v>
      </c>
      <c r="K158" t="s">
        <v>673</v>
      </c>
    </row>
    <row r="159" spans="1:11" x14ac:dyDescent="0.35">
      <c r="A159" t="s">
        <v>317</v>
      </c>
      <c r="B159" t="s">
        <v>15</v>
      </c>
      <c r="C159" t="s">
        <v>1419</v>
      </c>
      <c r="D159" t="s">
        <v>319</v>
      </c>
      <c r="E159" t="s">
        <v>906</v>
      </c>
      <c r="F159" t="s">
        <v>19</v>
      </c>
      <c r="G159" t="s">
        <v>907</v>
      </c>
      <c r="H159" t="s">
        <v>21</v>
      </c>
      <c r="I159" t="s">
        <v>235</v>
      </c>
      <c r="J159">
        <v>5635</v>
      </c>
      <c r="K159" t="s">
        <v>673</v>
      </c>
    </row>
    <row r="160" spans="1:11" x14ac:dyDescent="0.35">
      <c r="A160" t="s">
        <v>317</v>
      </c>
      <c r="B160" t="s">
        <v>15</v>
      </c>
      <c r="C160" t="s">
        <v>1623</v>
      </c>
      <c r="D160" t="s">
        <v>319</v>
      </c>
      <c r="E160" t="s">
        <v>1117</v>
      </c>
      <c r="F160" t="s">
        <v>19</v>
      </c>
      <c r="G160" t="s">
        <v>1118</v>
      </c>
      <c r="H160" t="s">
        <v>21</v>
      </c>
      <c r="I160" t="s">
        <v>235</v>
      </c>
      <c r="J160">
        <v>5721</v>
      </c>
      <c r="K160" t="s">
        <v>673</v>
      </c>
    </row>
    <row r="161" spans="1:11" x14ac:dyDescent="0.35">
      <c r="A161" t="s">
        <v>317</v>
      </c>
      <c r="B161" t="s">
        <v>15</v>
      </c>
      <c r="C161" t="s">
        <v>1624</v>
      </c>
      <c r="D161" t="s">
        <v>319</v>
      </c>
      <c r="E161" t="s">
        <v>628</v>
      </c>
      <c r="F161" t="s">
        <v>19</v>
      </c>
      <c r="G161" t="s">
        <v>629</v>
      </c>
      <c r="H161" t="s">
        <v>21</v>
      </c>
      <c r="I161" t="s">
        <v>235</v>
      </c>
      <c r="J161">
        <v>5722</v>
      </c>
      <c r="K161" t="s">
        <v>673</v>
      </c>
    </row>
    <row r="162" spans="1:11" x14ac:dyDescent="0.35">
      <c r="A162" t="s">
        <v>317</v>
      </c>
      <c r="B162" t="s">
        <v>15</v>
      </c>
      <c r="C162" t="s">
        <v>1625</v>
      </c>
      <c r="D162" t="s">
        <v>319</v>
      </c>
      <c r="E162" t="s">
        <v>856</v>
      </c>
      <c r="F162" t="s">
        <v>19</v>
      </c>
      <c r="G162" t="s">
        <v>857</v>
      </c>
      <c r="H162" t="s">
        <v>21</v>
      </c>
      <c r="I162" t="s">
        <v>235</v>
      </c>
      <c r="J162">
        <v>5718</v>
      </c>
      <c r="K162" t="s">
        <v>673</v>
      </c>
    </row>
    <row r="163" spans="1:11" x14ac:dyDescent="0.35">
      <c r="A163" t="s">
        <v>317</v>
      </c>
      <c r="B163" t="s">
        <v>15</v>
      </c>
      <c r="C163" t="s">
        <v>1628</v>
      </c>
      <c r="D163" t="s">
        <v>319</v>
      </c>
      <c r="E163" t="s">
        <v>526</v>
      </c>
      <c r="F163" t="s">
        <v>19</v>
      </c>
      <c r="G163" t="s">
        <v>1399</v>
      </c>
      <c r="H163" t="s">
        <v>21</v>
      </c>
      <c r="I163" t="s">
        <v>235</v>
      </c>
      <c r="J163">
        <v>5628</v>
      </c>
      <c r="K163" t="s">
        <v>673</v>
      </c>
    </row>
    <row r="164" spans="1:11" x14ac:dyDescent="0.35">
      <c r="A164" t="s">
        <v>317</v>
      </c>
      <c r="B164" t="s">
        <v>15</v>
      </c>
      <c r="C164" t="s">
        <v>1638</v>
      </c>
      <c r="D164" t="s">
        <v>319</v>
      </c>
      <c r="E164" t="s">
        <v>1044</v>
      </c>
      <c r="F164" t="s">
        <v>19</v>
      </c>
      <c r="G164" t="s">
        <v>1045</v>
      </c>
      <c r="H164" t="s">
        <v>21</v>
      </c>
      <c r="I164" t="s">
        <v>235</v>
      </c>
      <c r="J164">
        <v>3552</v>
      </c>
      <c r="K164" t="s">
        <v>673</v>
      </c>
    </row>
    <row r="165" spans="1:11" x14ac:dyDescent="0.35">
      <c r="A165" t="s">
        <v>317</v>
      </c>
      <c r="B165" t="s">
        <v>15</v>
      </c>
      <c r="C165" t="s">
        <v>1759</v>
      </c>
      <c r="D165" t="s">
        <v>319</v>
      </c>
      <c r="E165" t="s">
        <v>1402</v>
      </c>
      <c r="F165" t="s">
        <v>19</v>
      </c>
      <c r="G165" t="s">
        <v>1403</v>
      </c>
      <c r="H165" t="s">
        <v>21</v>
      </c>
      <c r="I165" t="s">
        <v>235</v>
      </c>
      <c r="J165">
        <v>5629</v>
      </c>
      <c r="K165" t="s">
        <v>673</v>
      </c>
    </row>
    <row r="166" spans="1:11" x14ac:dyDescent="0.35">
      <c r="A166" t="s">
        <v>317</v>
      </c>
      <c r="B166" t="s">
        <v>15</v>
      </c>
      <c r="C166" t="s">
        <v>1819</v>
      </c>
      <c r="D166" t="s">
        <v>319</v>
      </c>
      <c r="E166" t="s">
        <v>847</v>
      </c>
      <c r="F166" t="s">
        <v>19</v>
      </c>
      <c r="G166" t="s">
        <v>848</v>
      </c>
      <c r="H166" t="s">
        <v>21</v>
      </c>
      <c r="I166" t="s">
        <v>235</v>
      </c>
      <c r="J166">
        <v>5634</v>
      </c>
      <c r="K166" t="s">
        <v>673</v>
      </c>
    </row>
    <row r="167" spans="1:11" x14ac:dyDescent="0.35">
      <c r="A167" t="s">
        <v>317</v>
      </c>
      <c r="B167" t="s">
        <v>15</v>
      </c>
      <c r="C167" t="s">
        <v>1850</v>
      </c>
      <c r="D167" t="s">
        <v>319</v>
      </c>
      <c r="E167" t="s">
        <v>906</v>
      </c>
      <c r="F167" t="s">
        <v>19</v>
      </c>
      <c r="G167" t="s">
        <v>907</v>
      </c>
      <c r="H167" t="s">
        <v>21</v>
      </c>
      <c r="I167" t="s">
        <v>235</v>
      </c>
      <c r="J167">
        <v>5635</v>
      </c>
      <c r="K167" t="s">
        <v>673</v>
      </c>
    </row>
    <row r="168" spans="1:11" x14ac:dyDescent="0.35">
      <c r="A168" t="s">
        <v>14</v>
      </c>
      <c r="B168" t="s">
        <v>32</v>
      </c>
      <c r="C168" t="s">
        <v>580</v>
      </c>
      <c r="D168" t="s">
        <v>17</v>
      </c>
      <c r="E168" t="s">
        <v>221</v>
      </c>
      <c r="F168" t="s">
        <v>19</v>
      </c>
      <c r="G168" t="s">
        <v>35</v>
      </c>
      <c r="H168" t="s">
        <v>21</v>
      </c>
      <c r="I168" t="s">
        <v>22</v>
      </c>
      <c r="J168">
        <v>30</v>
      </c>
      <c r="K168" t="s">
        <v>23</v>
      </c>
    </row>
    <row r="169" spans="1:11" x14ac:dyDescent="0.35">
      <c r="A169" t="s">
        <v>14</v>
      </c>
      <c r="B169" t="s">
        <v>32</v>
      </c>
      <c r="C169" t="s">
        <v>919</v>
      </c>
      <c r="D169" t="s">
        <v>17</v>
      </c>
      <c r="E169" t="s">
        <v>221</v>
      </c>
      <c r="F169" t="s">
        <v>19</v>
      </c>
      <c r="G169" t="s">
        <v>35</v>
      </c>
      <c r="H169" t="s">
        <v>21</v>
      </c>
      <c r="I169" t="s">
        <v>22</v>
      </c>
      <c r="J169">
        <v>30</v>
      </c>
      <c r="K169" t="s">
        <v>23</v>
      </c>
    </row>
    <row r="170" spans="1:11" x14ac:dyDescent="0.35">
      <c r="A170" t="s">
        <v>317</v>
      </c>
      <c r="B170" t="s">
        <v>32</v>
      </c>
      <c r="C170" t="s">
        <v>822</v>
      </c>
      <c r="D170" t="s">
        <v>319</v>
      </c>
      <c r="E170" t="s">
        <v>221</v>
      </c>
      <c r="F170" t="s">
        <v>19</v>
      </c>
      <c r="G170" t="s">
        <v>35</v>
      </c>
      <c r="H170" t="s">
        <v>21</v>
      </c>
      <c r="I170" t="s">
        <v>22</v>
      </c>
      <c r="J170">
        <v>30</v>
      </c>
      <c r="K170" t="s">
        <v>673</v>
      </c>
    </row>
    <row r="171" spans="1:11" x14ac:dyDescent="0.35">
      <c r="A171" t="s">
        <v>317</v>
      </c>
      <c r="B171" t="s">
        <v>32</v>
      </c>
      <c r="C171" t="s">
        <v>1366</v>
      </c>
      <c r="D171" t="s">
        <v>319</v>
      </c>
      <c r="E171" t="s">
        <v>221</v>
      </c>
      <c r="F171" t="s">
        <v>19</v>
      </c>
      <c r="G171" t="s">
        <v>35</v>
      </c>
      <c r="H171" t="s">
        <v>21</v>
      </c>
      <c r="I171" t="s">
        <v>22</v>
      </c>
      <c r="J171">
        <v>30</v>
      </c>
      <c r="K171" t="s">
        <v>673</v>
      </c>
    </row>
    <row r="172" spans="1:11" x14ac:dyDescent="0.35">
      <c r="A172" t="s">
        <v>317</v>
      </c>
      <c r="B172" t="s">
        <v>32</v>
      </c>
      <c r="C172" t="s">
        <v>1784</v>
      </c>
      <c r="D172" t="s">
        <v>319</v>
      </c>
      <c r="E172" t="s">
        <v>221</v>
      </c>
      <c r="F172" t="s">
        <v>19</v>
      </c>
      <c r="G172" t="s">
        <v>35</v>
      </c>
      <c r="H172" t="s">
        <v>21</v>
      </c>
      <c r="I172" t="s">
        <v>22</v>
      </c>
      <c r="J172">
        <v>30</v>
      </c>
      <c r="K172" t="s">
        <v>23</v>
      </c>
    </row>
    <row r="173" spans="1:11" x14ac:dyDescent="0.35">
      <c r="A173" t="s">
        <v>74</v>
      </c>
      <c r="B173" t="s">
        <v>32</v>
      </c>
      <c r="C173" t="s">
        <v>220</v>
      </c>
      <c r="D173" t="s">
        <v>76</v>
      </c>
      <c r="E173" t="s">
        <v>221</v>
      </c>
      <c r="F173" t="s">
        <v>19</v>
      </c>
      <c r="G173" t="s">
        <v>35</v>
      </c>
      <c r="H173" t="s">
        <v>21</v>
      </c>
      <c r="I173" t="s">
        <v>22</v>
      </c>
      <c r="J173">
        <v>30</v>
      </c>
      <c r="K173" t="s">
        <v>23</v>
      </c>
    </row>
    <row r="174" spans="1:11" x14ac:dyDescent="0.35">
      <c r="A174" t="s">
        <v>14</v>
      </c>
      <c r="B174" t="s">
        <v>53</v>
      </c>
      <c r="C174" t="s">
        <v>171</v>
      </c>
      <c r="D174" t="s">
        <v>17</v>
      </c>
      <c r="E174" t="s">
        <v>172</v>
      </c>
      <c r="F174" t="s">
        <v>19</v>
      </c>
      <c r="G174" t="s">
        <v>56</v>
      </c>
      <c r="H174" t="s">
        <v>21</v>
      </c>
      <c r="I174" t="s">
        <v>22</v>
      </c>
      <c r="J174">
        <v>2088</v>
      </c>
      <c r="K174" t="s">
        <v>23</v>
      </c>
    </row>
    <row r="175" spans="1:11" x14ac:dyDescent="0.35">
      <c r="A175" t="s">
        <v>14</v>
      </c>
      <c r="B175" t="s">
        <v>53</v>
      </c>
      <c r="C175" t="s">
        <v>290</v>
      </c>
      <c r="D175" t="s">
        <v>17</v>
      </c>
      <c r="E175" t="s">
        <v>291</v>
      </c>
      <c r="F175" t="s">
        <v>19</v>
      </c>
      <c r="G175" t="s">
        <v>56</v>
      </c>
      <c r="H175" t="s">
        <v>21</v>
      </c>
      <c r="I175" t="s">
        <v>22</v>
      </c>
      <c r="J175">
        <v>2272</v>
      </c>
      <c r="K175" t="s">
        <v>23</v>
      </c>
    </row>
    <row r="176" spans="1:11" x14ac:dyDescent="0.35">
      <c r="A176" t="s">
        <v>14</v>
      </c>
      <c r="B176" t="s">
        <v>53</v>
      </c>
      <c r="C176" t="s">
        <v>684</v>
      </c>
      <c r="D176" t="s">
        <v>17</v>
      </c>
      <c r="E176" t="s">
        <v>172</v>
      </c>
      <c r="F176" t="s">
        <v>19</v>
      </c>
      <c r="G176" t="s">
        <v>56</v>
      </c>
      <c r="H176" t="s">
        <v>21</v>
      </c>
      <c r="I176" t="s">
        <v>22</v>
      </c>
      <c r="J176">
        <v>2088</v>
      </c>
      <c r="K176" t="s">
        <v>23</v>
      </c>
    </row>
    <row r="177" spans="1:11" x14ac:dyDescent="0.35">
      <c r="A177" t="s">
        <v>14</v>
      </c>
      <c r="B177" t="s">
        <v>53</v>
      </c>
      <c r="C177" t="s">
        <v>983</v>
      </c>
      <c r="D177" t="s">
        <v>17</v>
      </c>
      <c r="E177" t="s">
        <v>291</v>
      </c>
      <c r="F177" t="s">
        <v>19</v>
      </c>
      <c r="G177" t="s">
        <v>56</v>
      </c>
      <c r="H177" t="s">
        <v>21</v>
      </c>
      <c r="I177" t="s">
        <v>22</v>
      </c>
      <c r="J177">
        <v>2272</v>
      </c>
      <c r="K177" t="s">
        <v>23</v>
      </c>
    </row>
    <row r="178" spans="1:11" x14ac:dyDescent="0.35">
      <c r="A178" t="s">
        <v>317</v>
      </c>
      <c r="B178" t="s">
        <v>53</v>
      </c>
      <c r="C178" t="s">
        <v>974</v>
      </c>
      <c r="D178" t="s">
        <v>319</v>
      </c>
      <c r="E178" t="s">
        <v>172</v>
      </c>
      <c r="F178" t="s">
        <v>19</v>
      </c>
      <c r="G178" t="s">
        <v>56</v>
      </c>
      <c r="H178" t="s">
        <v>21</v>
      </c>
      <c r="I178" t="s">
        <v>22</v>
      </c>
      <c r="J178">
        <v>2088</v>
      </c>
      <c r="K178" t="s">
        <v>673</v>
      </c>
    </row>
    <row r="179" spans="1:11" x14ac:dyDescent="0.35">
      <c r="A179" t="s">
        <v>317</v>
      </c>
      <c r="B179" t="s">
        <v>53</v>
      </c>
      <c r="C179" t="s">
        <v>1518</v>
      </c>
      <c r="D179" t="s">
        <v>319</v>
      </c>
      <c r="E179" t="s">
        <v>291</v>
      </c>
      <c r="F179" t="s">
        <v>19</v>
      </c>
      <c r="G179" t="s">
        <v>56</v>
      </c>
      <c r="H179" t="s">
        <v>21</v>
      </c>
      <c r="I179" t="s">
        <v>22</v>
      </c>
      <c r="J179">
        <v>2272</v>
      </c>
      <c r="K179" t="s">
        <v>23</v>
      </c>
    </row>
    <row r="180" spans="1:11" x14ac:dyDescent="0.35">
      <c r="A180" t="s">
        <v>14</v>
      </c>
      <c r="B180" t="s">
        <v>15</v>
      </c>
      <c r="C180" t="s">
        <v>16</v>
      </c>
      <c r="D180" t="s">
        <v>17</v>
      </c>
      <c r="E180" t="s">
        <v>18</v>
      </c>
      <c r="F180" t="s">
        <v>19</v>
      </c>
      <c r="G180" t="s">
        <v>20</v>
      </c>
      <c r="H180" t="s">
        <v>21</v>
      </c>
      <c r="I180" t="s">
        <v>22</v>
      </c>
      <c r="J180">
        <v>5638</v>
      </c>
      <c r="K180" t="s">
        <v>23</v>
      </c>
    </row>
    <row r="181" spans="1:11" x14ac:dyDescent="0.35">
      <c r="A181" t="s">
        <v>14</v>
      </c>
      <c r="B181" t="s">
        <v>15</v>
      </c>
      <c r="C181" t="s">
        <v>25</v>
      </c>
      <c r="D181" t="s">
        <v>17</v>
      </c>
      <c r="E181" t="s">
        <v>26</v>
      </c>
      <c r="F181" t="s">
        <v>19</v>
      </c>
      <c r="G181" t="s">
        <v>27</v>
      </c>
      <c r="H181" t="s">
        <v>21</v>
      </c>
      <c r="I181" t="s">
        <v>22</v>
      </c>
      <c r="J181">
        <v>5647</v>
      </c>
      <c r="K181" t="s">
        <v>23</v>
      </c>
    </row>
    <row r="182" spans="1:11" x14ac:dyDescent="0.35">
      <c r="A182" t="s">
        <v>14</v>
      </c>
      <c r="B182" t="s">
        <v>15</v>
      </c>
      <c r="C182" t="s">
        <v>29</v>
      </c>
      <c r="D182" t="s">
        <v>17</v>
      </c>
      <c r="E182" t="s">
        <v>30</v>
      </c>
      <c r="F182" t="s">
        <v>19</v>
      </c>
      <c r="G182" t="s">
        <v>31</v>
      </c>
      <c r="H182" t="s">
        <v>21</v>
      </c>
      <c r="I182" t="s">
        <v>22</v>
      </c>
      <c r="J182">
        <v>5645</v>
      </c>
      <c r="K182" t="s">
        <v>23</v>
      </c>
    </row>
    <row r="183" spans="1:11" x14ac:dyDescent="0.35">
      <c r="A183" t="s">
        <v>14</v>
      </c>
      <c r="B183" t="s">
        <v>15</v>
      </c>
      <c r="C183" t="s">
        <v>46</v>
      </c>
      <c r="D183" t="s">
        <v>17</v>
      </c>
      <c r="E183" t="s">
        <v>18</v>
      </c>
      <c r="F183" t="s">
        <v>19</v>
      </c>
      <c r="G183" t="s">
        <v>20</v>
      </c>
      <c r="H183" t="s">
        <v>21</v>
      </c>
      <c r="I183" t="s">
        <v>22</v>
      </c>
      <c r="J183">
        <v>5638</v>
      </c>
      <c r="K183" t="s">
        <v>23</v>
      </c>
    </row>
    <row r="184" spans="1:11" x14ac:dyDescent="0.35">
      <c r="A184" t="s">
        <v>14</v>
      </c>
      <c r="B184" t="s">
        <v>15</v>
      </c>
      <c r="C184" t="s">
        <v>174</v>
      </c>
      <c r="D184" t="s">
        <v>17</v>
      </c>
      <c r="E184" t="s">
        <v>175</v>
      </c>
      <c r="F184" t="s">
        <v>19</v>
      </c>
      <c r="G184" t="s">
        <v>176</v>
      </c>
      <c r="H184" t="s">
        <v>21</v>
      </c>
      <c r="I184" t="s">
        <v>22</v>
      </c>
      <c r="J184">
        <v>5644</v>
      </c>
      <c r="K184" t="s">
        <v>23</v>
      </c>
    </row>
    <row r="185" spans="1:11" x14ac:dyDescent="0.35">
      <c r="A185" t="s">
        <v>14</v>
      </c>
      <c r="B185" t="s">
        <v>15</v>
      </c>
      <c r="C185" t="s">
        <v>217</v>
      </c>
      <c r="D185" t="s">
        <v>17</v>
      </c>
      <c r="E185" t="s">
        <v>218</v>
      </c>
      <c r="F185" t="s">
        <v>19</v>
      </c>
      <c r="G185" t="s">
        <v>219</v>
      </c>
      <c r="H185" t="s">
        <v>21</v>
      </c>
      <c r="I185" t="s">
        <v>22</v>
      </c>
      <c r="J185">
        <v>5641</v>
      </c>
      <c r="K185" t="s">
        <v>23</v>
      </c>
    </row>
    <row r="186" spans="1:11" x14ac:dyDescent="0.35">
      <c r="A186" t="s">
        <v>14</v>
      </c>
      <c r="B186" t="s">
        <v>15</v>
      </c>
      <c r="C186" t="s">
        <v>223</v>
      </c>
      <c r="D186" t="s">
        <v>17</v>
      </c>
      <c r="E186" t="s">
        <v>224</v>
      </c>
      <c r="F186" t="s">
        <v>19</v>
      </c>
      <c r="G186" t="s">
        <v>225</v>
      </c>
      <c r="H186" t="s">
        <v>21</v>
      </c>
      <c r="I186" t="s">
        <v>22</v>
      </c>
      <c r="J186">
        <v>5643</v>
      </c>
      <c r="K186" t="s">
        <v>23</v>
      </c>
    </row>
    <row r="187" spans="1:11" x14ac:dyDescent="0.35">
      <c r="A187" t="s">
        <v>14</v>
      </c>
      <c r="B187" t="s">
        <v>15</v>
      </c>
      <c r="C187" t="s">
        <v>241</v>
      </c>
      <c r="D187" t="s">
        <v>17</v>
      </c>
      <c r="E187" t="s">
        <v>242</v>
      </c>
      <c r="F187" t="s">
        <v>19</v>
      </c>
      <c r="G187" t="s">
        <v>243</v>
      </c>
      <c r="H187" t="s">
        <v>21</v>
      </c>
      <c r="I187" t="s">
        <v>22</v>
      </c>
      <c r="J187">
        <v>5636</v>
      </c>
      <c r="K187" t="s">
        <v>23</v>
      </c>
    </row>
    <row r="188" spans="1:11" x14ac:dyDescent="0.35">
      <c r="A188" t="s">
        <v>14</v>
      </c>
      <c r="B188" t="s">
        <v>15</v>
      </c>
      <c r="C188" t="s">
        <v>294</v>
      </c>
      <c r="D188" t="s">
        <v>17</v>
      </c>
      <c r="E188" t="s">
        <v>175</v>
      </c>
      <c r="F188" t="s">
        <v>19</v>
      </c>
      <c r="G188" t="s">
        <v>176</v>
      </c>
      <c r="H188" t="s">
        <v>21</v>
      </c>
      <c r="I188" t="s">
        <v>22</v>
      </c>
      <c r="J188">
        <v>5644</v>
      </c>
      <c r="K188" t="s">
        <v>23</v>
      </c>
    </row>
    <row r="189" spans="1:11" x14ac:dyDescent="0.35">
      <c r="A189" t="s">
        <v>14</v>
      </c>
      <c r="B189" t="s">
        <v>15</v>
      </c>
      <c r="C189" t="s">
        <v>394</v>
      </c>
      <c r="D189" t="s">
        <v>17</v>
      </c>
      <c r="E189" t="s">
        <v>395</v>
      </c>
      <c r="F189" t="s">
        <v>19</v>
      </c>
      <c r="G189" t="s">
        <v>396</v>
      </c>
      <c r="H189" t="s">
        <v>21</v>
      </c>
      <c r="I189" t="s">
        <v>22</v>
      </c>
      <c r="J189">
        <v>5640</v>
      </c>
      <c r="K189" t="s">
        <v>23</v>
      </c>
    </row>
    <row r="190" spans="1:11" x14ac:dyDescent="0.35">
      <c r="A190" t="s">
        <v>14</v>
      </c>
      <c r="B190" t="s">
        <v>15</v>
      </c>
      <c r="C190" t="s">
        <v>514</v>
      </c>
      <c r="D190" t="s">
        <v>17</v>
      </c>
      <c r="E190" t="s">
        <v>224</v>
      </c>
      <c r="F190" t="s">
        <v>19</v>
      </c>
      <c r="G190" t="s">
        <v>225</v>
      </c>
      <c r="H190" t="s">
        <v>21</v>
      </c>
      <c r="I190" t="s">
        <v>22</v>
      </c>
      <c r="J190">
        <v>5643</v>
      </c>
      <c r="K190" t="s">
        <v>23</v>
      </c>
    </row>
    <row r="191" spans="1:11" x14ac:dyDescent="0.35">
      <c r="A191" t="s">
        <v>14</v>
      </c>
      <c r="B191" t="s">
        <v>15</v>
      </c>
      <c r="C191" t="s">
        <v>562</v>
      </c>
      <c r="D191" t="s">
        <v>17</v>
      </c>
      <c r="E191" t="s">
        <v>563</v>
      </c>
      <c r="F191" t="s">
        <v>19</v>
      </c>
      <c r="G191" t="s">
        <v>564</v>
      </c>
      <c r="H191" t="s">
        <v>21</v>
      </c>
      <c r="I191" t="s">
        <v>22</v>
      </c>
      <c r="J191">
        <v>7217</v>
      </c>
      <c r="K191" t="s">
        <v>23</v>
      </c>
    </row>
    <row r="192" spans="1:11" x14ac:dyDescent="0.35">
      <c r="A192" t="s">
        <v>14</v>
      </c>
      <c r="B192" t="s">
        <v>15</v>
      </c>
      <c r="C192" t="s">
        <v>733</v>
      </c>
      <c r="D192" t="s">
        <v>17</v>
      </c>
      <c r="E192" t="s">
        <v>734</v>
      </c>
      <c r="F192" t="s">
        <v>19</v>
      </c>
      <c r="G192" t="s">
        <v>735</v>
      </c>
      <c r="H192" t="s">
        <v>21</v>
      </c>
      <c r="I192" t="s">
        <v>22</v>
      </c>
      <c r="J192">
        <v>5637</v>
      </c>
      <c r="K192" t="s">
        <v>23</v>
      </c>
    </row>
    <row r="193" spans="1:11" x14ac:dyDescent="0.35">
      <c r="A193" t="s">
        <v>14</v>
      </c>
      <c r="B193" t="s">
        <v>15</v>
      </c>
      <c r="C193" t="s">
        <v>737</v>
      </c>
      <c r="D193" t="s">
        <v>17</v>
      </c>
      <c r="E193" t="s">
        <v>734</v>
      </c>
      <c r="F193" t="s">
        <v>19</v>
      </c>
      <c r="G193" t="s">
        <v>735</v>
      </c>
      <c r="H193" t="s">
        <v>21</v>
      </c>
      <c r="I193" t="s">
        <v>22</v>
      </c>
      <c r="J193">
        <v>5637</v>
      </c>
      <c r="K193" t="s">
        <v>23</v>
      </c>
    </row>
    <row r="194" spans="1:11" x14ac:dyDescent="0.35">
      <c r="A194" t="s">
        <v>14</v>
      </c>
      <c r="B194" t="s">
        <v>15</v>
      </c>
      <c r="C194" t="s">
        <v>761</v>
      </c>
      <c r="D194" t="s">
        <v>17</v>
      </c>
      <c r="E194" t="s">
        <v>762</v>
      </c>
      <c r="F194" t="s">
        <v>19</v>
      </c>
      <c r="G194" t="s">
        <v>763</v>
      </c>
      <c r="H194" t="s">
        <v>21</v>
      </c>
      <c r="I194" t="s">
        <v>22</v>
      </c>
      <c r="J194">
        <v>5648</v>
      </c>
      <c r="K194" t="s">
        <v>23</v>
      </c>
    </row>
    <row r="195" spans="1:11" x14ac:dyDescent="0.35">
      <c r="A195" t="s">
        <v>14</v>
      </c>
      <c r="B195" t="s">
        <v>15</v>
      </c>
      <c r="C195" t="s">
        <v>819</v>
      </c>
      <c r="D195" t="s">
        <v>17</v>
      </c>
      <c r="E195" t="s">
        <v>395</v>
      </c>
      <c r="F195" t="s">
        <v>19</v>
      </c>
      <c r="G195" t="s">
        <v>396</v>
      </c>
      <c r="H195" t="s">
        <v>21</v>
      </c>
      <c r="I195" t="s">
        <v>22</v>
      </c>
      <c r="J195">
        <v>5640</v>
      </c>
      <c r="K195" t="s">
        <v>23</v>
      </c>
    </row>
    <row r="196" spans="1:11" x14ac:dyDescent="0.35">
      <c r="A196" t="s">
        <v>14</v>
      </c>
      <c r="B196" t="s">
        <v>15</v>
      </c>
      <c r="C196" t="s">
        <v>821</v>
      </c>
      <c r="D196" t="s">
        <v>17</v>
      </c>
      <c r="E196" t="s">
        <v>26</v>
      </c>
      <c r="F196" t="s">
        <v>19</v>
      </c>
      <c r="G196" t="s">
        <v>27</v>
      </c>
      <c r="H196" t="s">
        <v>21</v>
      </c>
      <c r="I196" t="s">
        <v>22</v>
      </c>
      <c r="J196">
        <v>5647</v>
      </c>
      <c r="K196" t="s">
        <v>23</v>
      </c>
    </row>
    <row r="197" spans="1:11" x14ac:dyDescent="0.35">
      <c r="A197" t="s">
        <v>14</v>
      </c>
      <c r="B197" t="s">
        <v>15</v>
      </c>
      <c r="C197" t="s">
        <v>831</v>
      </c>
      <c r="D197" t="s">
        <v>17</v>
      </c>
      <c r="E197" t="s">
        <v>832</v>
      </c>
      <c r="F197" t="s">
        <v>19</v>
      </c>
      <c r="G197" t="s">
        <v>833</v>
      </c>
      <c r="H197" t="s">
        <v>21</v>
      </c>
      <c r="I197" t="s">
        <v>22</v>
      </c>
      <c r="J197">
        <v>5642</v>
      </c>
      <c r="K197" t="s">
        <v>23</v>
      </c>
    </row>
    <row r="198" spans="1:11" x14ac:dyDescent="0.35">
      <c r="A198" t="s">
        <v>14</v>
      </c>
      <c r="B198" t="s">
        <v>15</v>
      </c>
      <c r="C198" t="s">
        <v>921</v>
      </c>
      <c r="D198" t="s">
        <v>17</v>
      </c>
      <c r="E198" t="s">
        <v>922</v>
      </c>
      <c r="F198" t="s">
        <v>19</v>
      </c>
      <c r="G198" t="s">
        <v>923</v>
      </c>
      <c r="H198" t="s">
        <v>21</v>
      </c>
      <c r="I198" t="s">
        <v>22</v>
      </c>
      <c r="J198">
        <v>7786</v>
      </c>
      <c r="K198" t="s">
        <v>23</v>
      </c>
    </row>
    <row r="199" spans="1:11" x14ac:dyDescent="0.35">
      <c r="A199" t="s">
        <v>14</v>
      </c>
      <c r="B199" t="s">
        <v>15</v>
      </c>
      <c r="C199" t="s">
        <v>981</v>
      </c>
      <c r="D199" t="s">
        <v>17</v>
      </c>
      <c r="E199" t="s">
        <v>922</v>
      </c>
      <c r="F199" t="s">
        <v>19</v>
      </c>
      <c r="G199" t="s">
        <v>923</v>
      </c>
      <c r="H199" t="s">
        <v>21</v>
      </c>
      <c r="I199" t="s">
        <v>22</v>
      </c>
      <c r="J199">
        <v>7786</v>
      </c>
      <c r="K199" t="s">
        <v>23</v>
      </c>
    </row>
    <row r="200" spans="1:11" x14ac:dyDescent="0.35">
      <c r="A200" t="s">
        <v>14</v>
      </c>
      <c r="B200" t="s">
        <v>15</v>
      </c>
      <c r="C200" t="s">
        <v>1065</v>
      </c>
      <c r="D200" t="s">
        <v>17</v>
      </c>
      <c r="E200" t="s">
        <v>1024</v>
      </c>
      <c r="F200" t="s">
        <v>19</v>
      </c>
      <c r="G200" t="s">
        <v>1025</v>
      </c>
      <c r="H200" t="s">
        <v>21</v>
      </c>
      <c r="I200" t="s">
        <v>22</v>
      </c>
      <c r="J200">
        <v>5646</v>
      </c>
      <c r="K200" t="s">
        <v>23</v>
      </c>
    </row>
    <row r="201" spans="1:11" x14ac:dyDescent="0.35">
      <c r="A201" t="s">
        <v>14</v>
      </c>
      <c r="B201" t="s">
        <v>15</v>
      </c>
      <c r="C201" t="s">
        <v>1191</v>
      </c>
      <c r="D201" t="s">
        <v>17</v>
      </c>
      <c r="E201" t="s">
        <v>30</v>
      </c>
      <c r="F201" t="s">
        <v>19</v>
      </c>
      <c r="G201" t="s">
        <v>31</v>
      </c>
      <c r="H201" t="s">
        <v>21</v>
      </c>
      <c r="I201" t="s">
        <v>22</v>
      </c>
      <c r="J201">
        <v>5645</v>
      </c>
      <c r="K201" t="s">
        <v>23</v>
      </c>
    </row>
    <row r="202" spans="1:11" x14ac:dyDescent="0.35">
      <c r="A202" t="s">
        <v>14</v>
      </c>
      <c r="B202" t="s">
        <v>15</v>
      </c>
      <c r="C202" t="s">
        <v>1234</v>
      </c>
      <c r="D202" t="s">
        <v>17</v>
      </c>
      <c r="E202" t="s">
        <v>1020</v>
      </c>
      <c r="F202" t="s">
        <v>19</v>
      </c>
      <c r="G202" t="s">
        <v>1021</v>
      </c>
      <c r="H202" t="s">
        <v>21</v>
      </c>
      <c r="I202" t="s">
        <v>22</v>
      </c>
      <c r="J202">
        <v>7785</v>
      </c>
      <c r="K202" t="s">
        <v>23</v>
      </c>
    </row>
    <row r="203" spans="1:11" x14ac:dyDescent="0.35">
      <c r="A203" t="s">
        <v>14</v>
      </c>
      <c r="B203" t="s">
        <v>15</v>
      </c>
      <c r="C203" t="s">
        <v>1565</v>
      </c>
      <c r="D203" t="s">
        <v>17</v>
      </c>
      <c r="E203" t="s">
        <v>762</v>
      </c>
      <c r="F203" t="s">
        <v>19</v>
      </c>
      <c r="G203" t="s">
        <v>763</v>
      </c>
      <c r="H203" t="s">
        <v>21</v>
      </c>
      <c r="I203" t="s">
        <v>22</v>
      </c>
      <c r="J203">
        <v>5648</v>
      </c>
      <c r="K203" t="s">
        <v>23</v>
      </c>
    </row>
    <row r="204" spans="1:11" x14ac:dyDescent="0.35">
      <c r="A204" t="s">
        <v>14</v>
      </c>
      <c r="B204" t="s">
        <v>15</v>
      </c>
      <c r="C204" t="s">
        <v>1662</v>
      </c>
      <c r="D204" t="s">
        <v>17</v>
      </c>
      <c r="E204" t="s">
        <v>563</v>
      </c>
      <c r="F204" t="s">
        <v>19</v>
      </c>
      <c r="G204" t="s">
        <v>564</v>
      </c>
      <c r="H204" t="s">
        <v>21</v>
      </c>
      <c r="I204" t="s">
        <v>22</v>
      </c>
      <c r="J204">
        <v>7217</v>
      </c>
      <c r="K204" t="s">
        <v>23</v>
      </c>
    </row>
    <row r="205" spans="1:11" x14ac:dyDescent="0.35">
      <c r="A205" t="s">
        <v>14</v>
      </c>
      <c r="B205" t="s">
        <v>15</v>
      </c>
      <c r="C205" t="s">
        <v>1663</v>
      </c>
      <c r="D205" t="s">
        <v>17</v>
      </c>
      <c r="E205" t="s">
        <v>242</v>
      </c>
      <c r="F205" t="s">
        <v>19</v>
      </c>
      <c r="G205" t="s">
        <v>243</v>
      </c>
      <c r="H205" t="s">
        <v>21</v>
      </c>
      <c r="I205" t="s">
        <v>22</v>
      </c>
      <c r="J205">
        <v>5636</v>
      </c>
      <c r="K205" t="s">
        <v>23</v>
      </c>
    </row>
    <row r="206" spans="1:11" x14ac:dyDescent="0.35">
      <c r="A206" t="s">
        <v>14</v>
      </c>
      <c r="B206" t="s">
        <v>15</v>
      </c>
      <c r="C206" t="s">
        <v>1707</v>
      </c>
      <c r="D206" t="s">
        <v>17</v>
      </c>
      <c r="E206" t="s">
        <v>1708</v>
      </c>
      <c r="F206" t="s">
        <v>19</v>
      </c>
      <c r="G206" t="s">
        <v>1709</v>
      </c>
      <c r="H206" t="s">
        <v>21</v>
      </c>
      <c r="I206" t="s">
        <v>22</v>
      </c>
      <c r="J206">
        <v>7432</v>
      </c>
      <c r="K206" t="s">
        <v>23</v>
      </c>
    </row>
    <row r="207" spans="1:11" x14ac:dyDescent="0.35">
      <c r="A207" t="s">
        <v>14</v>
      </c>
      <c r="B207" t="s">
        <v>15</v>
      </c>
      <c r="C207" t="s">
        <v>1766</v>
      </c>
      <c r="D207" t="s">
        <v>17</v>
      </c>
      <c r="E207" t="s">
        <v>1708</v>
      </c>
      <c r="F207" t="s">
        <v>19</v>
      </c>
      <c r="G207" t="s">
        <v>1709</v>
      </c>
      <c r="H207" t="s">
        <v>21</v>
      </c>
      <c r="I207" t="s">
        <v>22</v>
      </c>
      <c r="J207">
        <v>7432</v>
      </c>
      <c r="K207" t="s">
        <v>23</v>
      </c>
    </row>
    <row r="208" spans="1:11" x14ac:dyDescent="0.35">
      <c r="A208" t="s">
        <v>14</v>
      </c>
      <c r="B208" t="s">
        <v>15</v>
      </c>
      <c r="C208" t="s">
        <v>1774</v>
      </c>
      <c r="D208" t="s">
        <v>17</v>
      </c>
      <c r="E208" t="s">
        <v>832</v>
      </c>
      <c r="F208" t="s">
        <v>19</v>
      </c>
      <c r="G208" t="s">
        <v>833</v>
      </c>
      <c r="H208" t="s">
        <v>21</v>
      </c>
      <c r="I208" t="s">
        <v>22</v>
      </c>
      <c r="J208">
        <v>5642</v>
      </c>
      <c r="K208" t="s">
        <v>23</v>
      </c>
    </row>
    <row r="209" spans="1:11" x14ac:dyDescent="0.35">
      <c r="A209" t="s">
        <v>14</v>
      </c>
      <c r="B209" t="s">
        <v>15</v>
      </c>
      <c r="C209" t="s">
        <v>1876</v>
      </c>
      <c r="D209" t="s">
        <v>17</v>
      </c>
      <c r="E209" t="s">
        <v>1020</v>
      </c>
      <c r="F209" t="s">
        <v>19</v>
      </c>
      <c r="G209" t="s">
        <v>1021</v>
      </c>
      <c r="H209" t="s">
        <v>21</v>
      </c>
      <c r="I209" t="s">
        <v>22</v>
      </c>
      <c r="J209">
        <v>7785</v>
      </c>
      <c r="K209" t="s">
        <v>23</v>
      </c>
    </row>
    <row r="210" spans="1:11" x14ac:dyDescent="0.35">
      <c r="A210" t="s">
        <v>14</v>
      </c>
      <c r="B210" t="s">
        <v>15</v>
      </c>
      <c r="C210" t="s">
        <v>1900</v>
      </c>
      <c r="D210" t="s">
        <v>17</v>
      </c>
      <c r="E210" t="s">
        <v>1024</v>
      </c>
      <c r="F210" t="s">
        <v>19</v>
      </c>
      <c r="G210" t="s">
        <v>1025</v>
      </c>
      <c r="H210" t="s">
        <v>21</v>
      </c>
      <c r="I210" t="s">
        <v>22</v>
      </c>
      <c r="J210">
        <v>5646</v>
      </c>
      <c r="K210" t="s">
        <v>23</v>
      </c>
    </row>
    <row r="211" spans="1:11" x14ac:dyDescent="0.35">
      <c r="A211" t="s">
        <v>317</v>
      </c>
      <c r="B211" t="s">
        <v>15</v>
      </c>
      <c r="C211" t="s">
        <v>582</v>
      </c>
      <c r="D211" t="s">
        <v>319</v>
      </c>
      <c r="E211" t="s">
        <v>18</v>
      </c>
      <c r="F211" t="s">
        <v>19</v>
      </c>
      <c r="G211" t="s">
        <v>20</v>
      </c>
      <c r="H211" t="s">
        <v>21</v>
      </c>
      <c r="I211" t="s">
        <v>22</v>
      </c>
      <c r="J211">
        <v>5638</v>
      </c>
      <c r="K211" t="s">
        <v>23</v>
      </c>
    </row>
    <row r="212" spans="1:11" x14ac:dyDescent="0.35">
      <c r="A212" t="s">
        <v>317</v>
      </c>
      <c r="B212" t="s">
        <v>15</v>
      </c>
      <c r="C212" t="s">
        <v>584</v>
      </c>
      <c r="D212" t="s">
        <v>319</v>
      </c>
      <c r="E212" t="s">
        <v>175</v>
      </c>
      <c r="F212" t="s">
        <v>19</v>
      </c>
      <c r="G212" t="s">
        <v>176</v>
      </c>
      <c r="H212" t="s">
        <v>21</v>
      </c>
      <c r="I212" t="s">
        <v>22</v>
      </c>
      <c r="J212">
        <v>5644</v>
      </c>
      <c r="K212" t="s">
        <v>23</v>
      </c>
    </row>
    <row r="213" spans="1:11" x14ac:dyDescent="0.35">
      <c r="A213" t="s">
        <v>317</v>
      </c>
      <c r="B213" t="s">
        <v>15</v>
      </c>
      <c r="C213" t="s">
        <v>925</v>
      </c>
      <c r="D213" t="s">
        <v>319</v>
      </c>
      <c r="E213" t="s">
        <v>734</v>
      </c>
      <c r="F213" t="s">
        <v>19</v>
      </c>
      <c r="G213" t="s">
        <v>735</v>
      </c>
      <c r="H213" t="s">
        <v>21</v>
      </c>
      <c r="I213" t="s">
        <v>22</v>
      </c>
      <c r="J213">
        <v>5637</v>
      </c>
      <c r="K213" t="s">
        <v>673</v>
      </c>
    </row>
    <row r="214" spans="1:11" x14ac:dyDescent="0.35">
      <c r="A214" t="s">
        <v>317</v>
      </c>
      <c r="B214" t="s">
        <v>15</v>
      </c>
      <c r="C214" t="s">
        <v>944</v>
      </c>
      <c r="D214" t="s">
        <v>319</v>
      </c>
      <c r="E214" t="s">
        <v>922</v>
      </c>
      <c r="F214" t="s">
        <v>19</v>
      </c>
      <c r="G214" t="s">
        <v>923</v>
      </c>
      <c r="H214" t="s">
        <v>21</v>
      </c>
      <c r="I214" t="s">
        <v>22</v>
      </c>
      <c r="J214">
        <v>7786</v>
      </c>
      <c r="K214" t="s">
        <v>673</v>
      </c>
    </row>
    <row r="215" spans="1:11" x14ac:dyDescent="0.35">
      <c r="A215" t="s">
        <v>317</v>
      </c>
      <c r="B215" t="s">
        <v>15</v>
      </c>
      <c r="C215" t="s">
        <v>972</v>
      </c>
      <c r="D215" t="s">
        <v>319</v>
      </c>
      <c r="E215" t="s">
        <v>26</v>
      </c>
      <c r="F215" t="s">
        <v>19</v>
      </c>
      <c r="G215" t="s">
        <v>27</v>
      </c>
      <c r="H215" t="s">
        <v>21</v>
      </c>
      <c r="I215" t="s">
        <v>22</v>
      </c>
      <c r="J215">
        <v>5647</v>
      </c>
      <c r="K215" t="s">
        <v>673</v>
      </c>
    </row>
    <row r="216" spans="1:11" x14ac:dyDescent="0.35">
      <c r="A216" t="s">
        <v>317</v>
      </c>
      <c r="B216" t="s">
        <v>15</v>
      </c>
      <c r="C216" t="s">
        <v>976</v>
      </c>
      <c r="D216" t="s">
        <v>319</v>
      </c>
      <c r="E216" t="s">
        <v>395</v>
      </c>
      <c r="F216" t="s">
        <v>19</v>
      </c>
      <c r="G216" t="s">
        <v>396</v>
      </c>
      <c r="H216" t="s">
        <v>21</v>
      </c>
      <c r="I216" t="s">
        <v>22</v>
      </c>
      <c r="J216">
        <v>5640</v>
      </c>
      <c r="K216" t="s">
        <v>673</v>
      </c>
    </row>
    <row r="217" spans="1:11" x14ac:dyDescent="0.35">
      <c r="A217" t="s">
        <v>317</v>
      </c>
      <c r="B217" t="s">
        <v>15</v>
      </c>
      <c r="C217" t="s">
        <v>1019</v>
      </c>
      <c r="D217" t="s">
        <v>319</v>
      </c>
      <c r="E217" t="s">
        <v>1020</v>
      </c>
      <c r="F217" t="s">
        <v>19</v>
      </c>
      <c r="G217" t="s">
        <v>1021</v>
      </c>
      <c r="H217" t="s">
        <v>21</v>
      </c>
      <c r="I217" t="s">
        <v>22</v>
      </c>
      <c r="J217">
        <v>7785</v>
      </c>
      <c r="K217" t="s">
        <v>673</v>
      </c>
    </row>
    <row r="218" spans="1:11" x14ac:dyDescent="0.35">
      <c r="A218" t="s">
        <v>317</v>
      </c>
      <c r="B218" t="s">
        <v>15</v>
      </c>
      <c r="C218" t="s">
        <v>1023</v>
      </c>
      <c r="D218" t="s">
        <v>319</v>
      </c>
      <c r="E218" t="s">
        <v>1024</v>
      </c>
      <c r="F218" t="s">
        <v>19</v>
      </c>
      <c r="G218" t="s">
        <v>1025</v>
      </c>
      <c r="H218" t="s">
        <v>21</v>
      </c>
      <c r="I218" t="s">
        <v>22</v>
      </c>
      <c r="J218">
        <v>5646</v>
      </c>
      <c r="K218" t="s">
        <v>673</v>
      </c>
    </row>
    <row r="219" spans="1:11" x14ac:dyDescent="0.35">
      <c r="A219" t="s">
        <v>317</v>
      </c>
      <c r="B219" t="s">
        <v>15</v>
      </c>
      <c r="C219" t="s">
        <v>1038</v>
      </c>
      <c r="D219" t="s">
        <v>319</v>
      </c>
      <c r="E219" t="s">
        <v>563</v>
      </c>
      <c r="F219" t="s">
        <v>19</v>
      </c>
      <c r="G219" t="s">
        <v>564</v>
      </c>
      <c r="H219" t="s">
        <v>21</v>
      </c>
      <c r="I219" t="s">
        <v>22</v>
      </c>
      <c r="J219">
        <v>7217</v>
      </c>
      <c r="K219" t="s">
        <v>673</v>
      </c>
    </row>
    <row r="220" spans="1:11" x14ac:dyDescent="0.35">
      <c r="A220" t="s">
        <v>317</v>
      </c>
      <c r="B220" t="s">
        <v>15</v>
      </c>
      <c r="C220" t="s">
        <v>1107</v>
      </c>
      <c r="D220" t="s">
        <v>319</v>
      </c>
      <c r="E220" t="s">
        <v>762</v>
      </c>
      <c r="F220" t="s">
        <v>19</v>
      </c>
      <c r="G220" t="s">
        <v>763</v>
      </c>
      <c r="H220" t="s">
        <v>21</v>
      </c>
      <c r="I220" t="s">
        <v>22</v>
      </c>
      <c r="J220">
        <v>5648</v>
      </c>
      <c r="K220" t="s">
        <v>673</v>
      </c>
    </row>
    <row r="221" spans="1:11" x14ac:dyDescent="0.35">
      <c r="A221" t="s">
        <v>317</v>
      </c>
      <c r="B221" t="s">
        <v>15</v>
      </c>
      <c r="C221" t="s">
        <v>1143</v>
      </c>
      <c r="D221" t="s">
        <v>319</v>
      </c>
      <c r="E221" t="s">
        <v>224</v>
      </c>
      <c r="F221" t="s">
        <v>19</v>
      </c>
      <c r="G221" t="s">
        <v>225</v>
      </c>
      <c r="H221" t="s">
        <v>21</v>
      </c>
      <c r="I221" t="s">
        <v>22</v>
      </c>
      <c r="J221">
        <v>5643</v>
      </c>
      <c r="K221" t="s">
        <v>673</v>
      </c>
    </row>
    <row r="222" spans="1:11" x14ac:dyDescent="0.35">
      <c r="A222" t="s">
        <v>317</v>
      </c>
      <c r="B222" t="s">
        <v>15</v>
      </c>
      <c r="C222" t="s">
        <v>1187</v>
      </c>
      <c r="D222" t="s">
        <v>319</v>
      </c>
      <c r="E222" t="s">
        <v>762</v>
      </c>
      <c r="F222" t="s">
        <v>19</v>
      </c>
      <c r="G222" t="s">
        <v>763</v>
      </c>
      <c r="H222" t="s">
        <v>21</v>
      </c>
      <c r="I222" t="s">
        <v>22</v>
      </c>
      <c r="J222">
        <v>5648</v>
      </c>
      <c r="K222" t="s">
        <v>673</v>
      </c>
    </row>
    <row r="223" spans="1:11" x14ac:dyDescent="0.35">
      <c r="A223" t="s">
        <v>317</v>
      </c>
      <c r="B223" t="s">
        <v>15</v>
      </c>
      <c r="C223" t="s">
        <v>1189</v>
      </c>
      <c r="D223" t="s">
        <v>319</v>
      </c>
      <c r="E223" t="s">
        <v>30</v>
      </c>
      <c r="F223" t="s">
        <v>19</v>
      </c>
      <c r="G223" t="s">
        <v>31</v>
      </c>
      <c r="H223" t="s">
        <v>21</v>
      </c>
      <c r="I223" t="s">
        <v>22</v>
      </c>
      <c r="J223">
        <v>5645</v>
      </c>
      <c r="K223" t="s">
        <v>673</v>
      </c>
    </row>
    <row r="224" spans="1:11" x14ac:dyDescent="0.35">
      <c r="A224" t="s">
        <v>317</v>
      </c>
      <c r="B224" t="s">
        <v>15</v>
      </c>
      <c r="C224" t="s">
        <v>1270</v>
      </c>
      <c r="D224" t="s">
        <v>319</v>
      </c>
      <c r="E224" t="s">
        <v>832</v>
      </c>
      <c r="F224" t="s">
        <v>19</v>
      </c>
      <c r="G224" t="s">
        <v>833</v>
      </c>
      <c r="H224" t="s">
        <v>21</v>
      </c>
      <c r="I224" t="s">
        <v>22</v>
      </c>
      <c r="J224">
        <v>5642</v>
      </c>
      <c r="K224" t="s">
        <v>673</v>
      </c>
    </row>
    <row r="225" spans="1:11" x14ac:dyDescent="0.35">
      <c r="A225" t="s">
        <v>317</v>
      </c>
      <c r="B225" t="s">
        <v>15</v>
      </c>
      <c r="C225" t="s">
        <v>1494</v>
      </c>
      <c r="D225" t="s">
        <v>319</v>
      </c>
      <c r="E225" t="s">
        <v>242</v>
      </c>
      <c r="F225" t="s">
        <v>19</v>
      </c>
      <c r="G225" t="s">
        <v>243</v>
      </c>
      <c r="H225" t="s">
        <v>21</v>
      </c>
      <c r="I225" t="s">
        <v>22</v>
      </c>
      <c r="J225">
        <v>5636</v>
      </c>
      <c r="K225" t="s">
        <v>673</v>
      </c>
    </row>
    <row r="226" spans="1:11" x14ac:dyDescent="0.35">
      <c r="A226" t="s">
        <v>317</v>
      </c>
      <c r="B226" t="s">
        <v>15</v>
      </c>
      <c r="C226" t="s">
        <v>1531</v>
      </c>
      <c r="D226" t="s">
        <v>319</v>
      </c>
      <c r="E226" t="s">
        <v>30</v>
      </c>
      <c r="F226" t="s">
        <v>19</v>
      </c>
      <c r="G226" t="s">
        <v>31</v>
      </c>
      <c r="H226" t="s">
        <v>21</v>
      </c>
      <c r="I226" t="s">
        <v>22</v>
      </c>
      <c r="J226">
        <v>5645</v>
      </c>
      <c r="K226" t="s">
        <v>673</v>
      </c>
    </row>
    <row r="227" spans="1:11" x14ac:dyDescent="0.35">
      <c r="A227" t="s">
        <v>317</v>
      </c>
      <c r="B227" t="s">
        <v>15</v>
      </c>
      <c r="C227" t="s">
        <v>1691</v>
      </c>
      <c r="D227" t="s">
        <v>319</v>
      </c>
      <c r="E227" t="s">
        <v>218</v>
      </c>
      <c r="F227" t="s">
        <v>19</v>
      </c>
      <c r="G227" t="s">
        <v>219</v>
      </c>
      <c r="H227" t="s">
        <v>21</v>
      </c>
      <c r="I227" t="s">
        <v>22</v>
      </c>
      <c r="J227">
        <v>5641</v>
      </c>
      <c r="K227" t="s">
        <v>673</v>
      </c>
    </row>
    <row r="228" spans="1:11" x14ac:dyDescent="0.35">
      <c r="A228" t="s">
        <v>317</v>
      </c>
      <c r="B228" t="s">
        <v>15</v>
      </c>
      <c r="C228" t="s">
        <v>1713</v>
      </c>
      <c r="D228" t="s">
        <v>319</v>
      </c>
      <c r="E228" t="s">
        <v>1708</v>
      </c>
      <c r="F228" t="s">
        <v>19</v>
      </c>
      <c r="G228" t="s">
        <v>1709</v>
      </c>
      <c r="H228" t="s">
        <v>21</v>
      </c>
      <c r="I228" t="s">
        <v>22</v>
      </c>
      <c r="J228">
        <v>7432</v>
      </c>
      <c r="K228" t="s">
        <v>673</v>
      </c>
    </row>
    <row r="229" spans="1:11" x14ac:dyDescent="0.35">
      <c r="A229" t="s">
        <v>317</v>
      </c>
      <c r="B229" t="s">
        <v>15</v>
      </c>
      <c r="C229" t="s">
        <v>1714</v>
      </c>
      <c r="D229" t="s">
        <v>319</v>
      </c>
      <c r="E229" t="s">
        <v>224</v>
      </c>
      <c r="F229" t="s">
        <v>19</v>
      </c>
      <c r="G229" t="s">
        <v>225</v>
      </c>
      <c r="H229" t="s">
        <v>21</v>
      </c>
      <c r="I229" t="s">
        <v>22</v>
      </c>
      <c r="J229">
        <v>5643</v>
      </c>
      <c r="K229" t="s">
        <v>673</v>
      </c>
    </row>
    <row r="230" spans="1:11" x14ac:dyDescent="0.35">
      <c r="A230" t="s">
        <v>317</v>
      </c>
      <c r="B230" t="s">
        <v>15</v>
      </c>
      <c r="C230" t="s">
        <v>1801</v>
      </c>
      <c r="D230" t="s">
        <v>319</v>
      </c>
      <c r="E230" t="s">
        <v>175</v>
      </c>
      <c r="F230" t="s">
        <v>19</v>
      </c>
      <c r="G230" t="s">
        <v>176</v>
      </c>
      <c r="H230" t="s">
        <v>21</v>
      </c>
      <c r="I230" t="s">
        <v>22</v>
      </c>
      <c r="J230">
        <v>5644</v>
      </c>
      <c r="K230" t="s">
        <v>673</v>
      </c>
    </row>
    <row r="231" spans="1:11" x14ac:dyDescent="0.35">
      <c r="A231" t="s">
        <v>317</v>
      </c>
      <c r="B231" t="s">
        <v>15</v>
      </c>
      <c r="C231" t="s">
        <v>1802</v>
      </c>
      <c r="D231" t="s">
        <v>319</v>
      </c>
      <c r="E231" t="s">
        <v>18</v>
      </c>
      <c r="F231" t="s">
        <v>19</v>
      </c>
      <c r="G231" t="s">
        <v>20</v>
      </c>
      <c r="H231" t="s">
        <v>21</v>
      </c>
      <c r="I231" t="s">
        <v>22</v>
      </c>
      <c r="J231">
        <v>5638</v>
      </c>
      <c r="K231" t="s">
        <v>673</v>
      </c>
    </row>
    <row r="232" spans="1:11" x14ac:dyDescent="0.35">
      <c r="A232" t="s">
        <v>317</v>
      </c>
      <c r="B232" t="s">
        <v>15</v>
      </c>
      <c r="C232" t="s">
        <v>1821</v>
      </c>
      <c r="D232" t="s">
        <v>319</v>
      </c>
      <c r="E232" t="s">
        <v>832</v>
      </c>
      <c r="F232" t="s">
        <v>19</v>
      </c>
      <c r="G232" t="s">
        <v>833</v>
      </c>
      <c r="H232" t="s">
        <v>21</v>
      </c>
      <c r="I232" t="s">
        <v>22</v>
      </c>
      <c r="J232">
        <v>5642</v>
      </c>
      <c r="K232" t="s">
        <v>673</v>
      </c>
    </row>
    <row r="233" spans="1:11" x14ac:dyDescent="0.35">
      <c r="A233" t="s">
        <v>317</v>
      </c>
      <c r="B233" t="s">
        <v>15</v>
      </c>
      <c r="C233" t="s">
        <v>1875</v>
      </c>
      <c r="D233" t="s">
        <v>319</v>
      </c>
      <c r="E233" t="s">
        <v>734</v>
      </c>
      <c r="F233" t="s">
        <v>19</v>
      </c>
      <c r="G233" t="s">
        <v>735</v>
      </c>
      <c r="H233" t="s">
        <v>21</v>
      </c>
      <c r="I233" t="s">
        <v>22</v>
      </c>
      <c r="J233">
        <v>5637</v>
      </c>
      <c r="K233" t="s">
        <v>673</v>
      </c>
    </row>
    <row r="234" spans="1:11" x14ac:dyDescent="0.35">
      <c r="A234" t="s">
        <v>317</v>
      </c>
      <c r="B234" t="s">
        <v>15</v>
      </c>
      <c r="C234" t="s">
        <v>1877</v>
      </c>
      <c r="D234" t="s">
        <v>319</v>
      </c>
      <c r="E234" t="s">
        <v>395</v>
      </c>
      <c r="F234" t="s">
        <v>19</v>
      </c>
      <c r="G234" t="s">
        <v>396</v>
      </c>
      <c r="H234" t="s">
        <v>21</v>
      </c>
      <c r="I234" t="s">
        <v>22</v>
      </c>
      <c r="J234">
        <v>5640</v>
      </c>
      <c r="K234" t="s">
        <v>673</v>
      </c>
    </row>
    <row r="235" spans="1:11" x14ac:dyDescent="0.35">
      <c r="A235" t="s">
        <v>317</v>
      </c>
      <c r="B235" t="s">
        <v>15</v>
      </c>
      <c r="C235" t="s">
        <v>1901</v>
      </c>
      <c r="D235" t="s">
        <v>319</v>
      </c>
      <c r="E235" t="s">
        <v>26</v>
      </c>
      <c r="F235" t="s">
        <v>19</v>
      </c>
      <c r="G235" t="s">
        <v>27</v>
      </c>
      <c r="H235" t="s">
        <v>21</v>
      </c>
      <c r="I235" t="s">
        <v>22</v>
      </c>
      <c r="J235">
        <v>5647</v>
      </c>
      <c r="K235" t="s">
        <v>673</v>
      </c>
    </row>
    <row r="236" spans="1:11" x14ac:dyDescent="0.35">
      <c r="A236" t="s">
        <v>14</v>
      </c>
      <c r="B236" t="s">
        <v>32</v>
      </c>
      <c r="C236" t="s">
        <v>1049</v>
      </c>
      <c r="D236" t="s">
        <v>17</v>
      </c>
      <c r="E236" t="s">
        <v>578</v>
      </c>
      <c r="F236" t="s">
        <v>19</v>
      </c>
      <c r="G236" t="s">
        <v>35</v>
      </c>
      <c r="H236" t="s">
        <v>21</v>
      </c>
      <c r="I236" t="s">
        <v>148</v>
      </c>
      <c r="J236">
        <v>179</v>
      </c>
      <c r="K236" t="s">
        <v>23</v>
      </c>
    </row>
    <row r="237" spans="1:11" x14ac:dyDescent="0.35">
      <c r="A237" t="s">
        <v>14</v>
      </c>
      <c r="B237" t="s">
        <v>32</v>
      </c>
      <c r="C237" t="s">
        <v>1236</v>
      </c>
      <c r="D237" t="s">
        <v>17</v>
      </c>
      <c r="E237" t="s">
        <v>1136</v>
      </c>
      <c r="F237" t="s">
        <v>19</v>
      </c>
      <c r="G237" t="s">
        <v>1137</v>
      </c>
      <c r="H237" t="s">
        <v>21</v>
      </c>
      <c r="I237" t="s">
        <v>148</v>
      </c>
      <c r="J237">
        <v>179</v>
      </c>
      <c r="K237" t="s">
        <v>23</v>
      </c>
    </row>
    <row r="238" spans="1:11" x14ac:dyDescent="0.35">
      <c r="A238" t="s">
        <v>14</v>
      </c>
      <c r="B238" t="s">
        <v>32</v>
      </c>
      <c r="C238" t="s">
        <v>1469</v>
      </c>
      <c r="D238" t="s">
        <v>17</v>
      </c>
      <c r="E238" t="s">
        <v>578</v>
      </c>
      <c r="F238" t="s">
        <v>19</v>
      </c>
      <c r="G238" t="s">
        <v>35</v>
      </c>
      <c r="H238" t="s">
        <v>21</v>
      </c>
      <c r="I238" t="s">
        <v>148</v>
      </c>
      <c r="J238">
        <v>179</v>
      </c>
      <c r="K238" t="s">
        <v>23</v>
      </c>
    </row>
    <row r="239" spans="1:11" x14ac:dyDescent="0.35">
      <c r="A239" t="s">
        <v>317</v>
      </c>
      <c r="B239" t="s">
        <v>32</v>
      </c>
      <c r="C239" t="s">
        <v>1135</v>
      </c>
      <c r="D239" t="s">
        <v>319</v>
      </c>
      <c r="E239" t="s">
        <v>1136</v>
      </c>
      <c r="F239" t="s">
        <v>19</v>
      </c>
      <c r="G239" t="s">
        <v>1137</v>
      </c>
      <c r="H239" t="s">
        <v>21</v>
      </c>
      <c r="I239" t="s">
        <v>148</v>
      </c>
      <c r="J239">
        <v>179</v>
      </c>
      <c r="K239" t="s">
        <v>673</v>
      </c>
    </row>
    <row r="240" spans="1:11" x14ac:dyDescent="0.35">
      <c r="A240" t="s">
        <v>317</v>
      </c>
      <c r="B240" t="s">
        <v>32</v>
      </c>
      <c r="C240" t="s">
        <v>1237</v>
      </c>
      <c r="D240" t="s">
        <v>319</v>
      </c>
      <c r="E240" t="s">
        <v>578</v>
      </c>
      <c r="F240" t="s">
        <v>19</v>
      </c>
      <c r="G240" t="s">
        <v>35</v>
      </c>
      <c r="H240" t="s">
        <v>21</v>
      </c>
      <c r="I240" t="s">
        <v>148</v>
      </c>
      <c r="J240">
        <v>179</v>
      </c>
      <c r="K240" t="s">
        <v>673</v>
      </c>
    </row>
    <row r="241" spans="1:11" x14ac:dyDescent="0.35">
      <c r="A241" t="s">
        <v>317</v>
      </c>
      <c r="B241" t="s">
        <v>32</v>
      </c>
      <c r="C241" t="s">
        <v>1728</v>
      </c>
      <c r="D241" t="s">
        <v>319</v>
      </c>
      <c r="E241" t="s">
        <v>578</v>
      </c>
      <c r="F241" t="s">
        <v>19</v>
      </c>
      <c r="G241" t="s">
        <v>35</v>
      </c>
      <c r="H241" t="s">
        <v>21</v>
      </c>
      <c r="I241" t="s">
        <v>148</v>
      </c>
      <c r="J241">
        <v>179</v>
      </c>
      <c r="K241" t="s">
        <v>673</v>
      </c>
    </row>
    <row r="242" spans="1:11" x14ac:dyDescent="0.35">
      <c r="A242" t="s">
        <v>317</v>
      </c>
      <c r="B242" t="s">
        <v>32</v>
      </c>
      <c r="C242" t="s">
        <v>1895</v>
      </c>
      <c r="D242" t="s">
        <v>319</v>
      </c>
      <c r="E242" t="s">
        <v>578</v>
      </c>
      <c r="F242" t="s">
        <v>19</v>
      </c>
      <c r="G242" t="s">
        <v>35</v>
      </c>
      <c r="H242" t="s">
        <v>21</v>
      </c>
      <c r="I242" t="s">
        <v>148</v>
      </c>
      <c r="J242">
        <v>179</v>
      </c>
      <c r="K242" t="s">
        <v>673</v>
      </c>
    </row>
    <row r="243" spans="1:11" x14ac:dyDescent="0.35">
      <c r="A243" t="s">
        <v>74</v>
      </c>
      <c r="B243" t="s">
        <v>32</v>
      </c>
      <c r="C243" t="s">
        <v>577</v>
      </c>
      <c r="D243" t="s">
        <v>76</v>
      </c>
      <c r="E243" t="s">
        <v>578</v>
      </c>
      <c r="F243" t="s">
        <v>19</v>
      </c>
      <c r="G243" t="s">
        <v>35</v>
      </c>
      <c r="H243" t="s">
        <v>21</v>
      </c>
      <c r="I243" t="s">
        <v>148</v>
      </c>
      <c r="J243">
        <v>179</v>
      </c>
      <c r="K243" t="s">
        <v>23</v>
      </c>
    </row>
    <row r="244" spans="1:11" x14ac:dyDescent="0.35">
      <c r="A244" t="s">
        <v>14</v>
      </c>
      <c r="B244" t="s">
        <v>53</v>
      </c>
      <c r="C244" t="s">
        <v>722</v>
      </c>
      <c r="D244" t="s">
        <v>17</v>
      </c>
      <c r="E244" t="s">
        <v>723</v>
      </c>
      <c r="F244" t="s">
        <v>19</v>
      </c>
      <c r="G244" t="s">
        <v>56</v>
      </c>
      <c r="H244" t="s">
        <v>21</v>
      </c>
      <c r="I244" t="s">
        <v>148</v>
      </c>
      <c r="J244">
        <v>2207</v>
      </c>
      <c r="K244" t="s">
        <v>23</v>
      </c>
    </row>
    <row r="245" spans="1:11" x14ac:dyDescent="0.35">
      <c r="A245" t="s">
        <v>14</v>
      </c>
      <c r="B245" t="s">
        <v>53</v>
      </c>
      <c r="C245" t="s">
        <v>1733</v>
      </c>
      <c r="D245" t="s">
        <v>17</v>
      </c>
      <c r="E245" t="s">
        <v>723</v>
      </c>
      <c r="F245" t="s">
        <v>19</v>
      </c>
      <c r="G245" t="s">
        <v>56</v>
      </c>
      <c r="H245" t="s">
        <v>21</v>
      </c>
      <c r="I245" t="s">
        <v>148</v>
      </c>
      <c r="J245">
        <v>2207</v>
      </c>
      <c r="K245" t="s">
        <v>23</v>
      </c>
    </row>
    <row r="246" spans="1:11" x14ac:dyDescent="0.35">
      <c r="A246" t="s">
        <v>317</v>
      </c>
      <c r="B246" t="s">
        <v>53</v>
      </c>
      <c r="C246" t="s">
        <v>1176</v>
      </c>
      <c r="D246" t="s">
        <v>319</v>
      </c>
      <c r="E246" t="s">
        <v>723</v>
      </c>
      <c r="F246" t="s">
        <v>19</v>
      </c>
      <c r="G246" t="s">
        <v>56</v>
      </c>
      <c r="H246" t="s">
        <v>21</v>
      </c>
      <c r="I246" t="s">
        <v>148</v>
      </c>
      <c r="J246">
        <v>2207</v>
      </c>
      <c r="K246" t="s">
        <v>673</v>
      </c>
    </row>
    <row r="247" spans="1:11" x14ac:dyDescent="0.35">
      <c r="A247" t="s">
        <v>317</v>
      </c>
      <c r="B247" t="s">
        <v>53</v>
      </c>
      <c r="C247" t="s">
        <v>1886</v>
      </c>
      <c r="D247" t="s">
        <v>319</v>
      </c>
      <c r="E247" t="s">
        <v>723</v>
      </c>
      <c r="F247" t="s">
        <v>19</v>
      </c>
      <c r="G247" t="s">
        <v>56</v>
      </c>
      <c r="H247" t="s">
        <v>21</v>
      </c>
      <c r="I247" t="s">
        <v>148</v>
      </c>
      <c r="J247">
        <v>2207</v>
      </c>
      <c r="K247" t="s">
        <v>673</v>
      </c>
    </row>
    <row r="248" spans="1:11" x14ac:dyDescent="0.35">
      <c r="A248" t="s">
        <v>14</v>
      </c>
      <c r="B248" t="s">
        <v>15</v>
      </c>
      <c r="C248" t="s">
        <v>145</v>
      </c>
      <c r="D248" t="s">
        <v>17</v>
      </c>
      <c r="E248" t="s">
        <v>146</v>
      </c>
      <c r="F248" t="s">
        <v>19</v>
      </c>
      <c r="G248" t="s">
        <v>147</v>
      </c>
      <c r="H248" t="s">
        <v>21</v>
      </c>
      <c r="I248" t="s">
        <v>148</v>
      </c>
      <c r="J248">
        <v>5670</v>
      </c>
      <c r="K248" t="s">
        <v>23</v>
      </c>
    </row>
    <row r="249" spans="1:11" x14ac:dyDescent="0.35">
      <c r="A249" t="s">
        <v>14</v>
      </c>
      <c r="B249" t="s">
        <v>15</v>
      </c>
      <c r="C249" t="s">
        <v>164</v>
      </c>
      <c r="D249" t="s">
        <v>17</v>
      </c>
      <c r="E249" t="s">
        <v>165</v>
      </c>
      <c r="F249" t="s">
        <v>19</v>
      </c>
      <c r="G249" t="s">
        <v>166</v>
      </c>
      <c r="H249" t="s">
        <v>21</v>
      </c>
      <c r="I249" t="s">
        <v>148</v>
      </c>
      <c r="J249">
        <v>5666</v>
      </c>
      <c r="K249" t="s">
        <v>23</v>
      </c>
    </row>
    <row r="250" spans="1:11" x14ac:dyDescent="0.35">
      <c r="A250" t="s">
        <v>14</v>
      </c>
      <c r="B250" t="s">
        <v>15</v>
      </c>
      <c r="C250" t="s">
        <v>471</v>
      </c>
      <c r="D250" t="s">
        <v>17</v>
      </c>
      <c r="E250" t="s">
        <v>165</v>
      </c>
      <c r="F250" t="s">
        <v>19</v>
      </c>
      <c r="G250" t="s">
        <v>166</v>
      </c>
      <c r="H250" t="s">
        <v>21</v>
      </c>
      <c r="I250" t="s">
        <v>148</v>
      </c>
      <c r="J250">
        <v>5666</v>
      </c>
      <c r="K250" t="s">
        <v>23</v>
      </c>
    </row>
    <row r="251" spans="1:11" x14ac:dyDescent="0.35">
      <c r="A251" t="s">
        <v>14</v>
      </c>
      <c r="B251" t="s">
        <v>15</v>
      </c>
      <c r="C251" t="s">
        <v>637</v>
      </c>
      <c r="D251" t="s">
        <v>17</v>
      </c>
      <c r="E251" t="s">
        <v>638</v>
      </c>
      <c r="F251" t="s">
        <v>19</v>
      </c>
      <c r="G251" t="s">
        <v>639</v>
      </c>
      <c r="H251" t="s">
        <v>21</v>
      </c>
      <c r="I251" t="s">
        <v>148</v>
      </c>
      <c r="J251">
        <v>5667</v>
      </c>
      <c r="K251" t="s">
        <v>23</v>
      </c>
    </row>
    <row r="252" spans="1:11" x14ac:dyDescent="0.35">
      <c r="A252" t="s">
        <v>14</v>
      </c>
      <c r="B252" t="s">
        <v>15</v>
      </c>
      <c r="C252" t="s">
        <v>725</v>
      </c>
      <c r="D252" t="s">
        <v>17</v>
      </c>
      <c r="E252" t="s">
        <v>726</v>
      </c>
      <c r="F252" t="s">
        <v>19</v>
      </c>
      <c r="G252" t="s">
        <v>727</v>
      </c>
      <c r="H252" t="s">
        <v>21</v>
      </c>
      <c r="I252" t="s">
        <v>148</v>
      </c>
      <c r="J252">
        <v>7850</v>
      </c>
      <c r="K252" t="s">
        <v>23</v>
      </c>
    </row>
    <row r="253" spans="1:11" x14ac:dyDescent="0.35">
      <c r="A253" t="s">
        <v>14</v>
      </c>
      <c r="B253" t="s">
        <v>15</v>
      </c>
      <c r="C253" t="s">
        <v>804</v>
      </c>
      <c r="D253" t="s">
        <v>17</v>
      </c>
      <c r="E253" t="s">
        <v>805</v>
      </c>
      <c r="F253" t="s">
        <v>19</v>
      </c>
      <c r="G253" t="s">
        <v>806</v>
      </c>
      <c r="H253" t="s">
        <v>21</v>
      </c>
      <c r="I253" t="s">
        <v>148</v>
      </c>
      <c r="J253">
        <v>7104</v>
      </c>
      <c r="K253" t="s">
        <v>23</v>
      </c>
    </row>
    <row r="254" spans="1:11" x14ac:dyDescent="0.35">
      <c r="A254" t="s">
        <v>14</v>
      </c>
      <c r="B254" t="s">
        <v>15</v>
      </c>
      <c r="C254" t="s">
        <v>1053</v>
      </c>
      <c r="D254" t="s">
        <v>17</v>
      </c>
      <c r="E254" t="s">
        <v>1054</v>
      </c>
      <c r="F254" t="s">
        <v>19</v>
      </c>
      <c r="G254" t="s">
        <v>1055</v>
      </c>
      <c r="H254" t="s">
        <v>21</v>
      </c>
      <c r="I254" t="s">
        <v>148</v>
      </c>
      <c r="J254">
        <v>7288</v>
      </c>
      <c r="K254" t="s">
        <v>23</v>
      </c>
    </row>
    <row r="255" spans="1:11" x14ac:dyDescent="0.35">
      <c r="A255" t="s">
        <v>14</v>
      </c>
      <c r="B255" t="s">
        <v>15</v>
      </c>
      <c r="C255" t="s">
        <v>1154</v>
      </c>
      <c r="D255" t="s">
        <v>17</v>
      </c>
      <c r="E255" t="s">
        <v>1155</v>
      </c>
      <c r="F255" t="s">
        <v>19</v>
      </c>
      <c r="G255" t="s">
        <v>1156</v>
      </c>
      <c r="H255" t="s">
        <v>21</v>
      </c>
      <c r="I255" t="s">
        <v>148</v>
      </c>
      <c r="J255">
        <v>5671</v>
      </c>
      <c r="K255" t="s">
        <v>23</v>
      </c>
    </row>
    <row r="256" spans="1:11" x14ac:dyDescent="0.35">
      <c r="A256" t="s">
        <v>14</v>
      </c>
      <c r="B256" t="s">
        <v>15</v>
      </c>
      <c r="C256" t="s">
        <v>1158</v>
      </c>
      <c r="D256" t="s">
        <v>17</v>
      </c>
      <c r="E256" t="s">
        <v>638</v>
      </c>
      <c r="F256" t="s">
        <v>19</v>
      </c>
      <c r="G256" t="s">
        <v>639</v>
      </c>
      <c r="H256" t="s">
        <v>21</v>
      </c>
      <c r="I256" t="s">
        <v>148</v>
      </c>
      <c r="J256">
        <v>5667</v>
      </c>
      <c r="K256" t="s">
        <v>23</v>
      </c>
    </row>
    <row r="257" spans="1:11" x14ac:dyDescent="0.35">
      <c r="A257" t="s">
        <v>14</v>
      </c>
      <c r="B257" t="s">
        <v>15</v>
      </c>
      <c r="C257" t="s">
        <v>1164</v>
      </c>
      <c r="D257" t="s">
        <v>17</v>
      </c>
      <c r="E257" t="s">
        <v>1165</v>
      </c>
      <c r="F257" t="s">
        <v>19</v>
      </c>
      <c r="G257" t="s">
        <v>1166</v>
      </c>
      <c r="H257" t="s">
        <v>21</v>
      </c>
      <c r="I257" t="s">
        <v>148</v>
      </c>
      <c r="J257">
        <v>7289</v>
      </c>
      <c r="K257" t="s">
        <v>23</v>
      </c>
    </row>
    <row r="258" spans="1:11" x14ac:dyDescent="0.35">
      <c r="A258" t="s">
        <v>14</v>
      </c>
      <c r="B258" t="s">
        <v>15</v>
      </c>
      <c r="C258" t="s">
        <v>1178</v>
      </c>
      <c r="D258" t="s">
        <v>17</v>
      </c>
      <c r="E258" t="s">
        <v>1179</v>
      </c>
      <c r="F258" t="s">
        <v>19</v>
      </c>
      <c r="G258" t="s">
        <v>1180</v>
      </c>
      <c r="H258" t="s">
        <v>21</v>
      </c>
      <c r="I258" t="s">
        <v>148</v>
      </c>
      <c r="J258">
        <v>5668</v>
      </c>
      <c r="K258" t="s">
        <v>23</v>
      </c>
    </row>
    <row r="259" spans="1:11" x14ac:dyDescent="0.35">
      <c r="A259" t="s">
        <v>14</v>
      </c>
      <c r="B259" t="s">
        <v>15</v>
      </c>
      <c r="C259" t="s">
        <v>1185</v>
      </c>
      <c r="D259" t="s">
        <v>17</v>
      </c>
      <c r="E259" t="s">
        <v>146</v>
      </c>
      <c r="F259" t="s">
        <v>19</v>
      </c>
      <c r="G259" t="s">
        <v>147</v>
      </c>
      <c r="H259" t="s">
        <v>21</v>
      </c>
      <c r="I259" t="s">
        <v>148</v>
      </c>
      <c r="J259">
        <v>5670</v>
      </c>
      <c r="K259" t="s">
        <v>23</v>
      </c>
    </row>
    <row r="260" spans="1:11" x14ac:dyDescent="0.35">
      <c r="A260" t="s">
        <v>14</v>
      </c>
      <c r="B260" t="s">
        <v>15</v>
      </c>
      <c r="C260" t="s">
        <v>1283</v>
      </c>
      <c r="D260" t="s">
        <v>17</v>
      </c>
      <c r="E260" t="s">
        <v>1278</v>
      </c>
      <c r="F260" t="s">
        <v>19</v>
      </c>
      <c r="G260" t="s">
        <v>1279</v>
      </c>
      <c r="H260" t="s">
        <v>21</v>
      </c>
      <c r="I260" t="s">
        <v>148</v>
      </c>
      <c r="J260">
        <v>8144</v>
      </c>
      <c r="K260" t="s">
        <v>23</v>
      </c>
    </row>
    <row r="261" spans="1:11" x14ac:dyDescent="0.35">
      <c r="A261" t="s">
        <v>14</v>
      </c>
      <c r="B261" t="s">
        <v>15</v>
      </c>
      <c r="C261" t="s">
        <v>1646</v>
      </c>
      <c r="D261" t="s">
        <v>17</v>
      </c>
      <c r="E261" t="s">
        <v>1647</v>
      </c>
      <c r="F261" t="s">
        <v>19</v>
      </c>
      <c r="G261" t="s">
        <v>1648</v>
      </c>
      <c r="H261" t="s">
        <v>21</v>
      </c>
      <c r="I261" t="s">
        <v>148</v>
      </c>
      <c r="J261">
        <v>7080</v>
      </c>
      <c r="K261" t="s">
        <v>23</v>
      </c>
    </row>
    <row r="262" spans="1:11" x14ac:dyDescent="0.35">
      <c r="A262" t="s">
        <v>14</v>
      </c>
      <c r="B262" t="s">
        <v>15</v>
      </c>
      <c r="C262" t="s">
        <v>1649</v>
      </c>
      <c r="D262" t="s">
        <v>17</v>
      </c>
      <c r="E262" t="s">
        <v>1472</v>
      </c>
      <c r="F262" t="s">
        <v>19</v>
      </c>
      <c r="G262" t="s">
        <v>1473</v>
      </c>
      <c r="H262" t="s">
        <v>21</v>
      </c>
      <c r="I262" t="s">
        <v>148</v>
      </c>
      <c r="J262">
        <v>7739</v>
      </c>
      <c r="K262" t="s">
        <v>23</v>
      </c>
    </row>
    <row r="263" spans="1:11" x14ac:dyDescent="0.35">
      <c r="A263" t="s">
        <v>14</v>
      </c>
      <c r="B263" t="s">
        <v>15</v>
      </c>
      <c r="C263" t="s">
        <v>1677</v>
      </c>
      <c r="D263" t="s">
        <v>17</v>
      </c>
      <c r="E263" t="s">
        <v>1678</v>
      </c>
      <c r="F263" t="s">
        <v>19</v>
      </c>
      <c r="G263" t="s">
        <v>1679</v>
      </c>
      <c r="H263" t="s">
        <v>21</v>
      </c>
      <c r="I263" t="s">
        <v>148</v>
      </c>
      <c r="J263">
        <v>5669</v>
      </c>
      <c r="K263" t="s">
        <v>23</v>
      </c>
    </row>
    <row r="264" spans="1:11" x14ac:dyDescent="0.35">
      <c r="A264" t="s">
        <v>14</v>
      </c>
      <c r="B264" t="s">
        <v>15</v>
      </c>
      <c r="C264" t="s">
        <v>1732</v>
      </c>
      <c r="D264" t="s">
        <v>17</v>
      </c>
      <c r="E264" t="s">
        <v>1730</v>
      </c>
      <c r="F264" t="s">
        <v>19</v>
      </c>
      <c r="G264" t="s">
        <v>1731</v>
      </c>
      <c r="H264" t="s">
        <v>21</v>
      </c>
      <c r="I264" t="s">
        <v>148</v>
      </c>
      <c r="J264">
        <v>7738</v>
      </c>
      <c r="K264" t="s">
        <v>23</v>
      </c>
    </row>
    <row r="265" spans="1:11" x14ac:dyDescent="0.35">
      <c r="A265" t="s">
        <v>14</v>
      </c>
      <c r="B265" t="s">
        <v>15</v>
      </c>
      <c r="C265" t="s">
        <v>1851</v>
      </c>
      <c r="D265" t="s">
        <v>17</v>
      </c>
      <c r="E265" t="s">
        <v>1472</v>
      </c>
      <c r="F265" t="s">
        <v>19</v>
      </c>
      <c r="G265" t="s">
        <v>1473</v>
      </c>
      <c r="H265" t="s">
        <v>21</v>
      </c>
      <c r="I265" t="s">
        <v>148</v>
      </c>
      <c r="J265">
        <v>7739</v>
      </c>
      <c r="K265" t="s">
        <v>23</v>
      </c>
    </row>
    <row r="266" spans="1:11" x14ac:dyDescent="0.35">
      <c r="A266" t="s">
        <v>14</v>
      </c>
      <c r="B266" t="s">
        <v>15</v>
      </c>
      <c r="C266" t="s">
        <v>1853</v>
      </c>
      <c r="D266" t="s">
        <v>17</v>
      </c>
      <c r="E266" t="s">
        <v>1179</v>
      </c>
      <c r="F266" t="s">
        <v>19</v>
      </c>
      <c r="G266" t="s">
        <v>1180</v>
      </c>
      <c r="H266" t="s">
        <v>21</v>
      </c>
      <c r="I266" t="s">
        <v>148</v>
      </c>
      <c r="J266">
        <v>5668</v>
      </c>
      <c r="K266" t="s">
        <v>23</v>
      </c>
    </row>
    <row r="267" spans="1:11" x14ac:dyDescent="0.35">
      <c r="A267" t="s">
        <v>317</v>
      </c>
      <c r="B267" t="s">
        <v>15</v>
      </c>
      <c r="C267" t="s">
        <v>1174</v>
      </c>
      <c r="D267" t="s">
        <v>319</v>
      </c>
      <c r="E267" t="s">
        <v>1155</v>
      </c>
      <c r="F267" t="s">
        <v>19</v>
      </c>
      <c r="G267" t="s">
        <v>1156</v>
      </c>
      <c r="H267" t="s">
        <v>21</v>
      </c>
      <c r="I267" t="s">
        <v>148</v>
      </c>
      <c r="J267">
        <v>5671</v>
      </c>
      <c r="K267" t="s">
        <v>673</v>
      </c>
    </row>
    <row r="268" spans="1:11" x14ac:dyDescent="0.35">
      <c r="A268" t="s">
        <v>317</v>
      </c>
      <c r="B268" t="s">
        <v>15</v>
      </c>
      <c r="C268" t="s">
        <v>1272</v>
      </c>
      <c r="D268" t="s">
        <v>319</v>
      </c>
      <c r="E268" t="s">
        <v>1054</v>
      </c>
      <c r="F268" t="s">
        <v>19</v>
      </c>
      <c r="G268" t="s">
        <v>1055</v>
      </c>
      <c r="H268" t="s">
        <v>21</v>
      </c>
      <c r="I268" t="s">
        <v>148</v>
      </c>
      <c r="J268">
        <v>7288</v>
      </c>
      <c r="K268" t="s">
        <v>673</v>
      </c>
    </row>
    <row r="269" spans="1:11" x14ac:dyDescent="0.35">
      <c r="A269" t="s">
        <v>317</v>
      </c>
      <c r="B269" t="s">
        <v>15</v>
      </c>
      <c r="C269" t="s">
        <v>1277</v>
      </c>
      <c r="D269" t="s">
        <v>319</v>
      </c>
      <c r="E269" t="s">
        <v>1278</v>
      </c>
      <c r="F269" t="s">
        <v>19</v>
      </c>
      <c r="G269" t="s">
        <v>1279</v>
      </c>
      <c r="H269" t="s">
        <v>21</v>
      </c>
      <c r="I269" t="s">
        <v>148</v>
      </c>
      <c r="J269">
        <v>8144</v>
      </c>
      <c r="K269" t="s">
        <v>673</v>
      </c>
    </row>
    <row r="270" spans="1:11" x14ac:dyDescent="0.35">
      <c r="A270" t="s">
        <v>317</v>
      </c>
      <c r="B270" t="s">
        <v>15</v>
      </c>
      <c r="C270" t="s">
        <v>1471</v>
      </c>
      <c r="D270" t="s">
        <v>319</v>
      </c>
      <c r="E270" t="s">
        <v>1472</v>
      </c>
      <c r="F270" t="s">
        <v>19</v>
      </c>
      <c r="G270" t="s">
        <v>1473</v>
      </c>
      <c r="H270" t="s">
        <v>21</v>
      </c>
      <c r="I270" t="s">
        <v>148</v>
      </c>
      <c r="J270">
        <v>7739</v>
      </c>
      <c r="K270" t="s">
        <v>673</v>
      </c>
    </row>
    <row r="271" spans="1:11" x14ac:dyDescent="0.35">
      <c r="A271" t="s">
        <v>317</v>
      </c>
      <c r="B271" t="s">
        <v>15</v>
      </c>
      <c r="C271" t="s">
        <v>1618</v>
      </c>
      <c r="D271" t="s">
        <v>319</v>
      </c>
      <c r="E271" t="s">
        <v>1165</v>
      </c>
      <c r="F271" t="s">
        <v>19</v>
      </c>
      <c r="G271" t="s">
        <v>1166</v>
      </c>
      <c r="H271" t="s">
        <v>21</v>
      </c>
      <c r="I271" t="s">
        <v>148</v>
      </c>
      <c r="J271">
        <v>7289</v>
      </c>
      <c r="K271" t="s">
        <v>673</v>
      </c>
    </row>
    <row r="272" spans="1:11" x14ac:dyDescent="0.35">
      <c r="A272" t="s">
        <v>317</v>
      </c>
      <c r="B272" t="s">
        <v>15</v>
      </c>
      <c r="C272" t="s">
        <v>1640</v>
      </c>
      <c r="D272" t="s">
        <v>319</v>
      </c>
      <c r="E272" t="s">
        <v>165</v>
      </c>
      <c r="F272" t="s">
        <v>19</v>
      </c>
      <c r="G272" t="s">
        <v>166</v>
      </c>
      <c r="H272" t="s">
        <v>21</v>
      </c>
      <c r="I272" t="s">
        <v>148</v>
      </c>
      <c r="J272">
        <v>5666</v>
      </c>
      <c r="K272" t="s">
        <v>673</v>
      </c>
    </row>
    <row r="273" spans="1:11" x14ac:dyDescent="0.35">
      <c r="A273" t="s">
        <v>317</v>
      </c>
      <c r="B273" t="s">
        <v>15</v>
      </c>
      <c r="C273" t="s">
        <v>1671</v>
      </c>
      <c r="D273" t="s">
        <v>319</v>
      </c>
      <c r="E273" t="s">
        <v>726</v>
      </c>
      <c r="F273" t="s">
        <v>19</v>
      </c>
      <c r="G273" t="s">
        <v>727</v>
      </c>
      <c r="H273" t="s">
        <v>21</v>
      </c>
      <c r="I273" t="s">
        <v>148</v>
      </c>
      <c r="J273">
        <v>7850</v>
      </c>
      <c r="K273" t="s">
        <v>673</v>
      </c>
    </row>
    <row r="274" spans="1:11" x14ac:dyDescent="0.35">
      <c r="A274" t="s">
        <v>317</v>
      </c>
      <c r="B274" t="s">
        <v>15</v>
      </c>
      <c r="C274" t="s">
        <v>1729</v>
      </c>
      <c r="D274" t="s">
        <v>319</v>
      </c>
      <c r="E274" t="s">
        <v>1730</v>
      </c>
      <c r="F274" t="s">
        <v>19</v>
      </c>
      <c r="G274" t="s">
        <v>1731</v>
      </c>
      <c r="H274" t="s">
        <v>21</v>
      </c>
      <c r="I274" t="s">
        <v>148</v>
      </c>
      <c r="J274">
        <v>7738</v>
      </c>
      <c r="K274" t="s">
        <v>673</v>
      </c>
    </row>
    <row r="275" spans="1:11" x14ac:dyDescent="0.35">
      <c r="A275" t="s">
        <v>317</v>
      </c>
      <c r="B275" t="s">
        <v>15</v>
      </c>
      <c r="C275" t="s">
        <v>1734</v>
      </c>
      <c r="D275" t="s">
        <v>319</v>
      </c>
      <c r="E275" t="s">
        <v>1647</v>
      </c>
      <c r="F275" t="s">
        <v>19</v>
      </c>
      <c r="G275" t="s">
        <v>1648</v>
      </c>
      <c r="H275" t="s">
        <v>21</v>
      </c>
      <c r="I275" t="s">
        <v>148</v>
      </c>
      <c r="J275">
        <v>7080</v>
      </c>
      <c r="K275" t="s">
        <v>673</v>
      </c>
    </row>
    <row r="276" spans="1:11" x14ac:dyDescent="0.35">
      <c r="A276" t="s">
        <v>317</v>
      </c>
      <c r="B276" t="s">
        <v>15</v>
      </c>
      <c r="C276" t="s">
        <v>1791</v>
      </c>
      <c r="D276" t="s">
        <v>319</v>
      </c>
      <c r="E276" t="s">
        <v>146</v>
      </c>
      <c r="F276" t="s">
        <v>19</v>
      </c>
      <c r="G276" t="s">
        <v>147</v>
      </c>
      <c r="H276" t="s">
        <v>21</v>
      </c>
      <c r="I276" t="s">
        <v>148</v>
      </c>
      <c r="J276">
        <v>5670</v>
      </c>
      <c r="K276" t="s">
        <v>673</v>
      </c>
    </row>
    <row r="277" spans="1:11" x14ac:dyDescent="0.35">
      <c r="A277" t="s">
        <v>317</v>
      </c>
      <c r="B277" t="s">
        <v>15</v>
      </c>
      <c r="C277" t="s">
        <v>1846</v>
      </c>
      <c r="D277" t="s">
        <v>319</v>
      </c>
      <c r="E277" t="s">
        <v>1179</v>
      </c>
      <c r="F277" t="s">
        <v>19</v>
      </c>
      <c r="G277" t="s">
        <v>1180</v>
      </c>
      <c r="H277" t="s">
        <v>21</v>
      </c>
      <c r="I277" t="s">
        <v>148</v>
      </c>
      <c r="J277">
        <v>5668</v>
      </c>
      <c r="K277" t="s">
        <v>673</v>
      </c>
    </row>
    <row r="278" spans="1:11" x14ac:dyDescent="0.35">
      <c r="A278" t="s">
        <v>317</v>
      </c>
      <c r="B278" t="s">
        <v>15</v>
      </c>
      <c r="C278" t="s">
        <v>1852</v>
      </c>
      <c r="D278" t="s">
        <v>319</v>
      </c>
      <c r="E278" t="s">
        <v>805</v>
      </c>
      <c r="F278" t="s">
        <v>19</v>
      </c>
      <c r="G278" t="s">
        <v>806</v>
      </c>
      <c r="H278" t="s">
        <v>21</v>
      </c>
      <c r="I278" t="s">
        <v>148</v>
      </c>
      <c r="J278">
        <v>7104</v>
      </c>
      <c r="K278" t="s">
        <v>23</v>
      </c>
    </row>
    <row r="279" spans="1:11" x14ac:dyDescent="0.35">
      <c r="A279" t="s">
        <v>317</v>
      </c>
      <c r="B279" t="s">
        <v>15</v>
      </c>
      <c r="C279" t="s">
        <v>1887</v>
      </c>
      <c r="D279" t="s">
        <v>319</v>
      </c>
      <c r="E279" t="s">
        <v>638</v>
      </c>
      <c r="F279" t="s">
        <v>19</v>
      </c>
      <c r="G279" t="s">
        <v>639</v>
      </c>
      <c r="H279" t="s">
        <v>21</v>
      </c>
      <c r="I279" t="s">
        <v>148</v>
      </c>
      <c r="J279">
        <v>5667</v>
      </c>
      <c r="K279" t="s">
        <v>673</v>
      </c>
    </row>
    <row r="280" spans="1:11" x14ac:dyDescent="0.35">
      <c r="A280" t="s">
        <v>317</v>
      </c>
      <c r="B280" t="s">
        <v>15</v>
      </c>
      <c r="C280" t="s">
        <v>1896</v>
      </c>
      <c r="D280" t="s">
        <v>319</v>
      </c>
      <c r="E280" t="s">
        <v>1678</v>
      </c>
      <c r="F280" t="s">
        <v>19</v>
      </c>
      <c r="G280" t="s">
        <v>1679</v>
      </c>
      <c r="H280" t="s">
        <v>21</v>
      </c>
      <c r="I280" t="s">
        <v>148</v>
      </c>
      <c r="J280">
        <v>5669</v>
      </c>
      <c r="K280" t="s">
        <v>673</v>
      </c>
    </row>
    <row r="281" spans="1:11" x14ac:dyDescent="0.35">
      <c r="A281" t="s">
        <v>14</v>
      </c>
      <c r="B281" t="s">
        <v>32</v>
      </c>
      <c r="C281" t="s">
        <v>448</v>
      </c>
      <c r="D281" t="s">
        <v>17</v>
      </c>
      <c r="E281" t="s">
        <v>77</v>
      </c>
      <c r="F281" t="s">
        <v>19</v>
      </c>
      <c r="G281" t="s">
        <v>35</v>
      </c>
      <c r="H281" t="s">
        <v>21</v>
      </c>
      <c r="I281" t="s">
        <v>78</v>
      </c>
      <c r="J281">
        <v>40</v>
      </c>
      <c r="K281" t="s">
        <v>23</v>
      </c>
    </row>
    <row r="282" spans="1:11" x14ac:dyDescent="0.35">
      <c r="A282" t="s">
        <v>14</v>
      </c>
      <c r="B282" t="s">
        <v>32</v>
      </c>
      <c r="C282" t="s">
        <v>942</v>
      </c>
      <c r="D282" t="s">
        <v>17</v>
      </c>
      <c r="E282" t="s">
        <v>77</v>
      </c>
      <c r="F282" t="s">
        <v>19</v>
      </c>
      <c r="G282" t="s">
        <v>35</v>
      </c>
      <c r="H282" t="s">
        <v>21</v>
      </c>
      <c r="I282" t="s">
        <v>78</v>
      </c>
      <c r="J282">
        <v>40</v>
      </c>
      <c r="K282" t="s">
        <v>757</v>
      </c>
    </row>
    <row r="283" spans="1:11" x14ac:dyDescent="0.35">
      <c r="A283" t="s">
        <v>317</v>
      </c>
      <c r="B283" t="s">
        <v>32</v>
      </c>
      <c r="C283" t="s">
        <v>1039</v>
      </c>
      <c r="D283" t="s">
        <v>319</v>
      </c>
      <c r="E283" t="s">
        <v>77</v>
      </c>
      <c r="F283" t="s">
        <v>19</v>
      </c>
      <c r="G283" t="s">
        <v>35</v>
      </c>
      <c r="H283" t="s">
        <v>21</v>
      </c>
      <c r="I283" t="s">
        <v>78</v>
      </c>
      <c r="J283">
        <v>40</v>
      </c>
      <c r="K283" t="s">
        <v>673</v>
      </c>
    </row>
    <row r="284" spans="1:11" x14ac:dyDescent="0.35">
      <c r="A284" t="s">
        <v>317</v>
      </c>
      <c r="B284" t="s">
        <v>32</v>
      </c>
      <c r="C284" t="s">
        <v>1680</v>
      </c>
      <c r="D284" t="s">
        <v>319</v>
      </c>
      <c r="E284" t="s">
        <v>77</v>
      </c>
      <c r="F284" t="s">
        <v>19</v>
      </c>
      <c r="G284" t="s">
        <v>35</v>
      </c>
      <c r="H284" t="s">
        <v>21</v>
      </c>
      <c r="I284" t="s">
        <v>78</v>
      </c>
      <c r="J284">
        <v>40</v>
      </c>
      <c r="K284" t="s">
        <v>673</v>
      </c>
    </row>
    <row r="285" spans="1:11" x14ac:dyDescent="0.35">
      <c r="A285" t="s">
        <v>317</v>
      </c>
      <c r="B285" t="s">
        <v>32</v>
      </c>
      <c r="C285" t="s">
        <v>1894</v>
      </c>
      <c r="D285" t="s">
        <v>319</v>
      </c>
      <c r="E285" t="s">
        <v>77</v>
      </c>
      <c r="F285" t="s">
        <v>19</v>
      </c>
      <c r="G285" t="s">
        <v>35</v>
      </c>
      <c r="H285" t="s">
        <v>21</v>
      </c>
      <c r="I285" t="s">
        <v>78</v>
      </c>
      <c r="J285">
        <v>40</v>
      </c>
      <c r="K285" t="s">
        <v>673</v>
      </c>
    </row>
    <row r="286" spans="1:11" x14ac:dyDescent="0.35">
      <c r="A286" t="s">
        <v>1827</v>
      </c>
      <c r="B286" t="s">
        <v>32</v>
      </c>
      <c r="C286" t="s">
        <v>1918</v>
      </c>
      <c r="D286" t="s">
        <v>1829</v>
      </c>
      <c r="E286" t="s">
        <v>77</v>
      </c>
      <c r="F286" t="s">
        <v>19</v>
      </c>
      <c r="G286" t="s">
        <v>35</v>
      </c>
      <c r="H286" t="s">
        <v>21</v>
      </c>
      <c r="I286" t="s">
        <v>78</v>
      </c>
      <c r="J286">
        <v>40</v>
      </c>
      <c r="K286" t="s">
        <v>673</v>
      </c>
    </row>
    <row r="287" spans="1:11" x14ac:dyDescent="0.35">
      <c r="A287" t="s">
        <v>74</v>
      </c>
      <c r="B287" t="s">
        <v>32</v>
      </c>
      <c r="C287" t="s">
        <v>75</v>
      </c>
      <c r="D287" t="s">
        <v>76</v>
      </c>
      <c r="E287" t="s">
        <v>77</v>
      </c>
      <c r="F287" t="s">
        <v>19</v>
      </c>
      <c r="G287" t="s">
        <v>35</v>
      </c>
      <c r="H287" t="s">
        <v>21</v>
      </c>
      <c r="I287" t="s">
        <v>78</v>
      </c>
      <c r="J287">
        <v>40</v>
      </c>
      <c r="K287" t="s">
        <v>23</v>
      </c>
    </row>
    <row r="288" spans="1:11" x14ac:dyDescent="0.35">
      <c r="A288" t="s">
        <v>14</v>
      </c>
      <c r="B288" t="s">
        <v>53</v>
      </c>
      <c r="C288" t="s">
        <v>1274</v>
      </c>
      <c r="D288" t="s">
        <v>17</v>
      </c>
      <c r="E288" t="s">
        <v>1275</v>
      </c>
      <c r="F288" t="s">
        <v>19</v>
      </c>
      <c r="G288" t="s">
        <v>56</v>
      </c>
      <c r="H288" t="s">
        <v>21</v>
      </c>
      <c r="I288" t="s">
        <v>78</v>
      </c>
      <c r="J288">
        <v>2076</v>
      </c>
      <c r="K288" t="s">
        <v>23</v>
      </c>
    </row>
    <row r="289" spans="1:11" x14ac:dyDescent="0.35">
      <c r="A289" t="s">
        <v>317</v>
      </c>
      <c r="B289" t="s">
        <v>53</v>
      </c>
      <c r="C289" t="s">
        <v>1296</v>
      </c>
      <c r="D289" t="s">
        <v>319</v>
      </c>
      <c r="E289" t="s">
        <v>1275</v>
      </c>
      <c r="F289" t="s">
        <v>19</v>
      </c>
      <c r="G289" t="s">
        <v>56</v>
      </c>
      <c r="H289" t="s">
        <v>21</v>
      </c>
      <c r="I289" t="s">
        <v>78</v>
      </c>
      <c r="J289">
        <v>2076</v>
      </c>
      <c r="K289" t="s">
        <v>673</v>
      </c>
    </row>
    <row r="290" spans="1:11" x14ac:dyDescent="0.35">
      <c r="A290" t="s">
        <v>14</v>
      </c>
      <c r="B290" t="s">
        <v>15</v>
      </c>
      <c r="C290" t="s">
        <v>97</v>
      </c>
      <c r="D290" t="s">
        <v>17</v>
      </c>
      <c r="E290" t="s">
        <v>98</v>
      </c>
      <c r="F290" t="s">
        <v>19</v>
      </c>
      <c r="G290" t="s">
        <v>99</v>
      </c>
      <c r="H290" t="s">
        <v>21</v>
      </c>
      <c r="I290" t="s">
        <v>78</v>
      </c>
      <c r="J290">
        <v>5675</v>
      </c>
      <c r="K290" t="s">
        <v>23</v>
      </c>
    </row>
    <row r="291" spans="1:11" x14ac:dyDescent="0.35">
      <c r="A291" t="s">
        <v>14</v>
      </c>
      <c r="B291" t="s">
        <v>15</v>
      </c>
      <c r="C291" t="s">
        <v>101</v>
      </c>
      <c r="D291" t="s">
        <v>17</v>
      </c>
      <c r="E291" t="s">
        <v>102</v>
      </c>
      <c r="F291" t="s">
        <v>19</v>
      </c>
      <c r="G291" t="s">
        <v>103</v>
      </c>
      <c r="H291" t="s">
        <v>21</v>
      </c>
      <c r="I291" t="s">
        <v>78</v>
      </c>
      <c r="J291">
        <v>7461</v>
      </c>
      <c r="K291" t="s">
        <v>23</v>
      </c>
    </row>
    <row r="292" spans="1:11" x14ac:dyDescent="0.35">
      <c r="A292" t="s">
        <v>14</v>
      </c>
      <c r="B292" t="s">
        <v>15</v>
      </c>
      <c r="C292" t="s">
        <v>105</v>
      </c>
      <c r="D292" t="s">
        <v>17</v>
      </c>
      <c r="E292" t="s">
        <v>106</v>
      </c>
      <c r="F292" t="s">
        <v>19</v>
      </c>
      <c r="G292" t="s">
        <v>107</v>
      </c>
      <c r="H292" t="s">
        <v>21</v>
      </c>
      <c r="I292" t="s">
        <v>78</v>
      </c>
      <c r="J292">
        <v>3550</v>
      </c>
      <c r="K292" t="s">
        <v>23</v>
      </c>
    </row>
    <row r="293" spans="1:11" x14ac:dyDescent="0.35">
      <c r="A293" t="s">
        <v>14</v>
      </c>
      <c r="B293" t="s">
        <v>15</v>
      </c>
      <c r="C293" t="s">
        <v>428</v>
      </c>
      <c r="D293" t="s">
        <v>17</v>
      </c>
      <c r="E293" t="s">
        <v>102</v>
      </c>
      <c r="F293" t="s">
        <v>19</v>
      </c>
      <c r="G293" t="s">
        <v>103</v>
      </c>
      <c r="H293" t="s">
        <v>21</v>
      </c>
      <c r="I293" t="s">
        <v>78</v>
      </c>
      <c r="J293">
        <v>7461</v>
      </c>
      <c r="K293" t="s">
        <v>23</v>
      </c>
    </row>
    <row r="294" spans="1:11" x14ac:dyDescent="0.35">
      <c r="A294" t="s">
        <v>14</v>
      </c>
      <c r="B294" t="s">
        <v>15</v>
      </c>
      <c r="C294" t="s">
        <v>575</v>
      </c>
      <c r="D294" t="s">
        <v>17</v>
      </c>
      <c r="E294" t="s">
        <v>106</v>
      </c>
      <c r="F294" t="s">
        <v>19</v>
      </c>
      <c r="G294" t="s">
        <v>576</v>
      </c>
      <c r="H294" t="s">
        <v>21</v>
      </c>
      <c r="I294" t="s">
        <v>78</v>
      </c>
      <c r="J294">
        <v>3550</v>
      </c>
      <c r="K294" t="s">
        <v>23</v>
      </c>
    </row>
    <row r="295" spans="1:11" x14ac:dyDescent="0.35">
      <c r="A295" t="s">
        <v>14</v>
      </c>
      <c r="B295" t="s">
        <v>15</v>
      </c>
      <c r="C295" t="s">
        <v>746</v>
      </c>
      <c r="D295" t="s">
        <v>17</v>
      </c>
      <c r="E295" t="s">
        <v>747</v>
      </c>
      <c r="F295" t="s">
        <v>19</v>
      </c>
      <c r="G295" t="s">
        <v>748</v>
      </c>
      <c r="H295" t="s">
        <v>21</v>
      </c>
      <c r="I295" t="s">
        <v>78</v>
      </c>
      <c r="J295">
        <v>5673</v>
      </c>
      <c r="K295" t="s">
        <v>23</v>
      </c>
    </row>
    <row r="296" spans="1:11" x14ac:dyDescent="0.35">
      <c r="A296" t="s">
        <v>14</v>
      </c>
      <c r="B296" t="s">
        <v>15</v>
      </c>
      <c r="C296" t="s">
        <v>811</v>
      </c>
      <c r="D296" t="s">
        <v>17</v>
      </c>
      <c r="E296" t="s">
        <v>812</v>
      </c>
      <c r="F296" t="s">
        <v>19</v>
      </c>
      <c r="G296" t="s">
        <v>813</v>
      </c>
      <c r="H296" t="s">
        <v>21</v>
      </c>
      <c r="I296" t="s">
        <v>78</v>
      </c>
      <c r="J296">
        <v>3393</v>
      </c>
      <c r="K296" t="s">
        <v>23</v>
      </c>
    </row>
    <row r="297" spans="1:11" x14ac:dyDescent="0.35">
      <c r="A297" t="s">
        <v>14</v>
      </c>
      <c r="B297" t="s">
        <v>15</v>
      </c>
      <c r="C297" t="s">
        <v>1015</v>
      </c>
      <c r="D297" t="s">
        <v>17</v>
      </c>
      <c r="E297" t="s">
        <v>1016</v>
      </c>
      <c r="F297" t="s">
        <v>19</v>
      </c>
      <c r="G297" t="s">
        <v>1017</v>
      </c>
      <c r="H297" t="s">
        <v>21</v>
      </c>
      <c r="I297" t="s">
        <v>78</v>
      </c>
      <c r="J297">
        <v>5672</v>
      </c>
      <c r="K297" t="s">
        <v>23</v>
      </c>
    </row>
    <row r="298" spans="1:11" x14ac:dyDescent="0.35">
      <c r="A298" t="s">
        <v>14</v>
      </c>
      <c r="B298" t="s">
        <v>15</v>
      </c>
      <c r="C298" t="s">
        <v>1378</v>
      </c>
      <c r="D298" t="s">
        <v>17</v>
      </c>
      <c r="E298" t="s">
        <v>98</v>
      </c>
      <c r="F298" t="s">
        <v>19</v>
      </c>
      <c r="G298" t="s">
        <v>99</v>
      </c>
      <c r="H298" t="s">
        <v>21</v>
      </c>
      <c r="I298" t="s">
        <v>78</v>
      </c>
      <c r="J298">
        <v>5675</v>
      </c>
      <c r="K298" t="s">
        <v>23</v>
      </c>
    </row>
    <row r="299" spans="1:11" x14ac:dyDescent="0.35">
      <c r="A299" t="s">
        <v>14</v>
      </c>
      <c r="B299" t="s">
        <v>15</v>
      </c>
      <c r="C299" t="s">
        <v>1380</v>
      </c>
      <c r="D299" t="s">
        <v>17</v>
      </c>
      <c r="E299" t="s">
        <v>1381</v>
      </c>
      <c r="F299" t="s">
        <v>19</v>
      </c>
      <c r="G299" t="s">
        <v>1382</v>
      </c>
      <c r="H299" t="s">
        <v>21</v>
      </c>
      <c r="I299" t="s">
        <v>78</v>
      </c>
      <c r="J299">
        <v>5674</v>
      </c>
      <c r="K299" t="s">
        <v>23</v>
      </c>
    </row>
    <row r="300" spans="1:11" x14ac:dyDescent="0.35">
      <c r="A300" t="s">
        <v>14</v>
      </c>
      <c r="B300" t="s">
        <v>15</v>
      </c>
      <c r="C300" t="s">
        <v>1396</v>
      </c>
      <c r="D300" t="s">
        <v>17</v>
      </c>
      <c r="E300" t="s">
        <v>812</v>
      </c>
      <c r="F300" t="s">
        <v>19</v>
      </c>
      <c r="G300" t="s">
        <v>1029</v>
      </c>
      <c r="H300" t="s">
        <v>21</v>
      </c>
      <c r="I300" t="s">
        <v>78</v>
      </c>
      <c r="J300">
        <v>3393</v>
      </c>
      <c r="K300" t="s">
        <v>23</v>
      </c>
    </row>
    <row r="301" spans="1:11" x14ac:dyDescent="0.35">
      <c r="A301" t="s">
        <v>317</v>
      </c>
      <c r="B301" t="s">
        <v>15</v>
      </c>
      <c r="C301" t="s">
        <v>824</v>
      </c>
      <c r="D301" t="s">
        <v>319</v>
      </c>
      <c r="E301" t="s">
        <v>747</v>
      </c>
      <c r="F301" t="s">
        <v>19</v>
      </c>
      <c r="G301" t="s">
        <v>748</v>
      </c>
      <c r="H301" t="s">
        <v>21</v>
      </c>
      <c r="I301" t="s">
        <v>78</v>
      </c>
      <c r="J301">
        <v>5673</v>
      </c>
      <c r="K301" t="s">
        <v>673</v>
      </c>
    </row>
    <row r="302" spans="1:11" x14ac:dyDescent="0.35">
      <c r="A302" t="s">
        <v>317</v>
      </c>
      <c r="B302" t="s">
        <v>15</v>
      </c>
      <c r="C302" t="s">
        <v>940</v>
      </c>
      <c r="D302" t="s">
        <v>319</v>
      </c>
      <c r="E302" t="s">
        <v>98</v>
      </c>
      <c r="F302" t="s">
        <v>19</v>
      </c>
      <c r="G302" t="s">
        <v>941</v>
      </c>
      <c r="H302" t="s">
        <v>21</v>
      </c>
      <c r="I302" t="s">
        <v>78</v>
      </c>
      <c r="J302">
        <v>5675</v>
      </c>
      <c r="K302" t="s">
        <v>673</v>
      </c>
    </row>
    <row r="303" spans="1:11" x14ac:dyDescent="0.35">
      <c r="A303" t="s">
        <v>317</v>
      </c>
      <c r="B303" t="s">
        <v>15</v>
      </c>
      <c r="C303" t="s">
        <v>1028</v>
      </c>
      <c r="D303" t="s">
        <v>319</v>
      </c>
      <c r="E303" t="s">
        <v>812</v>
      </c>
      <c r="F303" t="s">
        <v>19</v>
      </c>
      <c r="G303" t="s">
        <v>1029</v>
      </c>
      <c r="H303" t="s">
        <v>21</v>
      </c>
      <c r="I303" t="s">
        <v>78</v>
      </c>
      <c r="J303">
        <v>3393</v>
      </c>
      <c r="K303" t="s">
        <v>673</v>
      </c>
    </row>
    <row r="304" spans="1:11" x14ac:dyDescent="0.35">
      <c r="A304" t="s">
        <v>317</v>
      </c>
      <c r="B304" t="s">
        <v>15</v>
      </c>
      <c r="C304" t="s">
        <v>1036</v>
      </c>
      <c r="D304" t="s">
        <v>319</v>
      </c>
      <c r="E304" t="s">
        <v>1016</v>
      </c>
      <c r="F304" t="s">
        <v>19</v>
      </c>
      <c r="G304" t="s">
        <v>1017</v>
      </c>
      <c r="H304" t="s">
        <v>21</v>
      </c>
      <c r="I304" t="s">
        <v>78</v>
      </c>
      <c r="J304">
        <v>5672</v>
      </c>
      <c r="K304" t="s">
        <v>673</v>
      </c>
    </row>
    <row r="305" spans="1:11" x14ac:dyDescent="0.35">
      <c r="A305" t="s">
        <v>317</v>
      </c>
      <c r="B305" t="s">
        <v>15</v>
      </c>
      <c r="C305" t="s">
        <v>1268</v>
      </c>
      <c r="D305" t="s">
        <v>319</v>
      </c>
      <c r="E305" t="s">
        <v>106</v>
      </c>
      <c r="F305" t="s">
        <v>19</v>
      </c>
      <c r="G305" t="s">
        <v>107</v>
      </c>
      <c r="H305" t="s">
        <v>21</v>
      </c>
      <c r="I305" t="s">
        <v>78</v>
      </c>
      <c r="J305">
        <v>3550</v>
      </c>
      <c r="K305" t="s">
        <v>673</v>
      </c>
    </row>
    <row r="306" spans="1:11" x14ac:dyDescent="0.35">
      <c r="A306" t="s">
        <v>317</v>
      </c>
      <c r="B306" t="s">
        <v>15</v>
      </c>
      <c r="C306" t="s">
        <v>1281</v>
      </c>
      <c r="D306" t="s">
        <v>319</v>
      </c>
      <c r="E306" t="s">
        <v>812</v>
      </c>
      <c r="F306" t="s">
        <v>19</v>
      </c>
      <c r="G306" t="s">
        <v>1029</v>
      </c>
      <c r="H306" t="s">
        <v>21</v>
      </c>
      <c r="I306" t="s">
        <v>78</v>
      </c>
      <c r="J306">
        <v>3393</v>
      </c>
      <c r="K306" t="s">
        <v>673</v>
      </c>
    </row>
    <row r="307" spans="1:11" x14ac:dyDescent="0.35">
      <c r="A307" t="s">
        <v>317</v>
      </c>
      <c r="B307" t="s">
        <v>15</v>
      </c>
      <c r="C307" t="s">
        <v>1342</v>
      </c>
      <c r="D307" t="s">
        <v>319</v>
      </c>
      <c r="E307" t="s">
        <v>102</v>
      </c>
      <c r="F307" t="s">
        <v>19</v>
      </c>
      <c r="G307" t="s">
        <v>103</v>
      </c>
      <c r="H307" t="s">
        <v>21</v>
      </c>
      <c r="I307" t="s">
        <v>78</v>
      </c>
      <c r="J307">
        <v>7461</v>
      </c>
      <c r="K307" t="s">
        <v>673</v>
      </c>
    </row>
    <row r="308" spans="1:11" x14ac:dyDescent="0.35">
      <c r="A308" t="s">
        <v>317</v>
      </c>
      <c r="B308" t="s">
        <v>15</v>
      </c>
      <c r="C308" t="s">
        <v>1386</v>
      </c>
      <c r="D308" t="s">
        <v>319</v>
      </c>
      <c r="E308" t="s">
        <v>98</v>
      </c>
      <c r="F308" t="s">
        <v>19</v>
      </c>
      <c r="G308" t="s">
        <v>99</v>
      </c>
      <c r="H308" t="s">
        <v>21</v>
      </c>
      <c r="I308" t="s">
        <v>78</v>
      </c>
      <c r="J308">
        <v>5675</v>
      </c>
      <c r="K308" t="s">
        <v>23</v>
      </c>
    </row>
    <row r="309" spans="1:11" x14ac:dyDescent="0.35">
      <c r="A309" t="s">
        <v>317</v>
      </c>
      <c r="B309" t="s">
        <v>15</v>
      </c>
      <c r="C309" t="s">
        <v>1392</v>
      </c>
      <c r="D309" t="s">
        <v>319</v>
      </c>
      <c r="E309" t="s">
        <v>1381</v>
      </c>
      <c r="F309" t="s">
        <v>19</v>
      </c>
      <c r="G309" t="s">
        <v>1382</v>
      </c>
      <c r="H309" t="s">
        <v>21</v>
      </c>
      <c r="I309" t="s">
        <v>78</v>
      </c>
      <c r="J309">
        <v>5674</v>
      </c>
      <c r="K309" t="s">
        <v>23</v>
      </c>
    </row>
    <row r="310" spans="1:11" x14ac:dyDescent="0.35">
      <c r="A310" t="s">
        <v>317</v>
      </c>
      <c r="B310" t="s">
        <v>15</v>
      </c>
      <c r="C310" t="s">
        <v>1394</v>
      </c>
      <c r="D310" t="s">
        <v>319</v>
      </c>
      <c r="E310" t="s">
        <v>106</v>
      </c>
      <c r="F310" t="s">
        <v>19</v>
      </c>
      <c r="G310" t="s">
        <v>576</v>
      </c>
      <c r="H310" t="s">
        <v>21</v>
      </c>
      <c r="I310" t="s">
        <v>78</v>
      </c>
      <c r="J310">
        <v>3550</v>
      </c>
      <c r="K310" t="s">
        <v>23</v>
      </c>
    </row>
    <row r="311" spans="1:11" x14ac:dyDescent="0.35">
      <c r="A311" t="s">
        <v>317</v>
      </c>
      <c r="B311" t="s">
        <v>15</v>
      </c>
      <c r="C311" t="s">
        <v>1558</v>
      </c>
      <c r="D311" t="s">
        <v>319</v>
      </c>
      <c r="E311" t="s">
        <v>812</v>
      </c>
      <c r="F311" t="s">
        <v>19</v>
      </c>
      <c r="G311" t="s">
        <v>813</v>
      </c>
      <c r="H311" t="s">
        <v>21</v>
      </c>
      <c r="I311" t="s">
        <v>78</v>
      </c>
      <c r="J311">
        <v>3393</v>
      </c>
      <c r="K311" t="s">
        <v>673</v>
      </c>
    </row>
    <row r="312" spans="1:11" x14ac:dyDescent="0.35">
      <c r="A312" t="s">
        <v>317</v>
      </c>
      <c r="B312" t="s">
        <v>15</v>
      </c>
      <c r="C312" t="s">
        <v>1615</v>
      </c>
      <c r="D312" t="s">
        <v>319</v>
      </c>
      <c r="E312" t="s">
        <v>98</v>
      </c>
      <c r="F312" t="s">
        <v>19</v>
      </c>
      <c r="G312" t="s">
        <v>99</v>
      </c>
      <c r="H312" t="s">
        <v>21</v>
      </c>
      <c r="I312" t="s">
        <v>78</v>
      </c>
      <c r="J312">
        <v>5675</v>
      </c>
      <c r="K312" t="s">
        <v>673</v>
      </c>
    </row>
    <row r="313" spans="1:11" x14ac:dyDescent="0.35">
      <c r="A313" t="s">
        <v>14</v>
      </c>
      <c r="B313" t="s">
        <v>32</v>
      </c>
      <c r="C313" t="s">
        <v>814</v>
      </c>
      <c r="D313" t="s">
        <v>17</v>
      </c>
      <c r="E313" t="s">
        <v>251</v>
      </c>
      <c r="F313" t="s">
        <v>19</v>
      </c>
      <c r="G313" t="s">
        <v>35</v>
      </c>
      <c r="H313" t="s">
        <v>21</v>
      </c>
      <c r="I313" t="s">
        <v>143</v>
      </c>
      <c r="J313">
        <v>129</v>
      </c>
      <c r="K313" t="s">
        <v>23</v>
      </c>
    </row>
    <row r="314" spans="1:11" x14ac:dyDescent="0.35">
      <c r="A314" t="s">
        <v>14</v>
      </c>
      <c r="B314" t="s">
        <v>32</v>
      </c>
      <c r="C314" t="s">
        <v>964</v>
      </c>
      <c r="D314" t="s">
        <v>17</v>
      </c>
      <c r="E314" t="s">
        <v>251</v>
      </c>
      <c r="F314" t="s">
        <v>19</v>
      </c>
      <c r="G314" t="s">
        <v>35</v>
      </c>
      <c r="H314" t="s">
        <v>21</v>
      </c>
      <c r="I314" t="s">
        <v>143</v>
      </c>
      <c r="J314">
        <v>129</v>
      </c>
      <c r="K314" t="s">
        <v>23</v>
      </c>
    </row>
    <row r="315" spans="1:11" x14ac:dyDescent="0.35">
      <c r="A315" t="s">
        <v>317</v>
      </c>
      <c r="B315" t="s">
        <v>32</v>
      </c>
      <c r="C315" t="s">
        <v>1223</v>
      </c>
      <c r="D315" t="s">
        <v>319</v>
      </c>
      <c r="E315" t="s">
        <v>251</v>
      </c>
      <c r="F315" t="s">
        <v>19</v>
      </c>
      <c r="G315" t="s">
        <v>35</v>
      </c>
      <c r="H315" t="s">
        <v>21</v>
      </c>
      <c r="I315" t="s">
        <v>143</v>
      </c>
      <c r="J315">
        <v>129</v>
      </c>
      <c r="K315" t="s">
        <v>673</v>
      </c>
    </row>
    <row r="316" spans="1:11" x14ac:dyDescent="0.35">
      <c r="A316" t="s">
        <v>317</v>
      </c>
      <c r="B316" t="s">
        <v>32</v>
      </c>
      <c r="C316" t="s">
        <v>1862</v>
      </c>
      <c r="D316" t="s">
        <v>319</v>
      </c>
      <c r="E316" t="s">
        <v>251</v>
      </c>
      <c r="F316" t="s">
        <v>19</v>
      </c>
      <c r="G316" t="s">
        <v>35</v>
      </c>
      <c r="H316" t="s">
        <v>21</v>
      </c>
      <c r="I316" t="s">
        <v>143</v>
      </c>
      <c r="J316">
        <v>129</v>
      </c>
      <c r="K316" t="s">
        <v>23</v>
      </c>
    </row>
    <row r="317" spans="1:11" x14ac:dyDescent="0.35">
      <c r="A317" t="s">
        <v>317</v>
      </c>
      <c r="B317" t="s">
        <v>32</v>
      </c>
      <c r="C317" t="s">
        <v>1889</v>
      </c>
      <c r="D317" t="s">
        <v>319</v>
      </c>
      <c r="E317" t="s">
        <v>251</v>
      </c>
      <c r="F317" t="s">
        <v>19</v>
      </c>
      <c r="G317" t="s">
        <v>35</v>
      </c>
      <c r="H317" t="s">
        <v>21</v>
      </c>
      <c r="I317" t="s">
        <v>143</v>
      </c>
      <c r="J317">
        <v>129</v>
      </c>
      <c r="K317" t="s">
        <v>673</v>
      </c>
    </row>
    <row r="318" spans="1:11" x14ac:dyDescent="0.35">
      <c r="A318" t="s">
        <v>317</v>
      </c>
      <c r="B318" t="s">
        <v>32</v>
      </c>
      <c r="C318" t="s">
        <v>1890</v>
      </c>
      <c r="D318" t="s">
        <v>319</v>
      </c>
      <c r="E318" t="s">
        <v>251</v>
      </c>
      <c r="F318" t="s">
        <v>19</v>
      </c>
      <c r="G318" t="s">
        <v>35</v>
      </c>
      <c r="H318" t="s">
        <v>21</v>
      </c>
      <c r="I318" t="s">
        <v>143</v>
      </c>
      <c r="J318">
        <v>129</v>
      </c>
      <c r="K318" t="s">
        <v>673</v>
      </c>
    </row>
    <row r="319" spans="1:11" x14ac:dyDescent="0.35">
      <c r="A319" t="s">
        <v>74</v>
      </c>
      <c r="B319" t="s">
        <v>32</v>
      </c>
      <c r="C319" t="s">
        <v>250</v>
      </c>
      <c r="D319" t="s">
        <v>76</v>
      </c>
      <c r="E319" t="s">
        <v>251</v>
      </c>
      <c r="F319" t="s">
        <v>19</v>
      </c>
      <c r="G319" t="s">
        <v>35</v>
      </c>
      <c r="H319" t="s">
        <v>21</v>
      </c>
      <c r="I319" t="s">
        <v>143</v>
      </c>
      <c r="J319">
        <v>129</v>
      </c>
      <c r="K319" t="s">
        <v>23</v>
      </c>
    </row>
    <row r="320" spans="1:11" x14ac:dyDescent="0.35">
      <c r="A320" t="s">
        <v>14</v>
      </c>
      <c r="B320" t="s">
        <v>15</v>
      </c>
      <c r="C320" t="s">
        <v>140</v>
      </c>
      <c r="D320" t="s">
        <v>17</v>
      </c>
      <c r="E320" t="s">
        <v>141</v>
      </c>
      <c r="F320" t="s">
        <v>19</v>
      </c>
      <c r="G320" t="s">
        <v>142</v>
      </c>
      <c r="H320" t="s">
        <v>21</v>
      </c>
      <c r="I320" t="s">
        <v>143</v>
      </c>
      <c r="J320">
        <v>7045</v>
      </c>
      <c r="K320" t="s">
        <v>23</v>
      </c>
    </row>
    <row r="321" spans="1:11" x14ac:dyDescent="0.35">
      <c r="A321" t="s">
        <v>14</v>
      </c>
      <c r="B321" t="s">
        <v>15</v>
      </c>
      <c r="C321" t="s">
        <v>150</v>
      </c>
      <c r="D321" t="s">
        <v>17</v>
      </c>
      <c r="E321" t="s">
        <v>151</v>
      </c>
      <c r="F321" t="s">
        <v>19</v>
      </c>
      <c r="G321" t="s">
        <v>152</v>
      </c>
      <c r="H321" t="s">
        <v>21</v>
      </c>
      <c r="I321" t="s">
        <v>143</v>
      </c>
      <c r="J321">
        <v>5682</v>
      </c>
      <c r="K321" t="s">
        <v>23</v>
      </c>
    </row>
    <row r="322" spans="1:11" x14ac:dyDescent="0.35">
      <c r="A322" t="s">
        <v>14</v>
      </c>
      <c r="B322" t="s">
        <v>15</v>
      </c>
      <c r="C322" t="s">
        <v>253</v>
      </c>
      <c r="D322" t="s">
        <v>17</v>
      </c>
      <c r="E322" t="s">
        <v>254</v>
      </c>
      <c r="F322" t="s">
        <v>19</v>
      </c>
      <c r="G322" t="s">
        <v>255</v>
      </c>
      <c r="H322" t="s">
        <v>21</v>
      </c>
      <c r="I322" t="s">
        <v>143</v>
      </c>
      <c r="J322">
        <v>5683</v>
      </c>
      <c r="K322" t="s">
        <v>23</v>
      </c>
    </row>
    <row r="323" spans="1:11" x14ac:dyDescent="0.35">
      <c r="A323" t="s">
        <v>14</v>
      </c>
      <c r="B323" t="s">
        <v>15</v>
      </c>
      <c r="C323" t="s">
        <v>257</v>
      </c>
      <c r="D323" t="s">
        <v>17</v>
      </c>
      <c r="E323" t="s">
        <v>258</v>
      </c>
      <c r="F323" t="s">
        <v>19</v>
      </c>
      <c r="G323" t="s">
        <v>259</v>
      </c>
      <c r="H323" t="s">
        <v>21</v>
      </c>
      <c r="I323" t="s">
        <v>143</v>
      </c>
      <c r="J323">
        <v>5677</v>
      </c>
      <c r="K323" t="s">
        <v>23</v>
      </c>
    </row>
    <row r="324" spans="1:11" x14ac:dyDescent="0.35">
      <c r="A324" t="s">
        <v>14</v>
      </c>
      <c r="B324" t="s">
        <v>15</v>
      </c>
      <c r="C324" t="s">
        <v>328</v>
      </c>
      <c r="D324" t="s">
        <v>17</v>
      </c>
      <c r="E324" t="s">
        <v>329</v>
      </c>
      <c r="F324" t="s">
        <v>19</v>
      </c>
      <c r="G324" t="s">
        <v>330</v>
      </c>
      <c r="H324" t="s">
        <v>21</v>
      </c>
      <c r="I324" t="s">
        <v>143</v>
      </c>
      <c r="J324">
        <v>5680</v>
      </c>
      <c r="K324" t="s">
        <v>23</v>
      </c>
    </row>
    <row r="325" spans="1:11" x14ac:dyDescent="0.35">
      <c r="A325" t="s">
        <v>14</v>
      </c>
      <c r="B325" t="s">
        <v>15</v>
      </c>
      <c r="C325" t="s">
        <v>454</v>
      </c>
      <c r="D325" t="s">
        <v>17</v>
      </c>
      <c r="E325" t="s">
        <v>329</v>
      </c>
      <c r="F325" t="s">
        <v>19</v>
      </c>
      <c r="G325" t="s">
        <v>330</v>
      </c>
      <c r="H325" t="s">
        <v>21</v>
      </c>
      <c r="I325" t="s">
        <v>143</v>
      </c>
      <c r="J325">
        <v>5680</v>
      </c>
      <c r="K325" t="s">
        <v>23</v>
      </c>
    </row>
    <row r="326" spans="1:11" x14ac:dyDescent="0.35">
      <c r="A326" t="s">
        <v>14</v>
      </c>
      <c r="B326" t="s">
        <v>15</v>
      </c>
      <c r="C326" t="s">
        <v>697</v>
      </c>
      <c r="D326" t="s">
        <v>17</v>
      </c>
      <c r="E326" t="s">
        <v>698</v>
      </c>
      <c r="F326" t="s">
        <v>19</v>
      </c>
      <c r="G326" t="s">
        <v>699</v>
      </c>
      <c r="H326" t="s">
        <v>21</v>
      </c>
      <c r="I326" t="s">
        <v>143</v>
      </c>
      <c r="J326">
        <v>5679</v>
      </c>
      <c r="K326" t="s">
        <v>23</v>
      </c>
    </row>
    <row r="327" spans="1:11" x14ac:dyDescent="0.35">
      <c r="A327" t="s">
        <v>14</v>
      </c>
      <c r="B327" t="s">
        <v>15</v>
      </c>
      <c r="C327" t="s">
        <v>701</v>
      </c>
      <c r="D327" t="s">
        <v>17</v>
      </c>
      <c r="E327" t="s">
        <v>702</v>
      </c>
      <c r="F327" t="s">
        <v>19</v>
      </c>
      <c r="G327" t="s">
        <v>703</v>
      </c>
      <c r="H327" t="s">
        <v>21</v>
      </c>
      <c r="I327" t="s">
        <v>143</v>
      </c>
      <c r="J327">
        <v>5676</v>
      </c>
      <c r="K327" t="s">
        <v>23</v>
      </c>
    </row>
    <row r="328" spans="1:11" x14ac:dyDescent="0.35">
      <c r="A328" t="s">
        <v>14</v>
      </c>
      <c r="B328" t="s">
        <v>15</v>
      </c>
      <c r="C328" t="s">
        <v>717</v>
      </c>
      <c r="D328" t="s">
        <v>17</v>
      </c>
      <c r="E328" t="s">
        <v>141</v>
      </c>
      <c r="F328" t="s">
        <v>19</v>
      </c>
      <c r="G328" t="s">
        <v>142</v>
      </c>
      <c r="H328" t="s">
        <v>21</v>
      </c>
      <c r="I328" t="s">
        <v>143</v>
      </c>
      <c r="J328">
        <v>7045</v>
      </c>
      <c r="K328" t="s">
        <v>23</v>
      </c>
    </row>
    <row r="329" spans="1:11" x14ac:dyDescent="0.35">
      <c r="A329" t="s">
        <v>14</v>
      </c>
      <c r="B329" t="s">
        <v>15</v>
      </c>
      <c r="C329" t="s">
        <v>817</v>
      </c>
      <c r="D329" t="s">
        <v>17</v>
      </c>
      <c r="E329" t="s">
        <v>702</v>
      </c>
      <c r="F329" t="s">
        <v>19</v>
      </c>
      <c r="G329" t="s">
        <v>703</v>
      </c>
      <c r="H329" t="s">
        <v>21</v>
      </c>
      <c r="I329" t="s">
        <v>143</v>
      </c>
      <c r="J329">
        <v>5676</v>
      </c>
      <c r="K329" t="s">
        <v>23</v>
      </c>
    </row>
    <row r="330" spans="1:11" x14ac:dyDescent="0.35">
      <c r="A330" t="s">
        <v>14</v>
      </c>
      <c r="B330" t="s">
        <v>15</v>
      </c>
      <c r="C330" t="s">
        <v>1074</v>
      </c>
      <c r="D330" t="s">
        <v>17</v>
      </c>
      <c r="E330" t="s">
        <v>1075</v>
      </c>
      <c r="F330" t="s">
        <v>19</v>
      </c>
      <c r="G330" t="s">
        <v>1076</v>
      </c>
      <c r="H330" t="s">
        <v>21</v>
      </c>
      <c r="I330" t="s">
        <v>143</v>
      </c>
      <c r="J330">
        <v>7606</v>
      </c>
      <c r="K330" t="s">
        <v>23</v>
      </c>
    </row>
    <row r="331" spans="1:11" x14ac:dyDescent="0.35">
      <c r="A331" t="s">
        <v>14</v>
      </c>
      <c r="B331" t="s">
        <v>15</v>
      </c>
      <c r="C331" t="s">
        <v>1198</v>
      </c>
      <c r="D331" t="s">
        <v>17</v>
      </c>
      <c r="E331" t="s">
        <v>1199</v>
      </c>
      <c r="F331" t="s">
        <v>19</v>
      </c>
      <c r="G331" t="s">
        <v>1200</v>
      </c>
      <c r="H331" t="s">
        <v>21</v>
      </c>
      <c r="I331" t="s">
        <v>143</v>
      </c>
      <c r="J331">
        <v>7607</v>
      </c>
      <c r="K331" t="s">
        <v>23</v>
      </c>
    </row>
    <row r="332" spans="1:11" x14ac:dyDescent="0.35">
      <c r="A332" t="s">
        <v>14</v>
      </c>
      <c r="B332" t="s">
        <v>15</v>
      </c>
      <c r="C332" t="s">
        <v>1243</v>
      </c>
      <c r="D332" t="s">
        <v>17</v>
      </c>
      <c r="E332" t="s">
        <v>258</v>
      </c>
      <c r="F332" t="s">
        <v>19</v>
      </c>
      <c r="G332" t="s">
        <v>259</v>
      </c>
      <c r="H332" t="s">
        <v>21</v>
      </c>
      <c r="I332" t="s">
        <v>143</v>
      </c>
      <c r="J332">
        <v>5677</v>
      </c>
      <c r="K332" t="s">
        <v>23</v>
      </c>
    </row>
    <row r="333" spans="1:11" x14ac:dyDescent="0.35">
      <c r="A333" t="s">
        <v>14</v>
      </c>
      <c r="B333" t="s">
        <v>15</v>
      </c>
      <c r="C333" t="s">
        <v>1435</v>
      </c>
      <c r="D333" t="s">
        <v>17</v>
      </c>
      <c r="E333" t="s">
        <v>1436</v>
      </c>
      <c r="F333" t="s">
        <v>19</v>
      </c>
      <c r="G333" t="s">
        <v>1437</v>
      </c>
      <c r="H333" t="s">
        <v>21</v>
      </c>
      <c r="I333" t="s">
        <v>143</v>
      </c>
      <c r="J333">
        <v>7046</v>
      </c>
      <c r="K333" t="s">
        <v>23</v>
      </c>
    </row>
    <row r="334" spans="1:11" x14ac:dyDescent="0.35">
      <c r="A334" t="s">
        <v>14</v>
      </c>
      <c r="B334" t="s">
        <v>15</v>
      </c>
      <c r="C334" t="s">
        <v>1516</v>
      </c>
      <c r="D334" t="s">
        <v>17</v>
      </c>
      <c r="E334" t="s">
        <v>1436</v>
      </c>
      <c r="F334" t="s">
        <v>19</v>
      </c>
      <c r="G334" t="s">
        <v>1437</v>
      </c>
      <c r="H334" t="s">
        <v>21</v>
      </c>
      <c r="I334" t="s">
        <v>143</v>
      </c>
      <c r="J334">
        <v>7046</v>
      </c>
      <c r="K334" t="s">
        <v>23</v>
      </c>
    </row>
    <row r="335" spans="1:11" x14ac:dyDescent="0.35">
      <c r="A335" t="s">
        <v>14</v>
      </c>
      <c r="B335" t="s">
        <v>15</v>
      </c>
      <c r="C335" t="s">
        <v>1519</v>
      </c>
      <c r="D335" t="s">
        <v>17</v>
      </c>
      <c r="E335" t="s">
        <v>1520</v>
      </c>
      <c r="F335" t="s">
        <v>19</v>
      </c>
      <c r="G335" t="s">
        <v>1521</v>
      </c>
      <c r="H335" t="s">
        <v>21</v>
      </c>
      <c r="I335" t="s">
        <v>143</v>
      </c>
      <c r="J335">
        <v>5681</v>
      </c>
      <c r="K335" t="s">
        <v>23</v>
      </c>
    </row>
    <row r="336" spans="1:11" x14ac:dyDescent="0.35">
      <c r="A336" t="s">
        <v>14</v>
      </c>
      <c r="B336" t="s">
        <v>15</v>
      </c>
      <c r="C336" t="s">
        <v>1522</v>
      </c>
      <c r="D336" t="s">
        <v>17</v>
      </c>
      <c r="E336" t="s">
        <v>1523</v>
      </c>
      <c r="F336" t="s">
        <v>19</v>
      </c>
      <c r="G336" t="s">
        <v>1524</v>
      </c>
      <c r="H336" t="s">
        <v>21</v>
      </c>
      <c r="I336" t="s">
        <v>143</v>
      </c>
      <c r="J336">
        <v>5678</v>
      </c>
      <c r="K336" t="s">
        <v>23</v>
      </c>
    </row>
    <row r="337" spans="1:11" x14ac:dyDescent="0.35">
      <c r="A337" t="s">
        <v>14</v>
      </c>
      <c r="B337" t="s">
        <v>15</v>
      </c>
      <c r="C337" t="s">
        <v>1619</v>
      </c>
      <c r="D337" t="s">
        <v>17</v>
      </c>
      <c r="E337" t="s">
        <v>1534</v>
      </c>
      <c r="F337" t="s">
        <v>19</v>
      </c>
      <c r="G337" t="s">
        <v>1535</v>
      </c>
      <c r="H337" t="s">
        <v>21</v>
      </c>
      <c r="I337" t="s">
        <v>143</v>
      </c>
      <c r="J337">
        <v>8058</v>
      </c>
      <c r="K337" t="s">
        <v>23</v>
      </c>
    </row>
    <row r="338" spans="1:11" x14ac:dyDescent="0.35">
      <c r="A338" t="s">
        <v>14</v>
      </c>
      <c r="B338" t="s">
        <v>15</v>
      </c>
      <c r="C338" t="s">
        <v>1620</v>
      </c>
      <c r="D338" t="s">
        <v>17</v>
      </c>
      <c r="E338" t="s">
        <v>254</v>
      </c>
      <c r="F338" t="s">
        <v>19</v>
      </c>
      <c r="G338" t="s">
        <v>255</v>
      </c>
      <c r="H338" t="s">
        <v>21</v>
      </c>
      <c r="I338" t="s">
        <v>143</v>
      </c>
      <c r="J338">
        <v>5683</v>
      </c>
      <c r="K338" t="s">
        <v>23</v>
      </c>
    </row>
    <row r="339" spans="1:11" x14ac:dyDescent="0.35">
      <c r="A339" t="s">
        <v>14</v>
      </c>
      <c r="B339" t="s">
        <v>15</v>
      </c>
      <c r="C339" t="s">
        <v>1621</v>
      </c>
      <c r="D339" t="s">
        <v>17</v>
      </c>
      <c r="E339" t="s">
        <v>698</v>
      </c>
      <c r="F339" t="s">
        <v>19</v>
      </c>
      <c r="G339" t="s">
        <v>699</v>
      </c>
      <c r="H339" t="s">
        <v>21</v>
      </c>
      <c r="I339" t="s">
        <v>143</v>
      </c>
      <c r="J339">
        <v>5679</v>
      </c>
      <c r="K339" t="s">
        <v>23</v>
      </c>
    </row>
    <row r="340" spans="1:11" x14ac:dyDescent="0.35">
      <c r="A340" t="s">
        <v>14</v>
      </c>
      <c r="B340" t="s">
        <v>15</v>
      </c>
      <c r="C340" t="s">
        <v>1695</v>
      </c>
      <c r="D340" t="s">
        <v>17</v>
      </c>
      <c r="E340" t="s">
        <v>1520</v>
      </c>
      <c r="F340" t="s">
        <v>19</v>
      </c>
      <c r="G340" t="s">
        <v>1521</v>
      </c>
      <c r="H340" t="s">
        <v>21</v>
      </c>
      <c r="I340" t="s">
        <v>143</v>
      </c>
      <c r="J340">
        <v>5681</v>
      </c>
      <c r="K340" t="s">
        <v>23</v>
      </c>
    </row>
    <row r="341" spans="1:11" x14ac:dyDescent="0.35">
      <c r="A341" t="s">
        <v>14</v>
      </c>
      <c r="B341" t="s">
        <v>15</v>
      </c>
      <c r="C341" t="s">
        <v>1788</v>
      </c>
      <c r="D341" t="s">
        <v>17</v>
      </c>
      <c r="E341" t="s">
        <v>1720</v>
      </c>
      <c r="F341" t="s">
        <v>19</v>
      </c>
      <c r="G341" t="s">
        <v>1721</v>
      </c>
      <c r="H341" t="s">
        <v>21</v>
      </c>
      <c r="I341" t="s">
        <v>143</v>
      </c>
      <c r="J341">
        <v>8057</v>
      </c>
      <c r="K341" t="s">
        <v>23</v>
      </c>
    </row>
    <row r="342" spans="1:11" x14ac:dyDescent="0.35">
      <c r="A342" t="s">
        <v>14</v>
      </c>
      <c r="B342" t="s">
        <v>15</v>
      </c>
      <c r="C342" t="s">
        <v>1789</v>
      </c>
      <c r="D342" t="s">
        <v>17</v>
      </c>
      <c r="E342" t="s">
        <v>1634</v>
      </c>
      <c r="F342" t="s">
        <v>19</v>
      </c>
      <c r="G342" t="s">
        <v>1635</v>
      </c>
      <c r="H342" t="s">
        <v>21</v>
      </c>
      <c r="I342" t="s">
        <v>143</v>
      </c>
      <c r="J342">
        <v>8056</v>
      </c>
      <c r="K342" t="s">
        <v>23</v>
      </c>
    </row>
    <row r="343" spans="1:11" x14ac:dyDescent="0.35">
      <c r="A343" t="s">
        <v>14</v>
      </c>
      <c r="B343" t="s">
        <v>15</v>
      </c>
      <c r="C343" t="s">
        <v>1858</v>
      </c>
      <c r="D343" t="s">
        <v>17</v>
      </c>
      <c r="E343" t="s">
        <v>1523</v>
      </c>
      <c r="F343" t="s">
        <v>19</v>
      </c>
      <c r="G343" t="s">
        <v>1524</v>
      </c>
      <c r="H343" t="s">
        <v>21</v>
      </c>
      <c r="I343" t="s">
        <v>143</v>
      </c>
      <c r="J343">
        <v>5678</v>
      </c>
      <c r="K343" t="s">
        <v>23</v>
      </c>
    </row>
    <row r="344" spans="1:11" x14ac:dyDescent="0.35">
      <c r="A344" t="s">
        <v>14</v>
      </c>
      <c r="B344" t="s">
        <v>15</v>
      </c>
      <c r="C344" t="s">
        <v>1863</v>
      </c>
      <c r="D344" t="s">
        <v>17</v>
      </c>
      <c r="E344" t="s">
        <v>151</v>
      </c>
      <c r="F344" t="s">
        <v>19</v>
      </c>
      <c r="G344" t="s">
        <v>152</v>
      </c>
      <c r="H344" t="s">
        <v>21</v>
      </c>
      <c r="I344" t="s">
        <v>143</v>
      </c>
      <c r="J344">
        <v>5682</v>
      </c>
      <c r="K344" t="s">
        <v>23</v>
      </c>
    </row>
    <row r="345" spans="1:11" x14ac:dyDescent="0.35">
      <c r="A345" t="s">
        <v>317</v>
      </c>
      <c r="B345" t="s">
        <v>15</v>
      </c>
      <c r="C345" t="s">
        <v>1129</v>
      </c>
      <c r="D345" t="s">
        <v>319</v>
      </c>
      <c r="E345" t="s">
        <v>151</v>
      </c>
      <c r="F345" t="s">
        <v>19</v>
      </c>
      <c r="G345" t="s">
        <v>152</v>
      </c>
      <c r="H345" t="s">
        <v>21</v>
      </c>
      <c r="I345" t="s">
        <v>143</v>
      </c>
      <c r="J345">
        <v>5682</v>
      </c>
      <c r="K345" t="s">
        <v>673</v>
      </c>
    </row>
    <row r="346" spans="1:11" x14ac:dyDescent="0.35">
      <c r="A346" t="s">
        <v>317</v>
      </c>
      <c r="B346" t="s">
        <v>15</v>
      </c>
      <c r="C346" t="s">
        <v>1222</v>
      </c>
      <c r="D346" t="s">
        <v>319</v>
      </c>
      <c r="E346" t="s">
        <v>329</v>
      </c>
      <c r="F346" t="s">
        <v>19</v>
      </c>
      <c r="G346" t="s">
        <v>330</v>
      </c>
      <c r="H346" t="s">
        <v>21</v>
      </c>
      <c r="I346" t="s">
        <v>143</v>
      </c>
      <c r="J346">
        <v>5680</v>
      </c>
      <c r="K346" t="s">
        <v>673</v>
      </c>
    </row>
    <row r="347" spans="1:11" x14ac:dyDescent="0.35">
      <c r="A347" t="s">
        <v>317</v>
      </c>
      <c r="B347" t="s">
        <v>15</v>
      </c>
      <c r="C347" t="s">
        <v>1533</v>
      </c>
      <c r="D347" t="s">
        <v>319</v>
      </c>
      <c r="E347" t="s">
        <v>1534</v>
      </c>
      <c r="F347" t="s">
        <v>19</v>
      </c>
      <c r="G347" t="s">
        <v>1535</v>
      </c>
      <c r="H347" t="s">
        <v>21</v>
      </c>
      <c r="I347" t="s">
        <v>143</v>
      </c>
      <c r="J347">
        <v>8058</v>
      </c>
      <c r="K347" t="s">
        <v>673</v>
      </c>
    </row>
    <row r="348" spans="1:11" x14ac:dyDescent="0.35">
      <c r="A348" t="s">
        <v>317</v>
      </c>
      <c r="B348" t="s">
        <v>15</v>
      </c>
      <c r="C348" t="s">
        <v>1632</v>
      </c>
      <c r="D348" t="s">
        <v>319</v>
      </c>
      <c r="E348" t="s">
        <v>1523</v>
      </c>
      <c r="F348" t="s">
        <v>19</v>
      </c>
      <c r="G348" t="s">
        <v>1524</v>
      </c>
      <c r="H348" t="s">
        <v>21</v>
      </c>
      <c r="I348" t="s">
        <v>143</v>
      </c>
      <c r="J348">
        <v>5678</v>
      </c>
      <c r="K348" t="s">
        <v>673</v>
      </c>
    </row>
    <row r="349" spans="1:11" x14ac:dyDescent="0.35">
      <c r="A349" t="s">
        <v>317</v>
      </c>
      <c r="B349" t="s">
        <v>15</v>
      </c>
      <c r="C349" t="s">
        <v>1633</v>
      </c>
      <c r="D349" t="s">
        <v>319</v>
      </c>
      <c r="E349" t="s">
        <v>1634</v>
      </c>
      <c r="F349" t="s">
        <v>19</v>
      </c>
      <c r="G349" t="s">
        <v>1635</v>
      </c>
      <c r="H349" t="s">
        <v>21</v>
      </c>
      <c r="I349" t="s">
        <v>143</v>
      </c>
      <c r="J349">
        <v>8056</v>
      </c>
      <c r="K349" t="s">
        <v>673</v>
      </c>
    </row>
    <row r="350" spans="1:11" x14ac:dyDescent="0.35">
      <c r="A350" t="s">
        <v>317</v>
      </c>
      <c r="B350" t="s">
        <v>15</v>
      </c>
      <c r="C350" t="s">
        <v>1636</v>
      </c>
      <c r="D350" t="s">
        <v>319</v>
      </c>
      <c r="E350" t="s">
        <v>698</v>
      </c>
      <c r="F350" t="s">
        <v>19</v>
      </c>
      <c r="G350" t="s">
        <v>699</v>
      </c>
      <c r="H350" t="s">
        <v>21</v>
      </c>
      <c r="I350" t="s">
        <v>143</v>
      </c>
      <c r="J350">
        <v>5679</v>
      </c>
      <c r="K350" t="s">
        <v>673</v>
      </c>
    </row>
    <row r="351" spans="1:11" x14ac:dyDescent="0.35">
      <c r="A351" t="s">
        <v>317</v>
      </c>
      <c r="B351" t="s">
        <v>15</v>
      </c>
      <c r="C351" t="s">
        <v>1719</v>
      </c>
      <c r="D351" t="s">
        <v>319</v>
      </c>
      <c r="E351" t="s">
        <v>1720</v>
      </c>
      <c r="F351" t="s">
        <v>19</v>
      </c>
      <c r="G351" t="s">
        <v>1721</v>
      </c>
      <c r="H351" t="s">
        <v>21</v>
      </c>
      <c r="I351" t="s">
        <v>143</v>
      </c>
      <c r="J351">
        <v>8057</v>
      </c>
      <c r="K351" t="s">
        <v>673</v>
      </c>
    </row>
    <row r="352" spans="1:11" x14ac:dyDescent="0.35">
      <c r="A352" t="s">
        <v>317</v>
      </c>
      <c r="B352" t="s">
        <v>15</v>
      </c>
      <c r="C352" t="s">
        <v>1722</v>
      </c>
      <c r="D352" t="s">
        <v>319</v>
      </c>
      <c r="E352" t="s">
        <v>258</v>
      </c>
      <c r="F352" t="s">
        <v>19</v>
      </c>
      <c r="G352" t="s">
        <v>259</v>
      </c>
      <c r="H352" t="s">
        <v>21</v>
      </c>
      <c r="I352" t="s">
        <v>143</v>
      </c>
      <c r="J352">
        <v>5677</v>
      </c>
      <c r="K352" t="s">
        <v>673</v>
      </c>
    </row>
    <row r="353" spans="1:11" x14ac:dyDescent="0.35">
      <c r="A353" t="s">
        <v>317</v>
      </c>
      <c r="B353" t="s">
        <v>15</v>
      </c>
      <c r="C353" t="s">
        <v>1790</v>
      </c>
      <c r="D353" t="s">
        <v>319</v>
      </c>
      <c r="E353" t="s">
        <v>702</v>
      </c>
      <c r="F353" t="s">
        <v>19</v>
      </c>
      <c r="G353" t="s">
        <v>703</v>
      </c>
      <c r="H353" t="s">
        <v>21</v>
      </c>
      <c r="I353" t="s">
        <v>143</v>
      </c>
      <c r="J353">
        <v>5676</v>
      </c>
      <c r="K353" t="s">
        <v>23</v>
      </c>
    </row>
    <row r="354" spans="1:11" x14ac:dyDescent="0.35">
      <c r="A354" t="s">
        <v>317</v>
      </c>
      <c r="B354" t="s">
        <v>15</v>
      </c>
      <c r="C354" t="s">
        <v>1792</v>
      </c>
      <c r="D354" t="s">
        <v>319</v>
      </c>
      <c r="E354" t="s">
        <v>1199</v>
      </c>
      <c r="F354" t="s">
        <v>19</v>
      </c>
      <c r="G354" t="s">
        <v>1200</v>
      </c>
      <c r="H354" t="s">
        <v>21</v>
      </c>
      <c r="I354" t="s">
        <v>143</v>
      </c>
      <c r="J354">
        <v>7607</v>
      </c>
      <c r="K354" t="s">
        <v>673</v>
      </c>
    </row>
    <row r="355" spans="1:11" x14ac:dyDescent="0.35">
      <c r="A355" t="s">
        <v>317</v>
      </c>
      <c r="B355" t="s">
        <v>15</v>
      </c>
      <c r="C355" t="s">
        <v>1844</v>
      </c>
      <c r="D355" t="s">
        <v>319</v>
      </c>
      <c r="E355" t="s">
        <v>141</v>
      </c>
      <c r="F355" t="s">
        <v>19</v>
      </c>
      <c r="G355" t="s">
        <v>142</v>
      </c>
      <c r="H355" t="s">
        <v>21</v>
      </c>
      <c r="I355" t="s">
        <v>143</v>
      </c>
      <c r="J355">
        <v>7045</v>
      </c>
      <c r="K355" t="s">
        <v>673</v>
      </c>
    </row>
    <row r="356" spans="1:11" x14ac:dyDescent="0.35">
      <c r="A356" t="s">
        <v>317</v>
      </c>
      <c r="B356" t="s">
        <v>15</v>
      </c>
      <c r="C356" t="s">
        <v>1845</v>
      </c>
      <c r="D356" t="s">
        <v>319</v>
      </c>
      <c r="E356" t="s">
        <v>1520</v>
      </c>
      <c r="F356" t="s">
        <v>19</v>
      </c>
      <c r="G356" t="s">
        <v>1521</v>
      </c>
      <c r="H356" t="s">
        <v>21</v>
      </c>
      <c r="I356" t="s">
        <v>143</v>
      </c>
      <c r="J356">
        <v>5681</v>
      </c>
      <c r="K356" t="s">
        <v>673</v>
      </c>
    </row>
    <row r="357" spans="1:11" x14ac:dyDescent="0.35">
      <c r="A357" t="s">
        <v>317</v>
      </c>
      <c r="B357" t="s">
        <v>15</v>
      </c>
      <c r="C357" t="s">
        <v>1859</v>
      </c>
      <c r="D357" t="s">
        <v>319</v>
      </c>
      <c r="E357" t="s">
        <v>1075</v>
      </c>
      <c r="F357" t="s">
        <v>19</v>
      </c>
      <c r="G357" t="s">
        <v>1076</v>
      </c>
      <c r="H357" t="s">
        <v>21</v>
      </c>
      <c r="I357" t="s">
        <v>143</v>
      </c>
      <c r="J357">
        <v>7606</v>
      </c>
      <c r="K357" t="s">
        <v>23</v>
      </c>
    </row>
    <row r="358" spans="1:11" x14ac:dyDescent="0.35">
      <c r="A358" t="s">
        <v>317</v>
      </c>
      <c r="B358" t="s">
        <v>15</v>
      </c>
      <c r="C358" t="s">
        <v>1870</v>
      </c>
      <c r="D358" t="s">
        <v>319</v>
      </c>
      <c r="E358" t="s">
        <v>254</v>
      </c>
      <c r="F358" t="s">
        <v>19</v>
      </c>
      <c r="G358" t="s">
        <v>255</v>
      </c>
      <c r="H358" t="s">
        <v>21</v>
      </c>
      <c r="I358" t="s">
        <v>143</v>
      </c>
      <c r="J358">
        <v>5683</v>
      </c>
      <c r="K358" t="s">
        <v>673</v>
      </c>
    </row>
    <row r="359" spans="1:11" x14ac:dyDescent="0.35">
      <c r="A359" t="s">
        <v>14</v>
      </c>
      <c r="B359" t="s">
        <v>32</v>
      </c>
      <c r="C359" t="s">
        <v>1080</v>
      </c>
      <c r="D359" t="s">
        <v>17</v>
      </c>
      <c r="E359" t="s">
        <v>547</v>
      </c>
      <c r="F359" t="s">
        <v>19</v>
      </c>
      <c r="G359" t="s">
        <v>35</v>
      </c>
      <c r="H359" t="s">
        <v>21</v>
      </c>
      <c r="I359" t="s">
        <v>322</v>
      </c>
      <c r="J359">
        <v>315</v>
      </c>
      <c r="K359" t="s">
        <v>23</v>
      </c>
    </row>
    <row r="360" spans="1:11" x14ac:dyDescent="0.35">
      <c r="A360" t="s">
        <v>14</v>
      </c>
      <c r="B360" t="s">
        <v>32</v>
      </c>
      <c r="C360" t="s">
        <v>1585</v>
      </c>
      <c r="D360" t="s">
        <v>17</v>
      </c>
      <c r="E360" t="s">
        <v>547</v>
      </c>
      <c r="F360" t="s">
        <v>19</v>
      </c>
      <c r="G360" t="s">
        <v>35</v>
      </c>
      <c r="H360" t="s">
        <v>21</v>
      </c>
      <c r="I360" t="s">
        <v>322</v>
      </c>
      <c r="J360">
        <v>315</v>
      </c>
      <c r="K360" t="s">
        <v>23</v>
      </c>
    </row>
    <row r="361" spans="1:11" x14ac:dyDescent="0.35">
      <c r="A361" t="s">
        <v>317</v>
      </c>
      <c r="B361" t="s">
        <v>32</v>
      </c>
      <c r="C361" t="s">
        <v>1355</v>
      </c>
      <c r="D361" t="s">
        <v>319</v>
      </c>
      <c r="E361" t="s">
        <v>547</v>
      </c>
      <c r="F361" t="s">
        <v>19</v>
      </c>
      <c r="G361" t="s">
        <v>35</v>
      </c>
      <c r="H361" t="s">
        <v>21</v>
      </c>
      <c r="I361" t="s">
        <v>322</v>
      </c>
      <c r="J361">
        <v>315</v>
      </c>
      <c r="K361" t="s">
        <v>673</v>
      </c>
    </row>
    <row r="362" spans="1:11" x14ac:dyDescent="0.35">
      <c r="A362" t="s">
        <v>317</v>
      </c>
      <c r="B362" t="s">
        <v>32</v>
      </c>
      <c r="C362" t="s">
        <v>1752</v>
      </c>
      <c r="D362" t="s">
        <v>319</v>
      </c>
      <c r="E362" t="s">
        <v>547</v>
      </c>
      <c r="F362" t="s">
        <v>19</v>
      </c>
      <c r="G362" t="s">
        <v>35</v>
      </c>
      <c r="H362" t="s">
        <v>21</v>
      </c>
      <c r="I362" t="s">
        <v>322</v>
      </c>
      <c r="J362">
        <v>315</v>
      </c>
      <c r="K362" t="s">
        <v>673</v>
      </c>
    </row>
    <row r="363" spans="1:11" x14ac:dyDescent="0.35">
      <c r="A363" t="s">
        <v>317</v>
      </c>
      <c r="B363" t="s">
        <v>32</v>
      </c>
      <c r="C363" t="s">
        <v>1780</v>
      </c>
      <c r="D363" t="s">
        <v>319</v>
      </c>
      <c r="E363" t="s">
        <v>547</v>
      </c>
      <c r="F363" t="s">
        <v>19</v>
      </c>
      <c r="G363" t="s">
        <v>35</v>
      </c>
      <c r="H363" t="s">
        <v>21</v>
      </c>
      <c r="I363" t="s">
        <v>322</v>
      </c>
      <c r="J363">
        <v>315</v>
      </c>
      <c r="K363" t="s">
        <v>673</v>
      </c>
    </row>
    <row r="364" spans="1:11" x14ac:dyDescent="0.35">
      <c r="A364" t="s">
        <v>74</v>
      </c>
      <c r="B364" t="s">
        <v>32</v>
      </c>
      <c r="C364" t="s">
        <v>546</v>
      </c>
      <c r="D364" t="s">
        <v>76</v>
      </c>
      <c r="E364" t="s">
        <v>547</v>
      </c>
      <c r="F364" t="s">
        <v>19</v>
      </c>
      <c r="G364" t="s">
        <v>35</v>
      </c>
      <c r="H364" t="s">
        <v>21</v>
      </c>
      <c r="I364" t="s">
        <v>322</v>
      </c>
      <c r="J364">
        <v>315</v>
      </c>
      <c r="K364" t="s">
        <v>23</v>
      </c>
    </row>
    <row r="365" spans="1:11" x14ac:dyDescent="0.35">
      <c r="A365" t="s">
        <v>14</v>
      </c>
      <c r="B365" t="s">
        <v>53</v>
      </c>
      <c r="C365" t="s">
        <v>1352</v>
      </c>
      <c r="D365" t="s">
        <v>17</v>
      </c>
      <c r="E365" t="s">
        <v>1001</v>
      </c>
      <c r="F365" t="s">
        <v>19</v>
      </c>
      <c r="G365" t="s">
        <v>56</v>
      </c>
      <c r="H365" t="s">
        <v>21</v>
      </c>
      <c r="I365" t="s">
        <v>322</v>
      </c>
      <c r="J365">
        <v>2239</v>
      </c>
      <c r="K365" t="s">
        <v>23</v>
      </c>
    </row>
    <row r="366" spans="1:11" x14ac:dyDescent="0.35">
      <c r="A366" t="s">
        <v>317</v>
      </c>
      <c r="B366" t="s">
        <v>53</v>
      </c>
      <c r="C366" t="s">
        <v>1000</v>
      </c>
      <c r="D366" t="s">
        <v>319</v>
      </c>
      <c r="E366" t="s">
        <v>1001</v>
      </c>
      <c r="F366" t="s">
        <v>19</v>
      </c>
      <c r="G366" t="s">
        <v>56</v>
      </c>
      <c r="H366" t="s">
        <v>21</v>
      </c>
      <c r="I366" t="s">
        <v>322</v>
      </c>
      <c r="J366">
        <v>2239</v>
      </c>
      <c r="K366" t="s">
        <v>673</v>
      </c>
    </row>
    <row r="367" spans="1:11" x14ac:dyDescent="0.35">
      <c r="A367" t="s">
        <v>14</v>
      </c>
      <c r="B367" t="s">
        <v>15</v>
      </c>
      <c r="C367" t="s">
        <v>324</v>
      </c>
      <c r="D367" t="s">
        <v>17</v>
      </c>
      <c r="E367" t="s">
        <v>325</v>
      </c>
      <c r="F367" t="s">
        <v>19</v>
      </c>
      <c r="G367" t="s">
        <v>326</v>
      </c>
      <c r="H367" t="s">
        <v>21</v>
      </c>
      <c r="I367" t="s">
        <v>322</v>
      </c>
      <c r="J367">
        <v>5716</v>
      </c>
      <c r="K367" t="s">
        <v>23</v>
      </c>
    </row>
    <row r="368" spans="1:11" x14ac:dyDescent="0.35">
      <c r="A368" t="s">
        <v>14</v>
      </c>
      <c r="B368" t="s">
        <v>15</v>
      </c>
      <c r="C368" t="s">
        <v>450</v>
      </c>
      <c r="D368" t="s">
        <v>17</v>
      </c>
      <c r="E368" t="s">
        <v>451</v>
      </c>
      <c r="F368" t="s">
        <v>19</v>
      </c>
      <c r="G368" t="s">
        <v>452</v>
      </c>
      <c r="H368" t="s">
        <v>21</v>
      </c>
      <c r="I368" t="s">
        <v>322</v>
      </c>
      <c r="J368">
        <v>7048</v>
      </c>
      <c r="K368" t="s">
        <v>23</v>
      </c>
    </row>
    <row r="369" spans="1:11" x14ac:dyDescent="0.35">
      <c r="A369" t="s">
        <v>14</v>
      </c>
      <c r="B369" t="s">
        <v>15</v>
      </c>
      <c r="C369" t="s">
        <v>477</v>
      </c>
      <c r="D369" t="s">
        <v>17</v>
      </c>
      <c r="E369" t="s">
        <v>478</v>
      </c>
      <c r="F369" t="s">
        <v>19</v>
      </c>
      <c r="G369" t="s">
        <v>479</v>
      </c>
      <c r="H369" t="s">
        <v>21</v>
      </c>
      <c r="I369" t="s">
        <v>322</v>
      </c>
      <c r="J369">
        <v>5715</v>
      </c>
      <c r="K369" t="s">
        <v>23</v>
      </c>
    </row>
    <row r="370" spans="1:11" x14ac:dyDescent="0.35">
      <c r="A370" t="s">
        <v>14</v>
      </c>
      <c r="B370" t="s">
        <v>15</v>
      </c>
      <c r="C370" t="s">
        <v>686</v>
      </c>
      <c r="D370" t="s">
        <v>17</v>
      </c>
      <c r="E370" t="s">
        <v>687</v>
      </c>
      <c r="F370" t="s">
        <v>19</v>
      </c>
      <c r="G370" t="s">
        <v>688</v>
      </c>
      <c r="H370" t="s">
        <v>21</v>
      </c>
      <c r="I370" t="s">
        <v>322</v>
      </c>
      <c r="J370">
        <v>5720</v>
      </c>
      <c r="K370" t="s">
        <v>23</v>
      </c>
    </row>
    <row r="371" spans="1:11" x14ac:dyDescent="0.35">
      <c r="A371" t="s">
        <v>14</v>
      </c>
      <c r="B371" t="s">
        <v>15</v>
      </c>
      <c r="C371" t="s">
        <v>797</v>
      </c>
      <c r="D371" t="s">
        <v>17</v>
      </c>
      <c r="E371" t="s">
        <v>325</v>
      </c>
      <c r="F371" t="s">
        <v>19</v>
      </c>
      <c r="G371" t="s">
        <v>326</v>
      </c>
      <c r="H371" t="s">
        <v>21</v>
      </c>
      <c r="I371" t="s">
        <v>322</v>
      </c>
      <c r="J371">
        <v>5716</v>
      </c>
      <c r="K371" t="s">
        <v>23</v>
      </c>
    </row>
    <row r="372" spans="1:11" x14ac:dyDescent="0.35">
      <c r="A372" t="s">
        <v>14</v>
      </c>
      <c r="B372" t="s">
        <v>15</v>
      </c>
      <c r="C372" t="s">
        <v>990</v>
      </c>
      <c r="D372" t="s">
        <v>17</v>
      </c>
      <c r="E372" t="s">
        <v>991</v>
      </c>
      <c r="F372" t="s">
        <v>19</v>
      </c>
      <c r="G372" t="s">
        <v>992</v>
      </c>
      <c r="H372" t="s">
        <v>21</v>
      </c>
      <c r="I372" t="s">
        <v>322</v>
      </c>
      <c r="J372">
        <v>3553</v>
      </c>
      <c r="K372" t="s">
        <v>23</v>
      </c>
    </row>
    <row r="373" spans="1:11" x14ac:dyDescent="0.35">
      <c r="A373" t="s">
        <v>14</v>
      </c>
      <c r="B373" t="s">
        <v>15</v>
      </c>
      <c r="C373" t="s">
        <v>994</v>
      </c>
      <c r="D373" t="s">
        <v>17</v>
      </c>
      <c r="E373" t="s">
        <v>995</v>
      </c>
      <c r="F373" t="s">
        <v>19</v>
      </c>
      <c r="G373" t="s">
        <v>996</v>
      </c>
      <c r="H373" t="s">
        <v>21</v>
      </c>
      <c r="I373" t="s">
        <v>322</v>
      </c>
      <c r="J373">
        <v>5719</v>
      </c>
      <c r="K373" t="s">
        <v>23</v>
      </c>
    </row>
    <row r="374" spans="1:11" x14ac:dyDescent="0.35">
      <c r="A374" t="s">
        <v>14</v>
      </c>
      <c r="B374" t="s">
        <v>15</v>
      </c>
      <c r="C374" t="s">
        <v>998</v>
      </c>
      <c r="D374" t="s">
        <v>17</v>
      </c>
      <c r="E374" t="s">
        <v>478</v>
      </c>
      <c r="F374" t="s">
        <v>19</v>
      </c>
      <c r="G374" t="s">
        <v>479</v>
      </c>
      <c r="H374" t="s">
        <v>21</v>
      </c>
      <c r="I374" t="s">
        <v>322</v>
      </c>
      <c r="J374">
        <v>5715</v>
      </c>
      <c r="K374" t="s">
        <v>23</v>
      </c>
    </row>
    <row r="375" spans="1:11" x14ac:dyDescent="0.35">
      <c r="A375" t="s">
        <v>14</v>
      </c>
      <c r="B375" t="s">
        <v>15</v>
      </c>
      <c r="C375" t="s">
        <v>1344</v>
      </c>
      <c r="D375" t="s">
        <v>17</v>
      </c>
      <c r="E375" t="s">
        <v>1345</v>
      </c>
      <c r="F375" t="s">
        <v>19</v>
      </c>
      <c r="G375" t="s">
        <v>1346</v>
      </c>
      <c r="H375" t="s">
        <v>21</v>
      </c>
      <c r="I375" t="s">
        <v>322</v>
      </c>
      <c r="J375">
        <v>5717</v>
      </c>
      <c r="K375" t="s">
        <v>23</v>
      </c>
    </row>
    <row r="376" spans="1:11" x14ac:dyDescent="0.35">
      <c r="A376" t="s">
        <v>14</v>
      </c>
      <c r="B376" t="s">
        <v>15</v>
      </c>
      <c r="C376" t="s">
        <v>1348</v>
      </c>
      <c r="D376" t="s">
        <v>17</v>
      </c>
      <c r="E376" t="s">
        <v>1349</v>
      </c>
      <c r="F376" t="s">
        <v>19</v>
      </c>
      <c r="G376" t="s">
        <v>1350</v>
      </c>
      <c r="H376" t="s">
        <v>21</v>
      </c>
      <c r="I376" t="s">
        <v>322</v>
      </c>
      <c r="J376">
        <v>7049</v>
      </c>
      <c r="K376" t="s">
        <v>23</v>
      </c>
    </row>
    <row r="377" spans="1:11" x14ac:dyDescent="0.35">
      <c r="A377" t="s">
        <v>14</v>
      </c>
      <c r="B377" t="s">
        <v>15</v>
      </c>
      <c r="C377" t="s">
        <v>1576</v>
      </c>
      <c r="D377" t="s">
        <v>17</v>
      </c>
      <c r="E377" t="s">
        <v>1577</v>
      </c>
      <c r="F377" t="s">
        <v>19</v>
      </c>
      <c r="G377" t="s">
        <v>1578</v>
      </c>
      <c r="H377" t="s">
        <v>21</v>
      </c>
      <c r="I377" t="s">
        <v>322</v>
      </c>
      <c r="J377">
        <v>7106</v>
      </c>
      <c r="K377" t="s">
        <v>23</v>
      </c>
    </row>
    <row r="378" spans="1:11" x14ac:dyDescent="0.35">
      <c r="A378" t="s">
        <v>14</v>
      </c>
      <c r="B378" t="s">
        <v>15</v>
      </c>
      <c r="C378" t="s">
        <v>1743</v>
      </c>
      <c r="D378" t="s">
        <v>17</v>
      </c>
      <c r="E378" t="s">
        <v>1744</v>
      </c>
      <c r="F378" t="s">
        <v>19</v>
      </c>
      <c r="G378" t="s">
        <v>1745</v>
      </c>
      <c r="H378" t="s">
        <v>21</v>
      </c>
      <c r="I378" t="s">
        <v>322</v>
      </c>
      <c r="J378">
        <v>7915</v>
      </c>
      <c r="K378" t="s">
        <v>23</v>
      </c>
    </row>
    <row r="379" spans="1:11" x14ac:dyDescent="0.35">
      <c r="A379" t="s">
        <v>14</v>
      </c>
      <c r="B379" t="s">
        <v>15</v>
      </c>
      <c r="C379" t="s">
        <v>1746</v>
      </c>
      <c r="D379" t="s">
        <v>17</v>
      </c>
      <c r="E379" t="s">
        <v>1744</v>
      </c>
      <c r="F379" t="s">
        <v>19</v>
      </c>
      <c r="G379" t="s">
        <v>1745</v>
      </c>
      <c r="H379" t="s">
        <v>21</v>
      </c>
      <c r="I379" t="s">
        <v>322</v>
      </c>
      <c r="J379">
        <v>7915</v>
      </c>
      <c r="K379" t="s">
        <v>23</v>
      </c>
    </row>
    <row r="380" spans="1:11" x14ac:dyDescent="0.35">
      <c r="A380" t="s">
        <v>14</v>
      </c>
      <c r="B380" t="s">
        <v>15</v>
      </c>
      <c r="C380" t="s">
        <v>1747</v>
      </c>
      <c r="D380" t="s">
        <v>17</v>
      </c>
      <c r="E380" t="s">
        <v>687</v>
      </c>
      <c r="F380" t="s">
        <v>19</v>
      </c>
      <c r="G380" t="s">
        <v>688</v>
      </c>
      <c r="H380" t="s">
        <v>21</v>
      </c>
      <c r="I380" t="s">
        <v>322</v>
      </c>
      <c r="J380">
        <v>5720</v>
      </c>
      <c r="K380" t="s">
        <v>23</v>
      </c>
    </row>
    <row r="381" spans="1:11" x14ac:dyDescent="0.35">
      <c r="A381" t="s">
        <v>14</v>
      </c>
      <c r="B381" t="s">
        <v>15</v>
      </c>
      <c r="C381" t="s">
        <v>1765</v>
      </c>
      <c r="D381" t="s">
        <v>17</v>
      </c>
      <c r="E381" t="s">
        <v>320</v>
      </c>
      <c r="F381" t="s">
        <v>19</v>
      </c>
      <c r="G381" t="s">
        <v>321</v>
      </c>
      <c r="H381" t="s">
        <v>21</v>
      </c>
      <c r="I381" t="s">
        <v>322</v>
      </c>
      <c r="J381">
        <v>5713</v>
      </c>
      <c r="K381" t="s">
        <v>23</v>
      </c>
    </row>
    <row r="382" spans="1:11" x14ac:dyDescent="0.35">
      <c r="A382" t="s">
        <v>14</v>
      </c>
      <c r="B382" t="s">
        <v>15</v>
      </c>
      <c r="C382" t="s">
        <v>1813</v>
      </c>
      <c r="D382" t="s">
        <v>17</v>
      </c>
      <c r="E382" t="s">
        <v>1345</v>
      </c>
      <c r="F382" t="s">
        <v>19</v>
      </c>
      <c r="G382" t="s">
        <v>1346</v>
      </c>
      <c r="H382" t="s">
        <v>21</v>
      </c>
      <c r="I382" t="s">
        <v>322</v>
      </c>
      <c r="J382">
        <v>5717</v>
      </c>
      <c r="K382" t="s">
        <v>23</v>
      </c>
    </row>
    <row r="383" spans="1:11" x14ac:dyDescent="0.35">
      <c r="A383" t="s">
        <v>14</v>
      </c>
      <c r="B383" t="s">
        <v>15</v>
      </c>
      <c r="C383" t="s">
        <v>1814</v>
      </c>
      <c r="D383" t="s">
        <v>17</v>
      </c>
      <c r="E383" t="s">
        <v>991</v>
      </c>
      <c r="F383" t="s">
        <v>19</v>
      </c>
      <c r="G383" t="s">
        <v>992</v>
      </c>
      <c r="H383" t="s">
        <v>21</v>
      </c>
      <c r="I383" t="s">
        <v>322</v>
      </c>
      <c r="J383">
        <v>3553</v>
      </c>
      <c r="K383" t="s">
        <v>23</v>
      </c>
    </row>
    <row r="384" spans="1:11" x14ac:dyDescent="0.35">
      <c r="A384" t="s">
        <v>317</v>
      </c>
      <c r="B384" t="s">
        <v>15</v>
      </c>
      <c r="C384" t="s">
        <v>318</v>
      </c>
      <c r="D384" t="s">
        <v>319</v>
      </c>
      <c r="E384" t="s">
        <v>320</v>
      </c>
      <c r="F384" t="s">
        <v>19</v>
      </c>
      <c r="G384" t="s">
        <v>321</v>
      </c>
      <c r="H384" t="s">
        <v>21</v>
      </c>
      <c r="I384" t="s">
        <v>322</v>
      </c>
      <c r="J384">
        <v>5713</v>
      </c>
      <c r="K384" t="s">
        <v>23</v>
      </c>
    </row>
    <row r="385" spans="1:11" x14ac:dyDescent="0.35">
      <c r="A385" t="s">
        <v>317</v>
      </c>
      <c r="B385" t="s">
        <v>15</v>
      </c>
      <c r="C385" t="s">
        <v>1003</v>
      </c>
      <c r="D385" t="s">
        <v>319</v>
      </c>
      <c r="E385" t="s">
        <v>995</v>
      </c>
      <c r="F385" t="s">
        <v>19</v>
      </c>
      <c r="G385" t="s">
        <v>996</v>
      </c>
      <c r="H385" t="s">
        <v>21</v>
      </c>
      <c r="I385" t="s">
        <v>322</v>
      </c>
      <c r="J385">
        <v>5719</v>
      </c>
      <c r="K385" t="s">
        <v>673</v>
      </c>
    </row>
    <row r="386" spans="1:11" x14ac:dyDescent="0.35">
      <c r="A386" t="s">
        <v>317</v>
      </c>
      <c r="B386" t="s">
        <v>15</v>
      </c>
      <c r="C386" t="s">
        <v>1354</v>
      </c>
      <c r="D386" t="s">
        <v>319</v>
      </c>
      <c r="E386" t="s">
        <v>451</v>
      </c>
      <c r="F386" t="s">
        <v>19</v>
      </c>
      <c r="G386" t="s">
        <v>452</v>
      </c>
      <c r="H386" t="s">
        <v>21</v>
      </c>
      <c r="I386" t="s">
        <v>322</v>
      </c>
      <c r="J386">
        <v>7048</v>
      </c>
      <c r="K386" t="s">
        <v>673</v>
      </c>
    </row>
    <row r="387" spans="1:11" x14ac:dyDescent="0.35">
      <c r="A387" t="s">
        <v>317</v>
      </c>
      <c r="B387" t="s">
        <v>15</v>
      </c>
      <c r="C387" t="s">
        <v>1357</v>
      </c>
      <c r="D387" t="s">
        <v>319</v>
      </c>
      <c r="E387" t="s">
        <v>1349</v>
      </c>
      <c r="F387" t="s">
        <v>19</v>
      </c>
      <c r="G387" t="s">
        <v>1350</v>
      </c>
      <c r="H387" t="s">
        <v>21</v>
      </c>
      <c r="I387" t="s">
        <v>322</v>
      </c>
      <c r="J387">
        <v>7049</v>
      </c>
      <c r="K387" t="s">
        <v>673</v>
      </c>
    </row>
    <row r="388" spans="1:11" x14ac:dyDescent="0.35">
      <c r="A388" t="s">
        <v>317</v>
      </c>
      <c r="B388" t="s">
        <v>15</v>
      </c>
      <c r="C388" t="s">
        <v>1593</v>
      </c>
      <c r="D388" t="s">
        <v>319</v>
      </c>
      <c r="E388" t="s">
        <v>1577</v>
      </c>
      <c r="F388" t="s">
        <v>19</v>
      </c>
      <c r="G388" t="s">
        <v>1578</v>
      </c>
      <c r="H388" t="s">
        <v>21</v>
      </c>
      <c r="I388" t="s">
        <v>322</v>
      </c>
      <c r="J388">
        <v>7106</v>
      </c>
      <c r="K388" t="s">
        <v>673</v>
      </c>
    </row>
    <row r="389" spans="1:11" x14ac:dyDescent="0.35">
      <c r="A389" t="s">
        <v>317</v>
      </c>
      <c r="B389" t="s">
        <v>15</v>
      </c>
      <c r="C389" t="s">
        <v>1594</v>
      </c>
      <c r="D389" t="s">
        <v>319</v>
      </c>
      <c r="E389" t="s">
        <v>1345</v>
      </c>
      <c r="F389" t="s">
        <v>19</v>
      </c>
      <c r="G389" t="s">
        <v>1346</v>
      </c>
      <c r="H389" t="s">
        <v>21</v>
      </c>
      <c r="I389" t="s">
        <v>322</v>
      </c>
      <c r="J389">
        <v>5717</v>
      </c>
      <c r="K389" t="s">
        <v>673</v>
      </c>
    </row>
    <row r="390" spans="1:11" x14ac:dyDescent="0.35">
      <c r="A390" t="s">
        <v>317</v>
      </c>
      <c r="B390" t="s">
        <v>15</v>
      </c>
      <c r="C390" t="s">
        <v>1595</v>
      </c>
      <c r="D390" t="s">
        <v>319</v>
      </c>
      <c r="E390" t="s">
        <v>991</v>
      </c>
      <c r="F390" t="s">
        <v>19</v>
      </c>
      <c r="G390" t="s">
        <v>992</v>
      </c>
      <c r="H390" t="s">
        <v>21</v>
      </c>
      <c r="I390" t="s">
        <v>322</v>
      </c>
      <c r="J390">
        <v>3553</v>
      </c>
      <c r="K390" t="s">
        <v>673</v>
      </c>
    </row>
    <row r="391" spans="1:11" x14ac:dyDescent="0.35">
      <c r="A391" t="s">
        <v>317</v>
      </c>
      <c r="B391" t="s">
        <v>15</v>
      </c>
      <c r="C391" t="s">
        <v>1750</v>
      </c>
      <c r="D391" t="s">
        <v>319</v>
      </c>
      <c r="E391" t="s">
        <v>478</v>
      </c>
      <c r="F391" t="s">
        <v>19</v>
      </c>
      <c r="G391" t="s">
        <v>479</v>
      </c>
      <c r="H391" t="s">
        <v>21</v>
      </c>
      <c r="I391" t="s">
        <v>322</v>
      </c>
      <c r="J391">
        <v>5715</v>
      </c>
      <c r="K391" t="s">
        <v>673</v>
      </c>
    </row>
    <row r="392" spans="1:11" x14ac:dyDescent="0.35">
      <c r="A392" t="s">
        <v>317</v>
      </c>
      <c r="B392" t="s">
        <v>15</v>
      </c>
      <c r="C392" t="s">
        <v>1753</v>
      </c>
      <c r="D392" t="s">
        <v>319</v>
      </c>
      <c r="E392" t="s">
        <v>1744</v>
      </c>
      <c r="F392" t="s">
        <v>19</v>
      </c>
      <c r="G392" t="s">
        <v>1745</v>
      </c>
      <c r="H392" t="s">
        <v>21</v>
      </c>
      <c r="I392" t="s">
        <v>322</v>
      </c>
      <c r="J392">
        <v>7915</v>
      </c>
      <c r="K392" t="s">
        <v>673</v>
      </c>
    </row>
    <row r="393" spans="1:11" x14ac:dyDescent="0.35">
      <c r="A393" t="s">
        <v>317</v>
      </c>
      <c r="B393" t="s">
        <v>15</v>
      </c>
      <c r="C393" t="s">
        <v>1754</v>
      </c>
      <c r="D393" t="s">
        <v>319</v>
      </c>
      <c r="E393" t="s">
        <v>325</v>
      </c>
      <c r="F393" t="s">
        <v>19</v>
      </c>
      <c r="G393" t="s">
        <v>326</v>
      </c>
      <c r="H393" t="s">
        <v>21</v>
      </c>
      <c r="I393" t="s">
        <v>322</v>
      </c>
      <c r="J393">
        <v>5716</v>
      </c>
      <c r="K393" t="s">
        <v>673</v>
      </c>
    </row>
    <row r="394" spans="1:11" x14ac:dyDescent="0.35">
      <c r="A394" t="s">
        <v>317</v>
      </c>
      <c r="B394" t="s">
        <v>15</v>
      </c>
      <c r="C394" t="s">
        <v>1891</v>
      </c>
      <c r="D394" t="s">
        <v>319</v>
      </c>
      <c r="E394" t="s">
        <v>687</v>
      </c>
      <c r="F394" t="s">
        <v>19</v>
      </c>
      <c r="G394" t="s">
        <v>688</v>
      </c>
      <c r="H394" t="s">
        <v>21</v>
      </c>
      <c r="I394" t="s">
        <v>322</v>
      </c>
      <c r="J394">
        <v>5720</v>
      </c>
      <c r="K394" t="s">
        <v>673</v>
      </c>
    </row>
    <row r="395" spans="1:11" x14ac:dyDescent="0.35">
      <c r="A395" t="s">
        <v>14</v>
      </c>
      <c r="B395" t="s">
        <v>32</v>
      </c>
      <c r="C395" t="s">
        <v>1148</v>
      </c>
      <c r="D395" t="s">
        <v>17</v>
      </c>
      <c r="E395" t="s">
        <v>168</v>
      </c>
      <c r="F395" t="s">
        <v>19</v>
      </c>
      <c r="G395" t="s">
        <v>35</v>
      </c>
      <c r="H395" t="s">
        <v>21</v>
      </c>
      <c r="I395" t="s">
        <v>169</v>
      </c>
      <c r="J395">
        <v>160</v>
      </c>
      <c r="K395" t="s">
        <v>23</v>
      </c>
    </row>
    <row r="396" spans="1:11" x14ac:dyDescent="0.35">
      <c r="A396" t="s">
        <v>14</v>
      </c>
      <c r="B396" t="s">
        <v>32</v>
      </c>
      <c r="C396" t="s">
        <v>1884</v>
      </c>
      <c r="D396" t="s">
        <v>17</v>
      </c>
      <c r="E396" t="s">
        <v>168</v>
      </c>
      <c r="F396" t="s">
        <v>19</v>
      </c>
      <c r="G396" t="s">
        <v>35</v>
      </c>
      <c r="H396" t="s">
        <v>21</v>
      </c>
      <c r="I396" t="s">
        <v>169</v>
      </c>
      <c r="J396">
        <v>160</v>
      </c>
      <c r="K396" t="s">
        <v>23</v>
      </c>
    </row>
    <row r="397" spans="1:11" x14ac:dyDescent="0.35">
      <c r="A397" t="s">
        <v>317</v>
      </c>
      <c r="B397" t="s">
        <v>32</v>
      </c>
      <c r="C397" t="s">
        <v>1513</v>
      </c>
      <c r="D397" t="s">
        <v>319</v>
      </c>
      <c r="E397" t="s">
        <v>168</v>
      </c>
      <c r="F397" t="s">
        <v>19</v>
      </c>
      <c r="G397" t="s">
        <v>35</v>
      </c>
      <c r="H397" t="s">
        <v>21</v>
      </c>
      <c r="I397" t="s">
        <v>169</v>
      </c>
      <c r="J397">
        <v>160</v>
      </c>
      <c r="K397" t="s">
        <v>673</v>
      </c>
    </row>
    <row r="398" spans="1:11" x14ac:dyDescent="0.35">
      <c r="A398" t="s">
        <v>317</v>
      </c>
      <c r="B398" t="s">
        <v>32</v>
      </c>
      <c r="C398" t="s">
        <v>1782</v>
      </c>
      <c r="D398" t="s">
        <v>319</v>
      </c>
      <c r="E398" t="s">
        <v>168</v>
      </c>
      <c r="F398" t="s">
        <v>19</v>
      </c>
      <c r="G398" t="s">
        <v>35</v>
      </c>
      <c r="H398" t="s">
        <v>21</v>
      </c>
      <c r="I398" t="s">
        <v>169</v>
      </c>
      <c r="J398">
        <v>160</v>
      </c>
      <c r="K398" t="s">
        <v>673</v>
      </c>
    </row>
    <row r="399" spans="1:11" x14ac:dyDescent="0.35">
      <c r="A399" t="s">
        <v>317</v>
      </c>
      <c r="B399" t="s">
        <v>32</v>
      </c>
      <c r="C399" t="s">
        <v>1847</v>
      </c>
      <c r="D399" t="s">
        <v>319</v>
      </c>
      <c r="E399" t="s">
        <v>168</v>
      </c>
      <c r="F399" t="s">
        <v>19</v>
      </c>
      <c r="G399" t="s">
        <v>35</v>
      </c>
      <c r="H399" t="s">
        <v>21</v>
      </c>
      <c r="I399" t="s">
        <v>169</v>
      </c>
      <c r="J399">
        <v>160</v>
      </c>
      <c r="K399" t="s">
        <v>673</v>
      </c>
    </row>
    <row r="400" spans="1:11" x14ac:dyDescent="0.35">
      <c r="A400" t="s">
        <v>317</v>
      </c>
      <c r="B400" t="s">
        <v>32</v>
      </c>
      <c r="C400" t="s">
        <v>1883</v>
      </c>
      <c r="D400" t="s">
        <v>319</v>
      </c>
      <c r="E400" t="s">
        <v>168</v>
      </c>
      <c r="F400" t="s">
        <v>19</v>
      </c>
      <c r="G400" t="s">
        <v>35</v>
      </c>
      <c r="H400" t="s">
        <v>21</v>
      </c>
      <c r="I400" t="s">
        <v>169</v>
      </c>
      <c r="J400">
        <v>160</v>
      </c>
      <c r="K400" t="s">
        <v>673</v>
      </c>
    </row>
    <row r="401" spans="1:11" x14ac:dyDescent="0.35">
      <c r="A401" t="s">
        <v>74</v>
      </c>
      <c r="B401" t="s">
        <v>32</v>
      </c>
      <c r="C401" t="s">
        <v>167</v>
      </c>
      <c r="D401" t="s">
        <v>76</v>
      </c>
      <c r="E401" t="s">
        <v>168</v>
      </c>
      <c r="F401" t="s">
        <v>19</v>
      </c>
      <c r="G401" t="s">
        <v>35</v>
      </c>
      <c r="H401" t="s">
        <v>21</v>
      </c>
      <c r="I401" t="s">
        <v>169</v>
      </c>
      <c r="J401">
        <v>160</v>
      </c>
      <c r="K401" t="s">
        <v>23</v>
      </c>
    </row>
    <row r="402" spans="1:11" x14ac:dyDescent="0.35">
      <c r="A402" t="s">
        <v>14</v>
      </c>
      <c r="B402" t="s">
        <v>15</v>
      </c>
      <c r="C402" t="s">
        <v>347</v>
      </c>
      <c r="D402" t="s">
        <v>17</v>
      </c>
      <c r="E402" t="s">
        <v>348</v>
      </c>
      <c r="F402" t="s">
        <v>19</v>
      </c>
      <c r="G402" t="s">
        <v>349</v>
      </c>
      <c r="H402" t="s">
        <v>21</v>
      </c>
      <c r="I402" t="s">
        <v>169</v>
      </c>
      <c r="J402">
        <v>7177</v>
      </c>
      <c r="K402" t="s">
        <v>23</v>
      </c>
    </row>
    <row r="403" spans="1:11" x14ac:dyDescent="0.35">
      <c r="A403" t="s">
        <v>14</v>
      </c>
      <c r="B403" t="s">
        <v>15</v>
      </c>
      <c r="C403" t="s">
        <v>362</v>
      </c>
      <c r="D403" t="s">
        <v>17</v>
      </c>
      <c r="E403" t="s">
        <v>363</v>
      </c>
      <c r="F403" t="s">
        <v>19</v>
      </c>
      <c r="G403" t="s">
        <v>364</v>
      </c>
      <c r="H403" t="s">
        <v>21</v>
      </c>
      <c r="I403" t="s">
        <v>169</v>
      </c>
      <c r="J403">
        <v>8152</v>
      </c>
      <c r="K403" t="s">
        <v>23</v>
      </c>
    </row>
    <row r="404" spans="1:11" x14ac:dyDescent="0.35">
      <c r="A404" t="s">
        <v>14</v>
      </c>
      <c r="B404" t="s">
        <v>15</v>
      </c>
      <c r="C404" t="s">
        <v>490</v>
      </c>
      <c r="D404" t="s">
        <v>17</v>
      </c>
      <c r="E404" t="s">
        <v>491</v>
      </c>
      <c r="F404" t="s">
        <v>19</v>
      </c>
      <c r="G404" t="s">
        <v>492</v>
      </c>
      <c r="H404" t="s">
        <v>21</v>
      </c>
      <c r="I404" t="s">
        <v>169</v>
      </c>
      <c r="J404">
        <v>5723</v>
      </c>
      <c r="K404" t="s">
        <v>23</v>
      </c>
    </row>
    <row r="405" spans="1:11" x14ac:dyDescent="0.35">
      <c r="A405" t="s">
        <v>14</v>
      </c>
      <c r="B405" t="s">
        <v>15</v>
      </c>
      <c r="C405" t="s">
        <v>500</v>
      </c>
      <c r="D405" t="s">
        <v>17</v>
      </c>
      <c r="E405" t="s">
        <v>501</v>
      </c>
      <c r="F405" t="s">
        <v>19</v>
      </c>
      <c r="G405" t="s">
        <v>502</v>
      </c>
      <c r="H405" t="s">
        <v>21</v>
      </c>
      <c r="I405" t="s">
        <v>169</v>
      </c>
      <c r="J405">
        <v>5724</v>
      </c>
      <c r="K405" t="s">
        <v>23</v>
      </c>
    </row>
    <row r="406" spans="1:11" x14ac:dyDescent="0.35">
      <c r="A406" t="s">
        <v>14</v>
      </c>
      <c r="B406" t="s">
        <v>15</v>
      </c>
      <c r="C406" t="s">
        <v>690</v>
      </c>
      <c r="D406" t="s">
        <v>17</v>
      </c>
      <c r="E406" t="s">
        <v>491</v>
      </c>
      <c r="F406" t="s">
        <v>19</v>
      </c>
      <c r="G406" t="s">
        <v>492</v>
      </c>
      <c r="H406" t="s">
        <v>21</v>
      </c>
      <c r="I406" t="s">
        <v>169</v>
      </c>
      <c r="J406">
        <v>5723</v>
      </c>
      <c r="K406" t="s">
        <v>23</v>
      </c>
    </row>
    <row r="407" spans="1:11" x14ac:dyDescent="0.35">
      <c r="A407" t="s">
        <v>14</v>
      </c>
      <c r="B407" t="s">
        <v>15</v>
      </c>
      <c r="C407" t="s">
        <v>1131</v>
      </c>
      <c r="D407" t="s">
        <v>17</v>
      </c>
      <c r="E407" t="s">
        <v>501</v>
      </c>
      <c r="F407" t="s">
        <v>19</v>
      </c>
      <c r="G407" t="s">
        <v>502</v>
      </c>
      <c r="H407" t="s">
        <v>21</v>
      </c>
      <c r="I407" t="s">
        <v>169</v>
      </c>
      <c r="J407">
        <v>5724</v>
      </c>
      <c r="K407" t="s">
        <v>23</v>
      </c>
    </row>
    <row r="408" spans="1:11" x14ac:dyDescent="0.35">
      <c r="A408" t="s">
        <v>14</v>
      </c>
      <c r="B408" t="s">
        <v>15</v>
      </c>
      <c r="C408" t="s">
        <v>1150</v>
      </c>
      <c r="D408" t="s">
        <v>17</v>
      </c>
      <c r="E408" t="s">
        <v>1151</v>
      </c>
      <c r="F408" t="s">
        <v>19</v>
      </c>
      <c r="G408" t="s">
        <v>1152</v>
      </c>
      <c r="H408" t="s">
        <v>21</v>
      </c>
      <c r="I408" t="s">
        <v>169</v>
      </c>
      <c r="J408">
        <v>8153</v>
      </c>
      <c r="K408" t="s">
        <v>23</v>
      </c>
    </row>
    <row r="409" spans="1:11" x14ac:dyDescent="0.35">
      <c r="A409" t="s">
        <v>14</v>
      </c>
      <c r="B409" t="s">
        <v>15</v>
      </c>
      <c r="C409" t="s">
        <v>1170</v>
      </c>
      <c r="D409" t="s">
        <v>17</v>
      </c>
      <c r="E409" t="s">
        <v>1171</v>
      </c>
      <c r="F409" t="s">
        <v>19</v>
      </c>
      <c r="G409" t="s">
        <v>1172</v>
      </c>
      <c r="H409" t="s">
        <v>21</v>
      </c>
      <c r="I409" t="s">
        <v>169</v>
      </c>
      <c r="J409">
        <v>7462</v>
      </c>
      <c r="K409" t="s">
        <v>23</v>
      </c>
    </row>
    <row r="410" spans="1:11" x14ac:dyDescent="0.35">
      <c r="A410" t="s">
        <v>14</v>
      </c>
      <c r="B410" t="s">
        <v>15</v>
      </c>
      <c r="C410" t="s">
        <v>1645</v>
      </c>
      <c r="D410" t="s">
        <v>17</v>
      </c>
      <c r="E410" t="s">
        <v>1590</v>
      </c>
      <c r="F410" t="s">
        <v>19</v>
      </c>
      <c r="G410" t="s">
        <v>1591</v>
      </c>
      <c r="H410" t="s">
        <v>21</v>
      </c>
      <c r="I410" t="s">
        <v>169</v>
      </c>
      <c r="J410">
        <v>7047</v>
      </c>
      <c r="K410" t="s">
        <v>23</v>
      </c>
    </row>
    <row r="411" spans="1:11" x14ac:dyDescent="0.35">
      <c r="A411" t="s">
        <v>14</v>
      </c>
      <c r="B411" t="s">
        <v>15</v>
      </c>
      <c r="C411" t="s">
        <v>1885</v>
      </c>
      <c r="D411" t="s">
        <v>17</v>
      </c>
      <c r="E411" t="s">
        <v>1587</v>
      </c>
      <c r="F411" t="s">
        <v>19</v>
      </c>
      <c r="G411" t="s">
        <v>1588</v>
      </c>
      <c r="H411" t="s">
        <v>21</v>
      </c>
      <c r="I411" t="s">
        <v>169</v>
      </c>
      <c r="J411">
        <v>8151</v>
      </c>
      <c r="K411" t="s">
        <v>23</v>
      </c>
    </row>
    <row r="412" spans="1:11" x14ac:dyDescent="0.35">
      <c r="A412" t="s">
        <v>317</v>
      </c>
      <c r="B412" t="s">
        <v>15</v>
      </c>
      <c r="C412" t="s">
        <v>909</v>
      </c>
      <c r="D412" t="s">
        <v>319</v>
      </c>
      <c r="E412" t="s">
        <v>363</v>
      </c>
      <c r="F412" t="s">
        <v>19</v>
      </c>
      <c r="G412" t="s">
        <v>364</v>
      </c>
      <c r="H412" t="s">
        <v>21</v>
      </c>
      <c r="I412" t="s">
        <v>169</v>
      </c>
      <c r="J412">
        <v>8152</v>
      </c>
      <c r="K412" t="s">
        <v>673</v>
      </c>
    </row>
    <row r="413" spans="1:11" x14ac:dyDescent="0.35">
      <c r="A413" t="s">
        <v>317</v>
      </c>
      <c r="B413" t="s">
        <v>15</v>
      </c>
      <c r="C413" t="s">
        <v>1586</v>
      </c>
      <c r="D413" t="s">
        <v>319</v>
      </c>
      <c r="E413" t="s">
        <v>1587</v>
      </c>
      <c r="F413" t="s">
        <v>19</v>
      </c>
      <c r="G413" t="s">
        <v>1588</v>
      </c>
      <c r="H413" t="s">
        <v>21</v>
      </c>
      <c r="I413" t="s">
        <v>169</v>
      </c>
      <c r="J413">
        <v>8151</v>
      </c>
      <c r="K413" t="s">
        <v>673</v>
      </c>
    </row>
    <row r="414" spans="1:11" x14ac:dyDescent="0.35">
      <c r="A414" t="s">
        <v>317</v>
      </c>
      <c r="B414" t="s">
        <v>15</v>
      </c>
      <c r="C414" t="s">
        <v>1589</v>
      </c>
      <c r="D414" t="s">
        <v>319</v>
      </c>
      <c r="E414" t="s">
        <v>1590</v>
      </c>
      <c r="F414" t="s">
        <v>19</v>
      </c>
      <c r="G414" t="s">
        <v>1591</v>
      </c>
      <c r="H414" t="s">
        <v>21</v>
      </c>
      <c r="I414" t="s">
        <v>169</v>
      </c>
      <c r="J414">
        <v>7047</v>
      </c>
      <c r="K414" t="s">
        <v>673</v>
      </c>
    </row>
    <row r="415" spans="1:11" x14ac:dyDescent="0.35">
      <c r="A415" t="s">
        <v>317</v>
      </c>
      <c r="B415" t="s">
        <v>15</v>
      </c>
      <c r="C415" t="s">
        <v>1592</v>
      </c>
      <c r="D415" t="s">
        <v>319</v>
      </c>
      <c r="E415" t="s">
        <v>501</v>
      </c>
      <c r="F415" t="s">
        <v>19</v>
      </c>
      <c r="G415" t="s">
        <v>502</v>
      </c>
      <c r="H415" t="s">
        <v>21</v>
      </c>
      <c r="I415" t="s">
        <v>169</v>
      </c>
      <c r="J415">
        <v>5724</v>
      </c>
      <c r="K415" t="s">
        <v>673</v>
      </c>
    </row>
    <row r="416" spans="1:11" x14ac:dyDescent="0.35">
      <c r="A416" t="s">
        <v>317</v>
      </c>
      <c r="B416" t="s">
        <v>15</v>
      </c>
      <c r="C416" t="s">
        <v>1670</v>
      </c>
      <c r="D416" t="s">
        <v>319</v>
      </c>
      <c r="E416" t="s">
        <v>491</v>
      </c>
      <c r="F416" t="s">
        <v>19</v>
      </c>
      <c r="G416" t="s">
        <v>492</v>
      </c>
      <c r="H416" t="s">
        <v>21</v>
      </c>
      <c r="I416" t="s">
        <v>169</v>
      </c>
      <c r="J416">
        <v>5723</v>
      </c>
      <c r="K416" t="s">
        <v>673</v>
      </c>
    </row>
    <row r="417" spans="1:11" x14ac:dyDescent="0.35">
      <c r="A417" t="s">
        <v>317</v>
      </c>
      <c r="B417" t="s">
        <v>15</v>
      </c>
      <c r="C417" t="s">
        <v>1793</v>
      </c>
      <c r="D417" t="s">
        <v>319</v>
      </c>
      <c r="E417" t="s">
        <v>348</v>
      </c>
      <c r="F417" t="s">
        <v>19</v>
      </c>
      <c r="G417" t="s">
        <v>349</v>
      </c>
      <c r="H417" t="s">
        <v>21</v>
      </c>
      <c r="I417" t="s">
        <v>169</v>
      </c>
      <c r="J417">
        <v>7177</v>
      </c>
      <c r="K417" t="s">
        <v>673</v>
      </c>
    </row>
    <row r="418" spans="1:11" x14ac:dyDescent="0.35">
      <c r="A418" t="s">
        <v>317</v>
      </c>
      <c r="B418" t="s">
        <v>15</v>
      </c>
      <c r="C418" t="s">
        <v>1830</v>
      </c>
      <c r="D418" t="s">
        <v>319</v>
      </c>
      <c r="E418" t="s">
        <v>1171</v>
      </c>
      <c r="F418" t="s">
        <v>19</v>
      </c>
      <c r="G418" t="s">
        <v>1172</v>
      </c>
      <c r="H418" t="s">
        <v>21</v>
      </c>
      <c r="I418" t="s">
        <v>169</v>
      </c>
      <c r="J418">
        <v>7462</v>
      </c>
      <c r="K418" t="s">
        <v>673</v>
      </c>
    </row>
    <row r="419" spans="1:11" x14ac:dyDescent="0.35">
      <c r="A419" t="s">
        <v>317</v>
      </c>
      <c r="B419" t="s">
        <v>15</v>
      </c>
      <c r="C419" t="s">
        <v>1831</v>
      </c>
      <c r="D419" t="s">
        <v>319</v>
      </c>
      <c r="E419" t="s">
        <v>1151</v>
      </c>
      <c r="F419" t="s">
        <v>19</v>
      </c>
      <c r="G419" t="s">
        <v>1152</v>
      </c>
      <c r="H419" t="s">
        <v>21</v>
      </c>
      <c r="I419" t="s">
        <v>169</v>
      </c>
      <c r="J419">
        <v>8153</v>
      </c>
      <c r="K419" t="s">
        <v>673</v>
      </c>
    </row>
    <row r="420" spans="1:11" x14ac:dyDescent="0.35">
      <c r="A420" t="s">
        <v>317</v>
      </c>
      <c r="B420" t="s">
        <v>15</v>
      </c>
      <c r="C420" t="s">
        <v>1888</v>
      </c>
      <c r="D420" t="s">
        <v>319</v>
      </c>
      <c r="E420" t="s">
        <v>501</v>
      </c>
      <c r="F420" t="s">
        <v>19</v>
      </c>
      <c r="G420" t="s">
        <v>502</v>
      </c>
      <c r="H420" t="s">
        <v>21</v>
      </c>
      <c r="I420" t="s">
        <v>169</v>
      </c>
      <c r="J420">
        <v>5724</v>
      </c>
      <c r="K420" t="s">
        <v>673</v>
      </c>
    </row>
    <row r="421" spans="1:11" x14ac:dyDescent="0.35">
      <c r="A421" t="s">
        <v>14</v>
      </c>
      <c r="B421" t="s">
        <v>32</v>
      </c>
      <c r="C421" t="s">
        <v>33</v>
      </c>
      <c r="D421" t="s">
        <v>17</v>
      </c>
      <c r="E421" t="s">
        <v>34</v>
      </c>
      <c r="F421" t="s">
        <v>19</v>
      </c>
      <c r="G421" t="s">
        <v>35</v>
      </c>
      <c r="H421" t="s">
        <v>21</v>
      </c>
      <c r="I421" t="s">
        <v>36</v>
      </c>
      <c r="J421">
        <v>128</v>
      </c>
      <c r="K421" t="s">
        <v>23</v>
      </c>
    </row>
    <row r="422" spans="1:11" x14ac:dyDescent="0.35">
      <c r="A422" t="s">
        <v>14</v>
      </c>
      <c r="B422" t="s">
        <v>32</v>
      </c>
      <c r="C422" t="s">
        <v>1742</v>
      </c>
      <c r="D422" t="s">
        <v>17</v>
      </c>
      <c r="E422" t="s">
        <v>34</v>
      </c>
      <c r="F422" t="s">
        <v>19</v>
      </c>
      <c r="G422" t="s">
        <v>35</v>
      </c>
      <c r="H422" t="s">
        <v>21</v>
      </c>
      <c r="I422" t="s">
        <v>36</v>
      </c>
      <c r="J422">
        <v>128</v>
      </c>
      <c r="K422" t="s">
        <v>23</v>
      </c>
    </row>
    <row r="423" spans="1:11" x14ac:dyDescent="0.35">
      <c r="A423" t="s">
        <v>317</v>
      </c>
      <c r="B423" t="s">
        <v>32</v>
      </c>
      <c r="C423" t="s">
        <v>768</v>
      </c>
      <c r="D423" t="s">
        <v>319</v>
      </c>
      <c r="E423" t="s">
        <v>34</v>
      </c>
      <c r="F423" t="s">
        <v>19</v>
      </c>
      <c r="G423" t="s">
        <v>35</v>
      </c>
      <c r="H423" t="s">
        <v>21</v>
      </c>
      <c r="I423" t="s">
        <v>36</v>
      </c>
      <c r="J423">
        <v>128</v>
      </c>
      <c r="K423" t="s">
        <v>673</v>
      </c>
    </row>
    <row r="424" spans="1:11" x14ac:dyDescent="0.35">
      <c r="A424" t="s">
        <v>317</v>
      </c>
      <c r="B424" t="s">
        <v>32</v>
      </c>
      <c r="C424" t="s">
        <v>1244</v>
      </c>
      <c r="D424" t="s">
        <v>319</v>
      </c>
      <c r="E424" t="s">
        <v>34</v>
      </c>
      <c r="F424" t="s">
        <v>19</v>
      </c>
      <c r="G424" t="s">
        <v>35</v>
      </c>
      <c r="H424" t="s">
        <v>21</v>
      </c>
      <c r="I424" t="s">
        <v>36</v>
      </c>
      <c r="J424">
        <v>128</v>
      </c>
      <c r="K424" t="s">
        <v>673</v>
      </c>
    </row>
    <row r="425" spans="1:11" x14ac:dyDescent="0.35">
      <c r="A425" t="s">
        <v>317</v>
      </c>
      <c r="B425" t="s">
        <v>32</v>
      </c>
      <c r="C425" t="s">
        <v>1617</v>
      </c>
      <c r="D425" t="s">
        <v>319</v>
      </c>
      <c r="E425" t="s">
        <v>34</v>
      </c>
      <c r="F425" t="s">
        <v>19</v>
      </c>
      <c r="G425" t="s">
        <v>35</v>
      </c>
      <c r="H425" t="s">
        <v>21</v>
      </c>
      <c r="I425" t="s">
        <v>36</v>
      </c>
      <c r="J425">
        <v>128</v>
      </c>
      <c r="K425" t="s">
        <v>23</v>
      </c>
    </row>
    <row r="426" spans="1:11" x14ac:dyDescent="0.35">
      <c r="A426" t="s">
        <v>74</v>
      </c>
      <c r="B426" t="s">
        <v>32</v>
      </c>
      <c r="C426" t="s">
        <v>484</v>
      </c>
      <c r="D426" t="s">
        <v>76</v>
      </c>
      <c r="E426" t="s">
        <v>34</v>
      </c>
      <c r="F426" t="s">
        <v>19</v>
      </c>
      <c r="G426" t="s">
        <v>35</v>
      </c>
      <c r="H426" t="s">
        <v>21</v>
      </c>
      <c r="I426" t="s">
        <v>36</v>
      </c>
      <c r="J426">
        <v>128</v>
      </c>
      <c r="K426" t="s">
        <v>23</v>
      </c>
    </row>
    <row r="427" spans="1:11" x14ac:dyDescent="0.35">
      <c r="A427" t="s">
        <v>74</v>
      </c>
      <c r="B427" t="s">
        <v>32</v>
      </c>
      <c r="C427" t="s">
        <v>551</v>
      </c>
      <c r="D427" t="s">
        <v>76</v>
      </c>
      <c r="E427" t="s">
        <v>34</v>
      </c>
      <c r="F427" t="s">
        <v>19</v>
      </c>
      <c r="G427" t="s">
        <v>35</v>
      </c>
      <c r="H427" t="s">
        <v>21</v>
      </c>
      <c r="I427" t="s">
        <v>36</v>
      </c>
      <c r="J427">
        <v>128</v>
      </c>
      <c r="K427" t="s">
        <v>23</v>
      </c>
    </row>
    <row r="428" spans="1:11" x14ac:dyDescent="0.35">
      <c r="A428" t="s">
        <v>14</v>
      </c>
      <c r="B428" t="s">
        <v>53</v>
      </c>
      <c r="C428" t="s">
        <v>300</v>
      </c>
      <c r="D428" t="s">
        <v>17</v>
      </c>
      <c r="E428" t="s">
        <v>301</v>
      </c>
      <c r="F428" t="s">
        <v>19</v>
      </c>
      <c r="G428" t="s">
        <v>56</v>
      </c>
      <c r="H428" t="s">
        <v>21</v>
      </c>
      <c r="I428" t="s">
        <v>36</v>
      </c>
      <c r="J428">
        <v>1102</v>
      </c>
      <c r="K428" t="s">
        <v>23</v>
      </c>
    </row>
    <row r="429" spans="1:11" x14ac:dyDescent="0.35">
      <c r="A429" t="s">
        <v>14</v>
      </c>
      <c r="B429" t="s">
        <v>53</v>
      </c>
      <c r="C429" t="s">
        <v>1390</v>
      </c>
      <c r="D429" t="s">
        <v>17</v>
      </c>
      <c r="E429" t="s">
        <v>301</v>
      </c>
      <c r="F429" t="s">
        <v>19</v>
      </c>
      <c r="G429" t="s">
        <v>56</v>
      </c>
      <c r="H429" t="s">
        <v>21</v>
      </c>
      <c r="I429" t="s">
        <v>36</v>
      </c>
      <c r="J429">
        <v>1102</v>
      </c>
      <c r="K429" t="s">
        <v>23</v>
      </c>
    </row>
    <row r="430" spans="1:11" x14ac:dyDescent="0.35">
      <c r="A430" t="s">
        <v>317</v>
      </c>
      <c r="B430" t="s">
        <v>53</v>
      </c>
      <c r="C430" t="s">
        <v>1388</v>
      </c>
      <c r="D430" t="s">
        <v>319</v>
      </c>
      <c r="E430" t="s">
        <v>301</v>
      </c>
      <c r="F430" t="s">
        <v>19</v>
      </c>
      <c r="G430" t="s">
        <v>56</v>
      </c>
      <c r="H430" t="s">
        <v>21</v>
      </c>
      <c r="I430" t="s">
        <v>36</v>
      </c>
      <c r="J430">
        <v>1102</v>
      </c>
      <c r="K430" t="s">
        <v>23</v>
      </c>
    </row>
    <row r="431" spans="1:11" x14ac:dyDescent="0.35">
      <c r="A431" t="s">
        <v>14</v>
      </c>
      <c r="B431" t="s">
        <v>15</v>
      </c>
      <c r="C431" t="s">
        <v>38</v>
      </c>
      <c r="D431" t="s">
        <v>17</v>
      </c>
      <c r="E431" t="s">
        <v>39</v>
      </c>
      <c r="F431" t="s">
        <v>19</v>
      </c>
      <c r="G431" t="s">
        <v>40</v>
      </c>
      <c r="H431" t="s">
        <v>21</v>
      </c>
      <c r="I431" t="s">
        <v>36</v>
      </c>
      <c r="J431">
        <v>5730</v>
      </c>
      <c r="K431" t="s">
        <v>23</v>
      </c>
    </row>
    <row r="432" spans="1:11" x14ac:dyDescent="0.35">
      <c r="A432" t="s">
        <v>14</v>
      </c>
      <c r="B432" t="s">
        <v>15</v>
      </c>
      <c r="C432" t="s">
        <v>42</v>
      </c>
      <c r="D432" t="s">
        <v>17</v>
      </c>
      <c r="E432" t="s">
        <v>43</v>
      </c>
      <c r="F432" t="s">
        <v>19</v>
      </c>
      <c r="G432" t="s">
        <v>44</v>
      </c>
      <c r="H432" t="s">
        <v>21</v>
      </c>
      <c r="I432" t="s">
        <v>36</v>
      </c>
      <c r="J432">
        <v>5731</v>
      </c>
      <c r="K432" t="s">
        <v>23</v>
      </c>
    </row>
    <row r="433" spans="1:11" x14ac:dyDescent="0.35">
      <c r="A433" t="s">
        <v>14</v>
      </c>
      <c r="B433" t="s">
        <v>15</v>
      </c>
      <c r="C433" t="s">
        <v>211</v>
      </c>
      <c r="D433" t="s">
        <v>17</v>
      </c>
      <c r="E433" t="s">
        <v>39</v>
      </c>
      <c r="F433" t="s">
        <v>19</v>
      </c>
      <c r="G433" t="s">
        <v>40</v>
      </c>
      <c r="H433" t="s">
        <v>21</v>
      </c>
      <c r="I433" t="s">
        <v>36</v>
      </c>
      <c r="J433">
        <v>5730</v>
      </c>
      <c r="K433" t="s">
        <v>23</v>
      </c>
    </row>
    <row r="434" spans="1:11" x14ac:dyDescent="0.35">
      <c r="A434" t="s">
        <v>14</v>
      </c>
      <c r="B434" t="s">
        <v>15</v>
      </c>
      <c r="C434" t="s">
        <v>296</v>
      </c>
      <c r="D434" t="s">
        <v>17</v>
      </c>
      <c r="E434" t="s">
        <v>297</v>
      </c>
      <c r="F434" t="s">
        <v>19</v>
      </c>
      <c r="G434" t="s">
        <v>298</v>
      </c>
      <c r="H434" t="s">
        <v>21</v>
      </c>
      <c r="I434" t="s">
        <v>36</v>
      </c>
      <c r="J434">
        <v>5732</v>
      </c>
      <c r="K434" t="s">
        <v>23</v>
      </c>
    </row>
    <row r="435" spans="1:11" x14ac:dyDescent="0.35">
      <c r="A435" t="s">
        <v>14</v>
      </c>
      <c r="B435" t="s">
        <v>15</v>
      </c>
      <c r="C435" t="s">
        <v>303</v>
      </c>
      <c r="D435" t="s">
        <v>17</v>
      </c>
      <c r="E435" t="s">
        <v>297</v>
      </c>
      <c r="F435" t="s">
        <v>19</v>
      </c>
      <c r="G435" t="s">
        <v>298</v>
      </c>
      <c r="H435" t="s">
        <v>21</v>
      </c>
      <c r="I435" t="s">
        <v>36</v>
      </c>
      <c r="J435">
        <v>5732</v>
      </c>
      <c r="K435" t="s">
        <v>23</v>
      </c>
    </row>
    <row r="436" spans="1:11" x14ac:dyDescent="0.35">
      <c r="A436" t="s">
        <v>14</v>
      </c>
      <c r="B436" t="s">
        <v>15</v>
      </c>
      <c r="C436" t="s">
        <v>481</v>
      </c>
      <c r="D436" t="s">
        <v>17</v>
      </c>
      <c r="E436" t="s">
        <v>482</v>
      </c>
      <c r="F436" t="s">
        <v>19</v>
      </c>
      <c r="G436" t="s">
        <v>483</v>
      </c>
      <c r="H436" t="s">
        <v>21</v>
      </c>
      <c r="I436" t="s">
        <v>36</v>
      </c>
      <c r="J436">
        <v>5727</v>
      </c>
      <c r="K436" t="s">
        <v>23</v>
      </c>
    </row>
    <row r="437" spans="1:11" x14ac:dyDescent="0.35">
      <c r="A437" t="s">
        <v>14</v>
      </c>
      <c r="B437" t="s">
        <v>15</v>
      </c>
      <c r="C437" t="s">
        <v>494</v>
      </c>
      <c r="D437" t="s">
        <v>17</v>
      </c>
      <c r="E437" t="s">
        <v>43</v>
      </c>
      <c r="F437" t="s">
        <v>19</v>
      </c>
      <c r="G437" t="s">
        <v>44</v>
      </c>
      <c r="H437" t="s">
        <v>21</v>
      </c>
      <c r="I437" t="s">
        <v>36</v>
      </c>
      <c r="J437">
        <v>5731</v>
      </c>
      <c r="K437" t="s">
        <v>23</v>
      </c>
    </row>
    <row r="438" spans="1:11" x14ac:dyDescent="0.35">
      <c r="A438" t="s">
        <v>14</v>
      </c>
      <c r="B438" t="s">
        <v>15</v>
      </c>
      <c r="C438" t="s">
        <v>570</v>
      </c>
      <c r="D438" t="s">
        <v>17</v>
      </c>
      <c r="E438" t="s">
        <v>482</v>
      </c>
      <c r="F438" t="s">
        <v>19</v>
      </c>
      <c r="G438" t="s">
        <v>483</v>
      </c>
      <c r="H438" t="s">
        <v>21</v>
      </c>
      <c r="I438" t="s">
        <v>36</v>
      </c>
      <c r="J438">
        <v>5727</v>
      </c>
      <c r="K438" t="s">
        <v>23</v>
      </c>
    </row>
    <row r="439" spans="1:11" x14ac:dyDescent="0.35">
      <c r="A439" t="s">
        <v>14</v>
      </c>
      <c r="B439" t="s">
        <v>15</v>
      </c>
      <c r="C439" t="s">
        <v>614</v>
      </c>
      <c r="D439" t="s">
        <v>17</v>
      </c>
      <c r="E439" t="s">
        <v>39</v>
      </c>
      <c r="F439" t="s">
        <v>19</v>
      </c>
      <c r="G439" t="s">
        <v>615</v>
      </c>
      <c r="H439" t="s">
        <v>21</v>
      </c>
      <c r="I439" t="s">
        <v>36</v>
      </c>
      <c r="J439">
        <v>5730</v>
      </c>
      <c r="K439" t="s">
        <v>23</v>
      </c>
    </row>
    <row r="440" spans="1:11" x14ac:dyDescent="0.35">
      <c r="A440" t="s">
        <v>14</v>
      </c>
      <c r="B440" t="s">
        <v>15</v>
      </c>
      <c r="C440" t="s">
        <v>754</v>
      </c>
      <c r="D440" t="s">
        <v>17</v>
      </c>
      <c r="E440" t="s">
        <v>297</v>
      </c>
      <c r="F440" t="s">
        <v>19</v>
      </c>
      <c r="G440" t="s">
        <v>755</v>
      </c>
      <c r="H440" t="s">
        <v>21</v>
      </c>
      <c r="I440" t="s">
        <v>36</v>
      </c>
      <c r="J440">
        <v>5732</v>
      </c>
      <c r="K440" t="s">
        <v>23</v>
      </c>
    </row>
    <row r="441" spans="1:11" x14ac:dyDescent="0.35">
      <c r="A441" t="s">
        <v>14</v>
      </c>
      <c r="B441" t="s">
        <v>15</v>
      </c>
      <c r="C441" t="s">
        <v>1067</v>
      </c>
      <c r="D441" t="s">
        <v>17</v>
      </c>
      <c r="E441" t="s">
        <v>39</v>
      </c>
      <c r="F441" t="s">
        <v>19</v>
      </c>
      <c r="G441" t="s">
        <v>1068</v>
      </c>
      <c r="H441" t="s">
        <v>21</v>
      </c>
      <c r="I441" t="s">
        <v>36</v>
      </c>
      <c r="J441">
        <v>5730</v>
      </c>
      <c r="K441" t="s">
        <v>23</v>
      </c>
    </row>
    <row r="442" spans="1:11" x14ac:dyDescent="0.35">
      <c r="A442" t="s">
        <v>14</v>
      </c>
      <c r="B442" t="s">
        <v>15</v>
      </c>
      <c r="C442" t="s">
        <v>1070</v>
      </c>
      <c r="D442" t="s">
        <v>17</v>
      </c>
      <c r="E442" t="s">
        <v>1071</v>
      </c>
      <c r="F442" t="s">
        <v>19</v>
      </c>
      <c r="G442" t="s">
        <v>1072</v>
      </c>
      <c r="H442" t="s">
        <v>21</v>
      </c>
      <c r="I442" t="s">
        <v>36</v>
      </c>
      <c r="J442">
        <v>5728</v>
      </c>
      <c r="K442" t="s">
        <v>23</v>
      </c>
    </row>
    <row r="443" spans="1:11" x14ac:dyDescent="0.35">
      <c r="A443" t="s">
        <v>14</v>
      </c>
      <c r="B443" t="s">
        <v>15</v>
      </c>
      <c r="C443" t="s">
        <v>1111</v>
      </c>
      <c r="D443" t="s">
        <v>17</v>
      </c>
      <c r="E443" t="s">
        <v>1112</v>
      </c>
      <c r="F443" t="s">
        <v>19</v>
      </c>
      <c r="G443" t="s">
        <v>1113</v>
      </c>
      <c r="H443" t="s">
        <v>21</v>
      </c>
      <c r="I443" t="s">
        <v>36</v>
      </c>
      <c r="J443">
        <v>5729</v>
      </c>
      <c r="K443" t="s">
        <v>23</v>
      </c>
    </row>
    <row r="444" spans="1:11" x14ac:dyDescent="0.35">
      <c r="A444" t="s">
        <v>14</v>
      </c>
      <c r="B444" t="s">
        <v>15</v>
      </c>
      <c r="C444" t="s">
        <v>1246</v>
      </c>
      <c r="D444" t="s">
        <v>17</v>
      </c>
      <c r="E444" t="s">
        <v>1071</v>
      </c>
      <c r="F444" t="s">
        <v>19</v>
      </c>
      <c r="G444" t="s">
        <v>1072</v>
      </c>
      <c r="H444" t="s">
        <v>21</v>
      </c>
      <c r="I444" t="s">
        <v>36</v>
      </c>
      <c r="J444">
        <v>5728</v>
      </c>
      <c r="K444" t="s">
        <v>23</v>
      </c>
    </row>
    <row r="445" spans="1:11" x14ac:dyDescent="0.35">
      <c r="A445" t="s">
        <v>14</v>
      </c>
      <c r="B445" t="s">
        <v>15</v>
      </c>
      <c r="C445" t="s">
        <v>1248</v>
      </c>
      <c r="D445" t="s">
        <v>17</v>
      </c>
      <c r="E445" t="s">
        <v>1071</v>
      </c>
      <c r="F445" t="s">
        <v>19</v>
      </c>
      <c r="G445" t="s">
        <v>1249</v>
      </c>
      <c r="H445" t="s">
        <v>21</v>
      </c>
      <c r="I445" t="s">
        <v>36</v>
      </c>
      <c r="J445">
        <v>5728</v>
      </c>
      <c r="K445" t="s">
        <v>23</v>
      </c>
    </row>
    <row r="446" spans="1:11" x14ac:dyDescent="0.35">
      <c r="A446" t="s">
        <v>14</v>
      </c>
      <c r="B446" t="s">
        <v>15</v>
      </c>
      <c r="C446" t="s">
        <v>1251</v>
      </c>
      <c r="D446" t="s">
        <v>17</v>
      </c>
      <c r="E446" t="s">
        <v>1112</v>
      </c>
      <c r="F446" t="s">
        <v>19</v>
      </c>
      <c r="G446" t="s">
        <v>1252</v>
      </c>
      <c r="H446" t="s">
        <v>21</v>
      </c>
      <c r="I446" t="s">
        <v>36</v>
      </c>
      <c r="J446">
        <v>5729</v>
      </c>
      <c r="K446" t="s">
        <v>23</v>
      </c>
    </row>
    <row r="447" spans="1:11" x14ac:dyDescent="0.35">
      <c r="A447" t="s">
        <v>14</v>
      </c>
      <c r="B447" t="s">
        <v>15</v>
      </c>
      <c r="C447" t="s">
        <v>1384</v>
      </c>
      <c r="D447" t="s">
        <v>17</v>
      </c>
      <c r="E447" t="s">
        <v>1112</v>
      </c>
      <c r="F447" t="s">
        <v>19</v>
      </c>
      <c r="G447" t="s">
        <v>1252</v>
      </c>
      <c r="H447" t="s">
        <v>21</v>
      </c>
      <c r="I447" t="s">
        <v>36</v>
      </c>
      <c r="J447">
        <v>5729</v>
      </c>
      <c r="K447" t="s">
        <v>23</v>
      </c>
    </row>
    <row r="448" spans="1:11" x14ac:dyDescent="0.35">
      <c r="A448" t="s">
        <v>14</v>
      </c>
      <c r="B448" t="s">
        <v>15</v>
      </c>
      <c r="C448" t="s">
        <v>1899</v>
      </c>
      <c r="D448" t="s">
        <v>17</v>
      </c>
      <c r="E448" t="s">
        <v>482</v>
      </c>
      <c r="F448" t="s">
        <v>19</v>
      </c>
      <c r="G448" t="s">
        <v>915</v>
      </c>
      <c r="H448" t="s">
        <v>21</v>
      </c>
      <c r="I448" t="s">
        <v>36</v>
      </c>
      <c r="J448">
        <v>5727</v>
      </c>
      <c r="K448" t="s">
        <v>23</v>
      </c>
    </row>
    <row r="449" spans="1:11" x14ac:dyDescent="0.35">
      <c r="A449" t="s">
        <v>317</v>
      </c>
      <c r="B449" t="s">
        <v>15</v>
      </c>
      <c r="C449" t="s">
        <v>914</v>
      </c>
      <c r="D449" t="s">
        <v>319</v>
      </c>
      <c r="E449" t="s">
        <v>482</v>
      </c>
      <c r="F449" t="s">
        <v>19</v>
      </c>
      <c r="G449" t="s">
        <v>915</v>
      </c>
      <c r="H449" t="s">
        <v>21</v>
      </c>
      <c r="I449" t="s">
        <v>36</v>
      </c>
      <c r="J449">
        <v>5727</v>
      </c>
      <c r="K449" t="s">
        <v>673</v>
      </c>
    </row>
    <row r="450" spans="1:11" x14ac:dyDescent="0.35">
      <c r="A450" t="s">
        <v>317</v>
      </c>
      <c r="B450" t="s">
        <v>15</v>
      </c>
      <c r="C450" t="s">
        <v>1405</v>
      </c>
      <c r="D450" t="s">
        <v>319</v>
      </c>
      <c r="E450" t="s">
        <v>43</v>
      </c>
      <c r="F450" t="s">
        <v>19</v>
      </c>
      <c r="G450" t="s">
        <v>44</v>
      </c>
      <c r="H450" t="s">
        <v>21</v>
      </c>
      <c r="I450" t="s">
        <v>36</v>
      </c>
      <c r="J450">
        <v>5731</v>
      </c>
      <c r="K450" t="s">
        <v>23</v>
      </c>
    </row>
    <row r="451" spans="1:11" x14ac:dyDescent="0.35">
      <c r="A451" t="s">
        <v>317</v>
      </c>
      <c r="B451" t="s">
        <v>15</v>
      </c>
      <c r="C451" t="s">
        <v>1514</v>
      </c>
      <c r="D451" t="s">
        <v>319</v>
      </c>
      <c r="E451" t="s">
        <v>39</v>
      </c>
      <c r="F451" t="s">
        <v>19</v>
      </c>
      <c r="G451" t="s">
        <v>1068</v>
      </c>
      <c r="H451" t="s">
        <v>21</v>
      </c>
      <c r="I451" t="s">
        <v>36</v>
      </c>
      <c r="J451">
        <v>5730</v>
      </c>
      <c r="K451" t="s">
        <v>673</v>
      </c>
    </row>
    <row r="452" spans="1:11" x14ac:dyDescent="0.35">
      <c r="A452" t="s">
        <v>317</v>
      </c>
      <c r="B452" t="s">
        <v>15</v>
      </c>
      <c r="C452" t="s">
        <v>1536</v>
      </c>
      <c r="D452" t="s">
        <v>319</v>
      </c>
      <c r="E452" t="s">
        <v>1071</v>
      </c>
      <c r="F452" t="s">
        <v>19</v>
      </c>
      <c r="G452" t="s">
        <v>1249</v>
      </c>
      <c r="H452" t="s">
        <v>21</v>
      </c>
      <c r="I452" t="s">
        <v>36</v>
      </c>
      <c r="J452">
        <v>5728</v>
      </c>
      <c r="K452" t="s">
        <v>673</v>
      </c>
    </row>
    <row r="453" spans="1:11" x14ac:dyDescent="0.35">
      <c r="A453" t="s">
        <v>317</v>
      </c>
      <c r="B453" t="s">
        <v>15</v>
      </c>
      <c r="C453" t="s">
        <v>1540</v>
      </c>
      <c r="D453" t="s">
        <v>319</v>
      </c>
      <c r="E453" t="s">
        <v>1112</v>
      </c>
      <c r="F453" t="s">
        <v>19</v>
      </c>
      <c r="G453" t="s">
        <v>1113</v>
      </c>
      <c r="H453" t="s">
        <v>21</v>
      </c>
      <c r="I453" t="s">
        <v>36</v>
      </c>
      <c r="J453">
        <v>5729</v>
      </c>
      <c r="K453" t="s">
        <v>673</v>
      </c>
    </row>
    <row r="454" spans="1:11" x14ac:dyDescent="0.35">
      <c r="A454" t="s">
        <v>317</v>
      </c>
      <c r="B454" t="s">
        <v>15</v>
      </c>
      <c r="C454" t="s">
        <v>1545</v>
      </c>
      <c r="D454" t="s">
        <v>319</v>
      </c>
      <c r="E454" t="s">
        <v>297</v>
      </c>
      <c r="F454" t="s">
        <v>19</v>
      </c>
      <c r="G454" t="s">
        <v>298</v>
      </c>
      <c r="H454" t="s">
        <v>21</v>
      </c>
      <c r="I454" t="s">
        <v>36</v>
      </c>
      <c r="J454">
        <v>5732</v>
      </c>
      <c r="K454" t="s">
        <v>673</v>
      </c>
    </row>
    <row r="455" spans="1:11" x14ac:dyDescent="0.35">
      <c r="A455" t="s">
        <v>317</v>
      </c>
      <c r="B455" t="s">
        <v>15</v>
      </c>
      <c r="C455" t="s">
        <v>1575</v>
      </c>
      <c r="D455" t="s">
        <v>319</v>
      </c>
      <c r="E455" t="s">
        <v>482</v>
      </c>
      <c r="F455" t="s">
        <v>19</v>
      </c>
      <c r="G455" t="s">
        <v>483</v>
      </c>
      <c r="H455" t="s">
        <v>21</v>
      </c>
      <c r="I455" t="s">
        <v>36</v>
      </c>
      <c r="J455">
        <v>5727</v>
      </c>
      <c r="K455" t="s">
        <v>673</v>
      </c>
    </row>
    <row r="456" spans="1:11" x14ac:dyDescent="0.35">
      <c r="A456" t="s">
        <v>317</v>
      </c>
      <c r="B456" t="s">
        <v>15</v>
      </c>
      <c r="C456" t="s">
        <v>1667</v>
      </c>
      <c r="D456" t="s">
        <v>319</v>
      </c>
      <c r="E456" t="s">
        <v>297</v>
      </c>
      <c r="F456" t="s">
        <v>19</v>
      </c>
      <c r="G456" t="s">
        <v>755</v>
      </c>
      <c r="H456" t="s">
        <v>21</v>
      </c>
      <c r="I456" t="s">
        <v>36</v>
      </c>
      <c r="J456">
        <v>5732</v>
      </c>
      <c r="K456" t="s">
        <v>673</v>
      </c>
    </row>
    <row r="457" spans="1:11" x14ac:dyDescent="0.35">
      <c r="A457" t="s">
        <v>317</v>
      </c>
      <c r="B457" t="s">
        <v>15</v>
      </c>
      <c r="C457" t="s">
        <v>1668</v>
      </c>
      <c r="D457" t="s">
        <v>319</v>
      </c>
      <c r="E457" t="s">
        <v>39</v>
      </c>
      <c r="F457" t="s">
        <v>19</v>
      </c>
      <c r="G457" t="s">
        <v>615</v>
      </c>
      <c r="H457" t="s">
        <v>21</v>
      </c>
      <c r="I457" t="s">
        <v>36</v>
      </c>
      <c r="J457">
        <v>5730</v>
      </c>
      <c r="K457" t="s">
        <v>673</v>
      </c>
    </row>
    <row r="458" spans="1:11" x14ac:dyDescent="0.35">
      <c r="A458" t="s">
        <v>317</v>
      </c>
      <c r="B458" t="s">
        <v>15</v>
      </c>
      <c r="C458" t="s">
        <v>1669</v>
      </c>
      <c r="D458" t="s">
        <v>319</v>
      </c>
      <c r="E458" t="s">
        <v>1112</v>
      </c>
      <c r="F458" t="s">
        <v>19</v>
      </c>
      <c r="G458" t="s">
        <v>1252</v>
      </c>
      <c r="H458" t="s">
        <v>21</v>
      </c>
      <c r="I458" t="s">
        <v>36</v>
      </c>
      <c r="J458">
        <v>5729</v>
      </c>
      <c r="K458" t="s">
        <v>673</v>
      </c>
    </row>
    <row r="459" spans="1:11" x14ac:dyDescent="0.35">
      <c r="A459" t="s">
        <v>317</v>
      </c>
      <c r="B459" t="s">
        <v>15</v>
      </c>
      <c r="C459" t="s">
        <v>1740</v>
      </c>
      <c r="D459" t="s">
        <v>319</v>
      </c>
      <c r="E459" t="s">
        <v>39</v>
      </c>
      <c r="F459" t="s">
        <v>19</v>
      </c>
      <c r="G459" t="s">
        <v>40</v>
      </c>
      <c r="H459" t="s">
        <v>21</v>
      </c>
      <c r="I459" t="s">
        <v>36</v>
      </c>
      <c r="J459">
        <v>5730</v>
      </c>
      <c r="K459" t="s">
        <v>673</v>
      </c>
    </row>
    <row r="460" spans="1:11" x14ac:dyDescent="0.35">
      <c r="A460" t="s">
        <v>317</v>
      </c>
      <c r="B460" t="s">
        <v>15</v>
      </c>
      <c r="C460" t="s">
        <v>1748</v>
      </c>
      <c r="D460" t="s">
        <v>319</v>
      </c>
      <c r="E460" t="s">
        <v>1071</v>
      </c>
      <c r="F460" t="s">
        <v>19</v>
      </c>
      <c r="G460" t="s">
        <v>1072</v>
      </c>
      <c r="H460" t="s">
        <v>21</v>
      </c>
      <c r="I460" t="s">
        <v>36</v>
      </c>
      <c r="J460">
        <v>5728</v>
      </c>
      <c r="K460" t="s">
        <v>673</v>
      </c>
    </row>
    <row r="461" spans="1:11" x14ac:dyDescent="0.35">
      <c r="A461" t="s">
        <v>317</v>
      </c>
      <c r="B461" t="s">
        <v>15</v>
      </c>
      <c r="C461" t="s">
        <v>1812</v>
      </c>
      <c r="D461" t="s">
        <v>319</v>
      </c>
      <c r="E461" t="s">
        <v>297</v>
      </c>
      <c r="F461" t="s">
        <v>19</v>
      </c>
      <c r="G461" t="s">
        <v>298</v>
      </c>
      <c r="H461" t="s">
        <v>21</v>
      </c>
      <c r="I461" t="s">
        <v>36</v>
      </c>
      <c r="J461">
        <v>5732</v>
      </c>
      <c r="K461" t="s">
        <v>673</v>
      </c>
    </row>
    <row r="462" spans="1:11" x14ac:dyDescent="0.35">
      <c r="A462" t="s">
        <v>317</v>
      </c>
      <c r="B462" t="s">
        <v>15</v>
      </c>
      <c r="C462" t="s">
        <v>1865</v>
      </c>
      <c r="D462" t="s">
        <v>319</v>
      </c>
      <c r="E462" t="s">
        <v>39</v>
      </c>
      <c r="F462" t="s">
        <v>19</v>
      </c>
      <c r="G462" t="s">
        <v>40</v>
      </c>
      <c r="H462" t="s">
        <v>21</v>
      </c>
      <c r="I462" t="s">
        <v>36</v>
      </c>
      <c r="J462">
        <v>5730</v>
      </c>
      <c r="K462" t="s">
        <v>23</v>
      </c>
    </row>
    <row r="463" spans="1:11" x14ac:dyDescent="0.35">
      <c r="A463" t="s">
        <v>317</v>
      </c>
      <c r="B463" t="s">
        <v>15</v>
      </c>
      <c r="C463" t="s">
        <v>1902</v>
      </c>
      <c r="D463" t="s">
        <v>319</v>
      </c>
      <c r="E463" t="s">
        <v>1071</v>
      </c>
      <c r="F463" t="s">
        <v>19</v>
      </c>
      <c r="G463" t="s">
        <v>1072</v>
      </c>
      <c r="H463" t="s">
        <v>21</v>
      </c>
      <c r="I463" t="s">
        <v>36</v>
      </c>
      <c r="J463">
        <v>5728</v>
      </c>
      <c r="K463" t="s">
        <v>673</v>
      </c>
    </row>
    <row r="464" spans="1:11" x14ac:dyDescent="0.35">
      <c r="A464" t="s">
        <v>14</v>
      </c>
      <c r="B464" t="s">
        <v>32</v>
      </c>
      <c r="C464" t="s">
        <v>522</v>
      </c>
      <c r="D464" t="s">
        <v>17</v>
      </c>
      <c r="E464" t="s">
        <v>508</v>
      </c>
      <c r="F464" t="s">
        <v>19</v>
      </c>
      <c r="G464" t="s">
        <v>35</v>
      </c>
      <c r="H464" t="s">
        <v>21</v>
      </c>
      <c r="I464" t="s">
        <v>315</v>
      </c>
      <c r="J464">
        <v>138</v>
      </c>
      <c r="K464" t="s">
        <v>23</v>
      </c>
    </row>
    <row r="465" spans="1:11" x14ac:dyDescent="0.35">
      <c r="A465" t="s">
        <v>14</v>
      </c>
      <c r="B465" t="s">
        <v>32</v>
      </c>
      <c r="C465" t="s">
        <v>910</v>
      </c>
      <c r="D465" t="s">
        <v>17</v>
      </c>
      <c r="E465" t="s">
        <v>508</v>
      </c>
      <c r="F465" t="s">
        <v>19</v>
      </c>
      <c r="G465" t="s">
        <v>35</v>
      </c>
      <c r="H465" t="s">
        <v>21</v>
      </c>
      <c r="I465" t="s">
        <v>315</v>
      </c>
      <c r="J465">
        <v>138</v>
      </c>
      <c r="K465" t="s">
        <v>23</v>
      </c>
    </row>
    <row r="466" spans="1:11" x14ac:dyDescent="0.35">
      <c r="A466" t="s">
        <v>317</v>
      </c>
      <c r="B466" t="s">
        <v>32</v>
      </c>
      <c r="C466" t="s">
        <v>1556</v>
      </c>
      <c r="D466" t="s">
        <v>319</v>
      </c>
      <c r="E466" t="s">
        <v>508</v>
      </c>
      <c r="F466" t="s">
        <v>19</v>
      </c>
      <c r="G466" t="s">
        <v>35</v>
      </c>
      <c r="H466" t="s">
        <v>21</v>
      </c>
      <c r="I466" t="s">
        <v>315</v>
      </c>
      <c r="J466">
        <v>138</v>
      </c>
      <c r="K466" t="s">
        <v>23</v>
      </c>
    </row>
    <row r="467" spans="1:11" x14ac:dyDescent="0.35">
      <c r="A467" t="s">
        <v>317</v>
      </c>
      <c r="B467" t="s">
        <v>32</v>
      </c>
      <c r="C467" t="s">
        <v>1557</v>
      </c>
      <c r="D467" t="s">
        <v>319</v>
      </c>
      <c r="E467" t="s">
        <v>508</v>
      </c>
      <c r="F467" t="s">
        <v>19</v>
      </c>
      <c r="G467" t="s">
        <v>35</v>
      </c>
      <c r="H467" t="s">
        <v>21</v>
      </c>
      <c r="I467" t="s">
        <v>315</v>
      </c>
      <c r="J467">
        <v>138</v>
      </c>
      <c r="K467" t="s">
        <v>673</v>
      </c>
    </row>
    <row r="468" spans="1:11" x14ac:dyDescent="0.35">
      <c r="A468" t="s">
        <v>317</v>
      </c>
      <c r="B468" t="s">
        <v>32</v>
      </c>
      <c r="C468" t="s">
        <v>1857</v>
      </c>
      <c r="D468" t="s">
        <v>319</v>
      </c>
      <c r="E468" t="s">
        <v>508</v>
      </c>
      <c r="F468" t="s">
        <v>19</v>
      </c>
      <c r="G468" t="s">
        <v>35</v>
      </c>
      <c r="H468" t="s">
        <v>21</v>
      </c>
      <c r="I468" t="s">
        <v>315</v>
      </c>
      <c r="J468">
        <v>138</v>
      </c>
      <c r="K468" t="s">
        <v>673</v>
      </c>
    </row>
    <row r="469" spans="1:11" x14ac:dyDescent="0.35">
      <c r="A469" t="s">
        <v>74</v>
      </c>
      <c r="B469" t="s">
        <v>32</v>
      </c>
      <c r="C469" t="s">
        <v>507</v>
      </c>
      <c r="D469" t="s">
        <v>76</v>
      </c>
      <c r="E469" t="s">
        <v>508</v>
      </c>
      <c r="F469" t="s">
        <v>19</v>
      </c>
      <c r="G469" t="s">
        <v>35</v>
      </c>
      <c r="H469" t="s">
        <v>21</v>
      </c>
      <c r="I469" t="s">
        <v>315</v>
      </c>
      <c r="J469">
        <v>138</v>
      </c>
      <c r="K469" t="s">
        <v>23</v>
      </c>
    </row>
    <row r="470" spans="1:11" x14ac:dyDescent="0.35">
      <c r="A470" t="s">
        <v>14</v>
      </c>
      <c r="B470" t="s">
        <v>15</v>
      </c>
      <c r="C470" t="s">
        <v>312</v>
      </c>
      <c r="D470" t="s">
        <v>17</v>
      </c>
      <c r="E470" t="s">
        <v>313</v>
      </c>
      <c r="F470" t="s">
        <v>19</v>
      </c>
      <c r="G470" t="s">
        <v>314</v>
      </c>
      <c r="H470" t="s">
        <v>21</v>
      </c>
      <c r="I470" t="s">
        <v>315</v>
      </c>
      <c r="J470">
        <v>5736</v>
      </c>
      <c r="K470" t="s">
        <v>23</v>
      </c>
    </row>
    <row r="471" spans="1:11" x14ac:dyDescent="0.35">
      <c r="A471" t="s">
        <v>14</v>
      </c>
      <c r="B471" t="s">
        <v>15</v>
      </c>
      <c r="C471" t="s">
        <v>377</v>
      </c>
      <c r="D471" t="s">
        <v>17</v>
      </c>
      <c r="E471" t="s">
        <v>378</v>
      </c>
      <c r="F471" t="s">
        <v>19</v>
      </c>
      <c r="G471" t="s">
        <v>379</v>
      </c>
      <c r="H471" t="s">
        <v>21</v>
      </c>
      <c r="I471" t="s">
        <v>315</v>
      </c>
      <c r="J471">
        <v>5737</v>
      </c>
      <c r="K471" t="s">
        <v>23</v>
      </c>
    </row>
    <row r="472" spans="1:11" x14ac:dyDescent="0.35">
      <c r="A472" t="s">
        <v>14</v>
      </c>
      <c r="B472" t="s">
        <v>15</v>
      </c>
      <c r="C472" t="s">
        <v>590</v>
      </c>
      <c r="D472" t="s">
        <v>17</v>
      </c>
      <c r="E472" t="s">
        <v>591</v>
      </c>
      <c r="F472" t="s">
        <v>19</v>
      </c>
      <c r="G472" t="s">
        <v>592</v>
      </c>
      <c r="H472" t="s">
        <v>21</v>
      </c>
      <c r="I472" t="s">
        <v>315</v>
      </c>
      <c r="J472">
        <v>5733</v>
      </c>
      <c r="K472" t="s">
        <v>23</v>
      </c>
    </row>
    <row r="473" spans="1:11" x14ac:dyDescent="0.35">
      <c r="A473" t="s">
        <v>14</v>
      </c>
      <c r="B473" t="s">
        <v>15</v>
      </c>
      <c r="C473" t="s">
        <v>645</v>
      </c>
      <c r="D473" t="s">
        <v>17</v>
      </c>
      <c r="E473" t="s">
        <v>646</v>
      </c>
      <c r="F473" t="s">
        <v>19</v>
      </c>
      <c r="G473" t="s">
        <v>647</v>
      </c>
      <c r="H473" t="s">
        <v>21</v>
      </c>
      <c r="I473" t="s">
        <v>315</v>
      </c>
      <c r="J473">
        <v>5734</v>
      </c>
      <c r="K473" t="s">
        <v>23</v>
      </c>
    </row>
    <row r="474" spans="1:11" x14ac:dyDescent="0.35">
      <c r="A474" t="s">
        <v>14</v>
      </c>
      <c r="B474" t="s">
        <v>15</v>
      </c>
      <c r="C474" t="s">
        <v>829</v>
      </c>
      <c r="D474" t="s">
        <v>17</v>
      </c>
      <c r="E474" t="s">
        <v>591</v>
      </c>
      <c r="F474" t="s">
        <v>19</v>
      </c>
      <c r="G474" t="s">
        <v>592</v>
      </c>
      <c r="H474" t="s">
        <v>21</v>
      </c>
      <c r="I474" t="s">
        <v>315</v>
      </c>
      <c r="J474">
        <v>5733</v>
      </c>
      <c r="K474" t="s">
        <v>23</v>
      </c>
    </row>
    <row r="475" spans="1:11" x14ac:dyDescent="0.35">
      <c r="A475" t="s">
        <v>14</v>
      </c>
      <c r="B475" t="s">
        <v>15</v>
      </c>
      <c r="C475" t="s">
        <v>1196</v>
      </c>
      <c r="D475" t="s">
        <v>17</v>
      </c>
      <c r="E475" t="s">
        <v>929</v>
      </c>
      <c r="F475" t="s">
        <v>19</v>
      </c>
      <c r="G475" t="s">
        <v>930</v>
      </c>
      <c r="H475" t="s">
        <v>21</v>
      </c>
      <c r="I475" t="s">
        <v>315</v>
      </c>
      <c r="J475">
        <v>5735</v>
      </c>
      <c r="K475" t="s">
        <v>23</v>
      </c>
    </row>
    <row r="476" spans="1:11" x14ac:dyDescent="0.35">
      <c r="A476" t="s">
        <v>14</v>
      </c>
      <c r="B476" t="s">
        <v>15</v>
      </c>
      <c r="C476" t="s">
        <v>1226</v>
      </c>
      <c r="D476" t="s">
        <v>17</v>
      </c>
      <c r="E476" t="s">
        <v>1227</v>
      </c>
      <c r="F476" t="s">
        <v>19</v>
      </c>
      <c r="G476" t="s">
        <v>1228</v>
      </c>
      <c r="H476" t="s">
        <v>21</v>
      </c>
      <c r="I476" t="s">
        <v>315</v>
      </c>
      <c r="J476">
        <v>5738</v>
      </c>
      <c r="K476" t="s">
        <v>23</v>
      </c>
    </row>
    <row r="477" spans="1:11" x14ac:dyDescent="0.35">
      <c r="A477" t="s">
        <v>14</v>
      </c>
      <c r="B477" t="s">
        <v>15</v>
      </c>
      <c r="C477" t="s">
        <v>1254</v>
      </c>
      <c r="D477" t="s">
        <v>17</v>
      </c>
      <c r="E477" t="s">
        <v>313</v>
      </c>
      <c r="F477" t="s">
        <v>19</v>
      </c>
      <c r="G477" t="s">
        <v>314</v>
      </c>
      <c r="H477" t="s">
        <v>21</v>
      </c>
      <c r="I477" t="s">
        <v>315</v>
      </c>
      <c r="J477">
        <v>5736</v>
      </c>
      <c r="K477" t="s">
        <v>23</v>
      </c>
    </row>
    <row r="478" spans="1:11" x14ac:dyDescent="0.35">
      <c r="A478" t="s">
        <v>14</v>
      </c>
      <c r="B478" t="s">
        <v>15</v>
      </c>
      <c r="C478" t="s">
        <v>1555</v>
      </c>
      <c r="D478" t="s">
        <v>17</v>
      </c>
      <c r="E478" t="s">
        <v>313</v>
      </c>
      <c r="F478" t="s">
        <v>19</v>
      </c>
      <c r="G478" t="s">
        <v>1257</v>
      </c>
      <c r="H478" t="s">
        <v>21</v>
      </c>
      <c r="I478" t="s">
        <v>315</v>
      </c>
      <c r="J478">
        <v>5736</v>
      </c>
      <c r="K478" t="s">
        <v>23</v>
      </c>
    </row>
    <row r="479" spans="1:11" x14ac:dyDescent="0.35">
      <c r="A479" t="s">
        <v>317</v>
      </c>
      <c r="B479" t="s">
        <v>15</v>
      </c>
      <c r="C479" t="s">
        <v>759</v>
      </c>
      <c r="D479" t="s">
        <v>319</v>
      </c>
      <c r="E479" t="s">
        <v>313</v>
      </c>
      <c r="F479" t="s">
        <v>19</v>
      </c>
      <c r="G479" t="s">
        <v>314</v>
      </c>
      <c r="H479" t="s">
        <v>21</v>
      </c>
      <c r="I479" t="s">
        <v>315</v>
      </c>
      <c r="J479">
        <v>5736</v>
      </c>
      <c r="K479" t="s">
        <v>673</v>
      </c>
    </row>
    <row r="480" spans="1:11" x14ac:dyDescent="0.35">
      <c r="A480" t="s">
        <v>317</v>
      </c>
      <c r="B480" t="s">
        <v>15</v>
      </c>
      <c r="C480" t="s">
        <v>928</v>
      </c>
      <c r="D480" t="s">
        <v>319</v>
      </c>
      <c r="E480" t="s">
        <v>929</v>
      </c>
      <c r="F480" t="s">
        <v>19</v>
      </c>
      <c r="G480" t="s">
        <v>930</v>
      </c>
      <c r="H480" t="s">
        <v>21</v>
      </c>
      <c r="I480" t="s">
        <v>315</v>
      </c>
      <c r="J480">
        <v>5735</v>
      </c>
      <c r="K480" t="s">
        <v>673</v>
      </c>
    </row>
    <row r="481" spans="1:11" x14ac:dyDescent="0.35">
      <c r="A481" t="s">
        <v>317</v>
      </c>
      <c r="B481" t="s">
        <v>15</v>
      </c>
      <c r="C481" t="s">
        <v>1232</v>
      </c>
      <c r="D481" t="s">
        <v>319</v>
      </c>
      <c r="E481" t="s">
        <v>1227</v>
      </c>
      <c r="F481" t="s">
        <v>19</v>
      </c>
      <c r="G481" t="s">
        <v>1228</v>
      </c>
      <c r="H481" t="s">
        <v>21</v>
      </c>
      <c r="I481" t="s">
        <v>315</v>
      </c>
      <c r="J481">
        <v>5738</v>
      </c>
      <c r="K481" t="s">
        <v>673</v>
      </c>
    </row>
    <row r="482" spans="1:11" x14ac:dyDescent="0.35">
      <c r="A482" t="s">
        <v>317</v>
      </c>
      <c r="B482" t="s">
        <v>15</v>
      </c>
      <c r="C482" t="s">
        <v>1256</v>
      </c>
      <c r="D482" t="s">
        <v>319</v>
      </c>
      <c r="E482" t="s">
        <v>313</v>
      </c>
      <c r="F482" t="s">
        <v>19</v>
      </c>
      <c r="G482" t="s">
        <v>1257</v>
      </c>
      <c r="H482" t="s">
        <v>21</v>
      </c>
      <c r="I482" t="s">
        <v>315</v>
      </c>
      <c r="J482">
        <v>5736</v>
      </c>
      <c r="K482" t="s">
        <v>23</v>
      </c>
    </row>
    <row r="483" spans="1:11" x14ac:dyDescent="0.35">
      <c r="A483" t="s">
        <v>317</v>
      </c>
      <c r="B483" t="s">
        <v>15</v>
      </c>
      <c r="C483" t="s">
        <v>1298</v>
      </c>
      <c r="D483" t="s">
        <v>319</v>
      </c>
      <c r="E483" t="s">
        <v>591</v>
      </c>
      <c r="F483" t="s">
        <v>19</v>
      </c>
      <c r="G483" t="s">
        <v>592</v>
      </c>
      <c r="H483" t="s">
        <v>21</v>
      </c>
      <c r="I483" t="s">
        <v>315</v>
      </c>
      <c r="J483">
        <v>5733</v>
      </c>
      <c r="K483" t="s">
        <v>673</v>
      </c>
    </row>
    <row r="484" spans="1:11" x14ac:dyDescent="0.35">
      <c r="A484" t="s">
        <v>317</v>
      </c>
      <c r="B484" t="s">
        <v>15</v>
      </c>
      <c r="C484" t="s">
        <v>1300</v>
      </c>
      <c r="D484" t="s">
        <v>319</v>
      </c>
      <c r="E484" t="s">
        <v>378</v>
      </c>
      <c r="F484" t="s">
        <v>19</v>
      </c>
      <c r="G484" t="s">
        <v>379</v>
      </c>
      <c r="H484" t="s">
        <v>21</v>
      </c>
      <c r="I484" t="s">
        <v>315</v>
      </c>
      <c r="J484">
        <v>5737</v>
      </c>
      <c r="K484" t="s">
        <v>673</v>
      </c>
    </row>
    <row r="485" spans="1:11" x14ac:dyDescent="0.35">
      <c r="A485" t="s">
        <v>317</v>
      </c>
      <c r="B485" t="s">
        <v>15</v>
      </c>
      <c r="C485" t="s">
        <v>1475</v>
      </c>
      <c r="D485" t="s">
        <v>319</v>
      </c>
      <c r="E485" t="s">
        <v>646</v>
      </c>
      <c r="F485" t="s">
        <v>19</v>
      </c>
      <c r="G485" t="s">
        <v>647</v>
      </c>
      <c r="H485" t="s">
        <v>21</v>
      </c>
      <c r="I485" t="s">
        <v>315</v>
      </c>
      <c r="J485">
        <v>5734</v>
      </c>
      <c r="K485" t="s">
        <v>673</v>
      </c>
    </row>
    <row r="486" spans="1:11" x14ac:dyDescent="0.35">
      <c r="A486" t="s">
        <v>14</v>
      </c>
      <c r="B486" t="s">
        <v>32</v>
      </c>
      <c r="C486" t="s">
        <v>308</v>
      </c>
      <c r="D486" t="s">
        <v>17</v>
      </c>
      <c r="E486" t="s">
        <v>309</v>
      </c>
      <c r="F486" t="s">
        <v>19</v>
      </c>
      <c r="G486" t="s">
        <v>310</v>
      </c>
      <c r="H486" t="s">
        <v>21</v>
      </c>
      <c r="I486" t="s">
        <v>73</v>
      </c>
      <c r="J486">
        <v>59</v>
      </c>
      <c r="K486" t="s">
        <v>23</v>
      </c>
    </row>
    <row r="487" spans="1:11" x14ac:dyDescent="0.35">
      <c r="A487" t="s">
        <v>14</v>
      </c>
      <c r="B487" t="s">
        <v>32</v>
      </c>
      <c r="C487" t="s">
        <v>529</v>
      </c>
      <c r="D487" t="s">
        <v>17</v>
      </c>
      <c r="E487" t="s">
        <v>530</v>
      </c>
      <c r="F487" t="s">
        <v>19</v>
      </c>
      <c r="G487" t="s">
        <v>531</v>
      </c>
      <c r="H487" t="s">
        <v>21</v>
      </c>
      <c r="I487" t="s">
        <v>73</v>
      </c>
      <c r="J487">
        <v>59</v>
      </c>
      <c r="K487" t="s">
        <v>23</v>
      </c>
    </row>
    <row r="488" spans="1:11" x14ac:dyDescent="0.35">
      <c r="A488" t="s">
        <v>14</v>
      </c>
      <c r="B488" t="s">
        <v>32</v>
      </c>
      <c r="C488" t="s">
        <v>609</v>
      </c>
      <c r="D488" t="s">
        <v>17</v>
      </c>
      <c r="E488" t="s">
        <v>398</v>
      </c>
      <c r="F488" t="s">
        <v>19</v>
      </c>
      <c r="G488" t="s">
        <v>35</v>
      </c>
      <c r="H488" t="s">
        <v>21</v>
      </c>
      <c r="I488" t="s">
        <v>73</v>
      </c>
      <c r="J488">
        <v>59</v>
      </c>
      <c r="K488" t="s">
        <v>23</v>
      </c>
    </row>
    <row r="489" spans="1:11" x14ac:dyDescent="0.35">
      <c r="A489" t="s">
        <v>14</v>
      </c>
      <c r="B489" t="s">
        <v>32</v>
      </c>
      <c r="C489" t="s">
        <v>869</v>
      </c>
      <c r="D489" t="s">
        <v>17</v>
      </c>
      <c r="E489" t="s">
        <v>398</v>
      </c>
      <c r="F489" t="s">
        <v>19</v>
      </c>
      <c r="G489" t="s">
        <v>35</v>
      </c>
      <c r="H489" t="s">
        <v>21</v>
      </c>
      <c r="I489" t="s">
        <v>73</v>
      </c>
      <c r="J489">
        <v>59</v>
      </c>
      <c r="K489" t="s">
        <v>23</v>
      </c>
    </row>
    <row r="490" spans="1:11" x14ac:dyDescent="0.35">
      <c r="A490" t="s">
        <v>14</v>
      </c>
      <c r="B490" t="s">
        <v>32</v>
      </c>
      <c r="C490" t="s">
        <v>871</v>
      </c>
      <c r="D490" t="s">
        <v>17</v>
      </c>
      <c r="E490" t="s">
        <v>872</v>
      </c>
      <c r="F490" t="s">
        <v>19</v>
      </c>
      <c r="G490" t="s">
        <v>873</v>
      </c>
      <c r="H490" t="s">
        <v>21</v>
      </c>
      <c r="I490" t="s">
        <v>73</v>
      </c>
      <c r="J490">
        <v>59</v>
      </c>
      <c r="K490" t="s">
        <v>23</v>
      </c>
    </row>
    <row r="491" spans="1:11" x14ac:dyDescent="0.35">
      <c r="A491" t="s">
        <v>14</v>
      </c>
      <c r="B491" t="s">
        <v>32</v>
      </c>
      <c r="C491" t="s">
        <v>1114</v>
      </c>
      <c r="D491" t="s">
        <v>17</v>
      </c>
      <c r="E491" t="s">
        <v>398</v>
      </c>
      <c r="F491" t="s">
        <v>19</v>
      </c>
      <c r="G491" t="s">
        <v>35</v>
      </c>
      <c r="H491" t="s">
        <v>21</v>
      </c>
      <c r="I491" t="s">
        <v>73</v>
      </c>
      <c r="J491">
        <v>59</v>
      </c>
      <c r="K491" t="s">
        <v>23</v>
      </c>
    </row>
    <row r="492" spans="1:11" x14ac:dyDescent="0.35">
      <c r="A492" t="s">
        <v>14</v>
      </c>
      <c r="B492" t="s">
        <v>32</v>
      </c>
      <c r="C492" t="s">
        <v>1882</v>
      </c>
      <c r="D492" t="s">
        <v>17</v>
      </c>
      <c r="E492" t="s">
        <v>398</v>
      </c>
      <c r="F492" t="s">
        <v>19</v>
      </c>
      <c r="G492" t="s">
        <v>35</v>
      </c>
      <c r="H492" t="s">
        <v>21</v>
      </c>
      <c r="I492" t="s">
        <v>73</v>
      </c>
      <c r="J492">
        <v>59</v>
      </c>
      <c r="K492" t="s">
        <v>23</v>
      </c>
    </row>
    <row r="493" spans="1:11" x14ac:dyDescent="0.35">
      <c r="A493" t="s">
        <v>317</v>
      </c>
      <c r="B493" t="s">
        <v>32</v>
      </c>
      <c r="C493" t="s">
        <v>672</v>
      </c>
      <c r="D493" t="s">
        <v>319</v>
      </c>
      <c r="E493" t="s">
        <v>398</v>
      </c>
      <c r="F493" t="s">
        <v>19</v>
      </c>
      <c r="G493" t="s">
        <v>35</v>
      </c>
      <c r="H493" t="s">
        <v>21</v>
      </c>
      <c r="I493" t="s">
        <v>73</v>
      </c>
      <c r="J493">
        <v>59</v>
      </c>
      <c r="K493" t="s">
        <v>673</v>
      </c>
    </row>
    <row r="494" spans="1:11" x14ac:dyDescent="0.35">
      <c r="A494" t="s">
        <v>317</v>
      </c>
      <c r="B494" t="s">
        <v>32</v>
      </c>
      <c r="C494" t="s">
        <v>718</v>
      </c>
      <c r="D494" t="s">
        <v>319</v>
      </c>
      <c r="E494" t="s">
        <v>398</v>
      </c>
      <c r="F494" t="s">
        <v>19</v>
      </c>
      <c r="G494" t="s">
        <v>35</v>
      </c>
      <c r="H494" t="s">
        <v>21</v>
      </c>
      <c r="I494" t="s">
        <v>73</v>
      </c>
      <c r="J494">
        <v>59</v>
      </c>
      <c r="K494" t="s">
        <v>23</v>
      </c>
    </row>
    <row r="495" spans="1:11" x14ac:dyDescent="0.35">
      <c r="A495" t="s">
        <v>317</v>
      </c>
      <c r="B495" t="s">
        <v>32</v>
      </c>
      <c r="C495" t="s">
        <v>799</v>
      </c>
      <c r="D495" t="s">
        <v>319</v>
      </c>
      <c r="E495" t="s">
        <v>398</v>
      </c>
      <c r="F495" t="s">
        <v>19</v>
      </c>
      <c r="G495" t="s">
        <v>35</v>
      </c>
      <c r="H495" t="s">
        <v>21</v>
      </c>
      <c r="I495" t="s">
        <v>73</v>
      </c>
      <c r="J495">
        <v>59</v>
      </c>
      <c r="K495" t="s">
        <v>673</v>
      </c>
    </row>
    <row r="496" spans="1:11" x14ac:dyDescent="0.35">
      <c r="A496" t="s">
        <v>317</v>
      </c>
      <c r="B496" t="s">
        <v>32</v>
      </c>
      <c r="C496" t="s">
        <v>1083</v>
      </c>
      <c r="D496" t="s">
        <v>319</v>
      </c>
      <c r="E496" t="s">
        <v>398</v>
      </c>
      <c r="F496" t="s">
        <v>19</v>
      </c>
      <c r="G496" t="s">
        <v>35</v>
      </c>
      <c r="H496" t="s">
        <v>21</v>
      </c>
      <c r="I496" t="s">
        <v>73</v>
      </c>
      <c r="J496">
        <v>59</v>
      </c>
      <c r="K496" t="s">
        <v>673</v>
      </c>
    </row>
    <row r="497" spans="1:11" x14ac:dyDescent="0.35">
      <c r="A497" t="s">
        <v>317</v>
      </c>
      <c r="B497" t="s">
        <v>32</v>
      </c>
      <c r="C497" t="s">
        <v>1084</v>
      </c>
      <c r="D497" t="s">
        <v>319</v>
      </c>
      <c r="E497" t="s">
        <v>398</v>
      </c>
      <c r="F497" t="s">
        <v>19</v>
      </c>
      <c r="G497" t="s">
        <v>35</v>
      </c>
      <c r="H497" t="s">
        <v>21</v>
      </c>
      <c r="I497" t="s">
        <v>73</v>
      </c>
      <c r="J497">
        <v>59</v>
      </c>
      <c r="K497" t="s">
        <v>673</v>
      </c>
    </row>
    <row r="498" spans="1:11" x14ac:dyDescent="0.35">
      <c r="A498" t="s">
        <v>317</v>
      </c>
      <c r="B498" t="s">
        <v>32</v>
      </c>
      <c r="C498" t="s">
        <v>1292</v>
      </c>
      <c r="D498" t="s">
        <v>319</v>
      </c>
      <c r="E498" t="s">
        <v>398</v>
      </c>
      <c r="F498" t="s">
        <v>19</v>
      </c>
      <c r="G498" t="s">
        <v>35</v>
      </c>
      <c r="H498" t="s">
        <v>21</v>
      </c>
      <c r="I498" t="s">
        <v>73</v>
      </c>
      <c r="J498">
        <v>59</v>
      </c>
      <c r="K498" t="s">
        <v>673</v>
      </c>
    </row>
    <row r="499" spans="1:11" x14ac:dyDescent="0.35">
      <c r="A499" t="s">
        <v>317</v>
      </c>
      <c r="B499" t="s">
        <v>32</v>
      </c>
      <c r="C499" t="s">
        <v>1581</v>
      </c>
      <c r="D499" t="s">
        <v>319</v>
      </c>
      <c r="E499" t="s">
        <v>530</v>
      </c>
      <c r="F499" t="s">
        <v>19</v>
      </c>
      <c r="G499" t="s">
        <v>531</v>
      </c>
      <c r="H499" t="s">
        <v>21</v>
      </c>
      <c r="I499" t="s">
        <v>73</v>
      </c>
      <c r="J499">
        <v>59</v>
      </c>
      <c r="K499" t="s">
        <v>673</v>
      </c>
    </row>
    <row r="500" spans="1:11" x14ac:dyDescent="0.35">
      <c r="A500" t="s">
        <v>317</v>
      </c>
      <c r="B500" t="s">
        <v>32</v>
      </c>
      <c r="C500" t="s">
        <v>1583</v>
      </c>
      <c r="D500" t="s">
        <v>319</v>
      </c>
      <c r="E500" t="s">
        <v>872</v>
      </c>
      <c r="F500" t="s">
        <v>19</v>
      </c>
      <c r="G500" t="s">
        <v>873</v>
      </c>
      <c r="H500" t="s">
        <v>21</v>
      </c>
      <c r="I500" t="s">
        <v>73</v>
      </c>
      <c r="J500">
        <v>59</v>
      </c>
      <c r="K500" t="s">
        <v>673</v>
      </c>
    </row>
    <row r="501" spans="1:11" x14ac:dyDescent="0.35">
      <c r="A501" t="s">
        <v>317</v>
      </c>
      <c r="B501" t="s">
        <v>32</v>
      </c>
      <c r="C501" t="s">
        <v>1656</v>
      </c>
      <c r="D501" t="s">
        <v>319</v>
      </c>
      <c r="E501" t="s">
        <v>1657</v>
      </c>
      <c r="F501" t="s">
        <v>19</v>
      </c>
      <c r="G501" t="s">
        <v>1658</v>
      </c>
      <c r="H501" t="s">
        <v>21</v>
      </c>
      <c r="I501" t="s">
        <v>73</v>
      </c>
      <c r="J501">
        <v>59</v>
      </c>
      <c r="K501" t="s">
        <v>673</v>
      </c>
    </row>
    <row r="502" spans="1:11" x14ac:dyDescent="0.35">
      <c r="A502" t="s">
        <v>317</v>
      </c>
      <c r="B502" t="s">
        <v>32</v>
      </c>
      <c r="C502" t="s">
        <v>1824</v>
      </c>
      <c r="D502" t="s">
        <v>319</v>
      </c>
      <c r="E502" t="s">
        <v>398</v>
      </c>
      <c r="F502" t="s">
        <v>19</v>
      </c>
      <c r="G502" t="s">
        <v>35</v>
      </c>
      <c r="H502" t="s">
        <v>21</v>
      </c>
      <c r="I502" t="s">
        <v>73</v>
      </c>
      <c r="J502">
        <v>59</v>
      </c>
      <c r="K502" t="s">
        <v>23</v>
      </c>
    </row>
    <row r="503" spans="1:11" x14ac:dyDescent="0.35">
      <c r="A503" t="s">
        <v>317</v>
      </c>
      <c r="B503" t="s">
        <v>32</v>
      </c>
      <c r="C503" t="s">
        <v>1833</v>
      </c>
      <c r="D503" t="s">
        <v>319</v>
      </c>
      <c r="E503" t="s">
        <v>309</v>
      </c>
      <c r="F503" t="s">
        <v>19</v>
      </c>
      <c r="G503" t="s">
        <v>310</v>
      </c>
      <c r="H503" t="s">
        <v>21</v>
      </c>
      <c r="I503" t="s">
        <v>73</v>
      </c>
      <c r="J503">
        <v>59</v>
      </c>
      <c r="K503" t="s">
        <v>673</v>
      </c>
    </row>
    <row r="504" spans="1:11" x14ac:dyDescent="0.35">
      <c r="A504" t="s">
        <v>74</v>
      </c>
      <c r="B504" t="s">
        <v>32</v>
      </c>
      <c r="C504" t="s">
        <v>397</v>
      </c>
      <c r="D504" t="s">
        <v>76</v>
      </c>
      <c r="E504" t="s">
        <v>398</v>
      </c>
      <c r="F504" t="s">
        <v>19</v>
      </c>
      <c r="G504" t="s">
        <v>35</v>
      </c>
      <c r="H504" t="s">
        <v>21</v>
      </c>
      <c r="I504" t="s">
        <v>73</v>
      </c>
      <c r="J504">
        <v>59</v>
      </c>
      <c r="K504" t="s">
        <v>23</v>
      </c>
    </row>
    <row r="505" spans="1:11" x14ac:dyDescent="0.35">
      <c r="A505" t="s">
        <v>74</v>
      </c>
      <c r="B505" t="s">
        <v>32</v>
      </c>
      <c r="C505" t="s">
        <v>691</v>
      </c>
      <c r="D505" t="s">
        <v>76</v>
      </c>
      <c r="E505" t="s">
        <v>398</v>
      </c>
      <c r="F505" t="s">
        <v>19</v>
      </c>
      <c r="G505" t="s">
        <v>35</v>
      </c>
      <c r="H505" t="s">
        <v>21</v>
      </c>
      <c r="I505" t="s">
        <v>73</v>
      </c>
      <c r="J505">
        <v>59</v>
      </c>
      <c r="K505" t="s">
        <v>23</v>
      </c>
    </row>
    <row r="506" spans="1:11" x14ac:dyDescent="0.35">
      <c r="A506" t="s">
        <v>74</v>
      </c>
      <c r="B506" t="s">
        <v>32</v>
      </c>
      <c r="C506" t="s">
        <v>756</v>
      </c>
      <c r="D506" t="s">
        <v>76</v>
      </c>
      <c r="E506" t="s">
        <v>398</v>
      </c>
      <c r="F506" t="s">
        <v>19</v>
      </c>
      <c r="G506" t="s">
        <v>35</v>
      </c>
      <c r="H506" t="s">
        <v>21</v>
      </c>
      <c r="I506" t="s">
        <v>73</v>
      </c>
      <c r="J506">
        <v>59</v>
      </c>
      <c r="K506" t="s">
        <v>757</v>
      </c>
    </row>
    <row r="507" spans="1:11" x14ac:dyDescent="0.35">
      <c r="A507" t="s">
        <v>74</v>
      </c>
      <c r="B507" t="s">
        <v>32</v>
      </c>
      <c r="C507" t="s">
        <v>887</v>
      </c>
      <c r="D507" t="s">
        <v>76</v>
      </c>
      <c r="E507" t="s">
        <v>398</v>
      </c>
      <c r="F507" t="s">
        <v>19</v>
      </c>
      <c r="G507" t="s">
        <v>35</v>
      </c>
      <c r="H507" t="s">
        <v>21</v>
      </c>
      <c r="I507" t="s">
        <v>73</v>
      </c>
      <c r="J507">
        <v>59</v>
      </c>
      <c r="K507" t="s">
        <v>757</v>
      </c>
    </row>
    <row r="508" spans="1:11" x14ac:dyDescent="0.35">
      <c r="A508" t="s">
        <v>74</v>
      </c>
      <c r="B508" t="s">
        <v>32</v>
      </c>
      <c r="C508" t="s">
        <v>888</v>
      </c>
      <c r="D508" t="s">
        <v>76</v>
      </c>
      <c r="E508" t="s">
        <v>398</v>
      </c>
      <c r="F508" t="s">
        <v>19</v>
      </c>
      <c r="G508" t="s">
        <v>35</v>
      </c>
      <c r="H508" t="s">
        <v>21</v>
      </c>
      <c r="I508" t="s">
        <v>73</v>
      </c>
      <c r="J508">
        <v>59</v>
      </c>
      <c r="K508" t="s">
        <v>757</v>
      </c>
    </row>
    <row r="509" spans="1:11" x14ac:dyDescent="0.35">
      <c r="A509" t="s">
        <v>74</v>
      </c>
      <c r="B509" t="s">
        <v>32</v>
      </c>
      <c r="C509" t="s">
        <v>959</v>
      </c>
      <c r="D509" t="s">
        <v>76</v>
      </c>
      <c r="E509" t="s">
        <v>398</v>
      </c>
      <c r="F509" t="s">
        <v>19</v>
      </c>
      <c r="G509" t="s">
        <v>35</v>
      </c>
      <c r="H509" t="s">
        <v>21</v>
      </c>
      <c r="I509" t="s">
        <v>73</v>
      </c>
      <c r="J509">
        <v>59</v>
      </c>
      <c r="K509" t="s">
        <v>757</v>
      </c>
    </row>
    <row r="510" spans="1:11" x14ac:dyDescent="0.35">
      <c r="A510" t="s">
        <v>14</v>
      </c>
      <c r="B510" t="s">
        <v>53</v>
      </c>
      <c r="C510" t="s">
        <v>184</v>
      </c>
      <c r="D510" t="s">
        <v>17</v>
      </c>
      <c r="E510" t="s">
        <v>185</v>
      </c>
      <c r="F510" t="s">
        <v>19</v>
      </c>
      <c r="G510" t="s">
        <v>56</v>
      </c>
      <c r="H510" t="s">
        <v>21</v>
      </c>
      <c r="I510" t="s">
        <v>73</v>
      </c>
      <c r="J510">
        <v>1001</v>
      </c>
      <c r="K510" t="s">
        <v>23</v>
      </c>
    </row>
    <row r="511" spans="1:11" x14ac:dyDescent="0.35">
      <c r="A511" t="s">
        <v>14</v>
      </c>
      <c r="B511" t="s">
        <v>53</v>
      </c>
      <c r="C511" t="s">
        <v>445</v>
      </c>
      <c r="D511" t="s">
        <v>17</v>
      </c>
      <c r="E511" t="s">
        <v>446</v>
      </c>
      <c r="F511" t="s">
        <v>19</v>
      </c>
      <c r="G511" t="s">
        <v>56</v>
      </c>
      <c r="H511" t="s">
        <v>21</v>
      </c>
      <c r="I511" t="s">
        <v>73</v>
      </c>
      <c r="J511">
        <v>1104</v>
      </c>
      <c r="K511" t="s">
        <v>23</v>
      </c>
    </row>
    <row r="512" spans="1:11" x14ac:dyDescent="0.35">
      <c r="A512" t="s">
        <v>14</v>
      </c>
      <c r="B512" t="s">
        <v>53</v>
      </c>
      <c r="C512" t="s">
        <v>555</v>
      </c>
      <c r="D512" t="s">
        <v>17</v>
      </c>
      <c r="E512" t="s">
        <v>556</v>
      </c>
      <c r="F512" t="s">
        <v>19</v>
      </c>
      <c r="G512" t="s">
        <v>56</v>
      </c>
      <c r="H512" t="s">
        <v>21</v>
      </c>
      <c r="I512" t="s">
        <v>73</v>
      </c>
      <c r="J512">
        <v>2278</v>
      </c>
      <c r="K512" t="s">
        <v>23</v>
      </c>
    </row>
    <row r="513" spans="1:11" x14ac:dyDescent="0.35">
      <c r="A513" t="s">
        <v>317</v>
      </c>
      <c r="B513" t="s">
        <v>53</v>
      </c>
      <c r="C513" t="s">
        <v>750</v>
      </c>
      <c r="D513" t="s">
        <v>319</v>
      </c>
      <c r="E513" t="s">
        <v>446</v>
      </c>
      <c r="F513" t="s">
        <v>19</v>
      </c>
      <c r="G513" t="s">
        <v>56</v>
      </c>
      <c r="H513" t="s">
        <v>21</v>
      </c>
      <c r="I513" t="s">
        <v>73</v>
      </c>
      <c r="J513">
        <v>1104</v>
      </c>
      <c r="K513" t="s">
        <v>23</v>
      </c>
    </row>
    <row r="514" spans="1:11" x14ac:dyDescent="0.35">
      <c r="A514" t="s">
        <v>317</v>
      </c>
      <c r="B514" t="s">
        <v>53</v>
      </c>
      <c r="C514" t="s">
        <v>1088</v>
      </c>
      <c r="D514" t="s">
        <v>319</v>
      </c>
      <c r="E514" t="s">
        <v>185</v>
      </c>
      <c r="F514" t="s">
        <v>19</v>
      </c>
      <c r="G514" t="s">
        <v>56</v>
      </c>
      <c r="H514" t="s">
        <v>21</v>
      </c>
      <c r="I514" t="s">
        <v>73</v>
      </c>
      <c r="J514">
        <v>1001</v>
      </c>
      <c r="K514" t="s">
        <v>673</v>
      </c>
    </row>
    <row r="515" spans="1:11" x14ac:dyDescent="0.35">
      <c r="A515" t="s">
        <v>317</v>
      </c>
      <c r="B515" t="s">
        <v>53</v>
      </c>
      <c r="C515" t="s">
        <v>1823</v>
      </c>
      <c r="D515" t="s">
        <v>319</v>
      </c>
      <c r="E515" t="s">
        <v>556</v>
      </c>
      <c r="F515" t="s">
        <v>19</v>
      </c>
      <c r="G515" t="s">
        <v>56</v>
      </c>
      <c r="H515" t="s">
        <v>21</v>
      </c>
      <c r="I515" t="s">
        <v>73</v>
      </c>
      <c r="J515">
        <v>2278</v>
      </c>
      <c r="K515" t="s">
        <v>23</v>
      </c>
    </row>
    <row r="516" spans="1:11" x14ac:dyDescent="0.35">
      <c r="A516" t="s">
        <v>14</v>
      </c>
      <c r="B516" t="s">
        <v>15</v>
      </c>
      <c r="C516" t="s">
        <v>70</v>
      </c>
      <c r="D516" t="s">
        <v>17</v>
      </c>
      <c r="E516" t="s">
        <v>71</v>
      </c>
      <c r="F516" t="s">
        <v>19</v>
      </c>
      <c r="G516" t="s">
        <v>72</v>
      </c>
      <c r="H516" t="s">
        <v>21</v>
      </c>
      <c r="I516" t="s">
        <v>73</v>
      </c>
      <c r="J516">
        <v>5762</v>
      </c>
      <c r="K516" t="s">
        <v>23</v>
      </c>
    </row>
    <row r="517" spans="1:11" x14ac:dyDescent="0.35">
      <c r="A517" t="s">
        <v>14</v>
      </c>
      <c r="B517" t="s">
        <v>15</v>
      </c>
      <c r="C517" t="s">
        <v>93</v>
      </c>
      <c r="D517" t="s">
        <v>17</v>
      </c>
      <c r="E517" t="s">
        <v>94</v>
      </c>
      <c r="F517" t="s">
        <v>19</v>
      </c>
      <c r="G517" t="s">
        <v>95</v>
      </c>
      <c r="H517" t="s">
        <v>21</v>
      </c>
      <c r="I517" t="s">
        <v>73</v>
      </c>
      <c r="J517">
        <v>5750</v>
      </c>
      <c r="K517" t="s">
        <v>23</v>
      </c>
    </row>
    <row r="518" spans="1:11" x14ac:dyDescent="0.35">
      <c r="A518" t="s">
        <v>14</v>
      </c>
      <c r="B518" t="s">
        <v>15</v>
      </c>
      <c r="C518" t="s">
        <v>109</v>
      </c>
      <c r="D518" t="s">
        <v>17</v>
      </c>
      <c r="E518" t="s">
        <v>110</v>
      </c>
      <c r="F518" t="s">
        <v>19</v>
      </c>
      <c r="G518" t="s">
        <v>111</v>
      </c>
      <c r="H518" t="s">
        <v>21</v>
      </c>
      <c r="I518" t="s">
        <v>73</v>
      </c>
      <c r="J518">
        <v>5742</v>
      </c>
      <c r="K518" t="s">
        <v>23</v>
      </c>
    </row>
    <row r="519" spans="1:11" x14ac:dyDescent="0.35">
      <c r="A519" t="s">
        <v>14</v>
      </c>
      <c r="B519" t="s">
        <v>15</v>
      </c>
      <c r="C519" t="s">
        <v>187</v>
      </c>
      <c r="D519" t="s">
        <v>17</v>
      </c>
      <c r="E519" t="s">
        <v>188</v>
      </c>
      <c r="F519" t="s">
        <v>19</v>
      </c>
      <c r="G519" t="s">
        <v>189</v>
      </c>
      <c r="H519" t="s">
        <v>21</v>
      </c>
      <c r="I519" t="s">
        <v>73</v>
      </c>
      <c r="J519">
        <v>5740</v>
      </c>
      <c r="K519" t="s">
        <v>23</v>
      </c>
    </row>
    <row r="520" spans="1:11" x14ac:dyDescent="0.35">
      <c r="A520" t="s">
        <v>14</v>
      </c>
      <c r="B520" t="s">
        <v>15</v>
      </c>
      <c r="C520" t="s">
        <v>191</v>
      </c>
      <c r="D520" t="s">
        <v>17</v>
      </c>
      <c r="E520" t="s">
        <v>192</v>
      </c>
      <c r="F520" t="s">
        <v>19</v>
      </c>
      <c r="G520" t="s">
        <v>193</v>
      </c>
      <c r="H520" t="s">
        <v>21</v>
      </c>
      <c r="I520" t="s">
        <v>73</v>
      </c>
      <c r="J520">
        <v>8059</v>
      </c>
      <c r="K520" t="s">
        <v>23</v>
      </c>
    </row>
    <row r="521" spans="1:11" x14ac:dyDescent="0.35">
      <c r="A521" t="s">
        <v>14</v>
      </c>
      <c r="B521" t="s">
        <v>15</v>
      </c>
      <c r="C521" t="s">
        <v>195</v>
      </c>
      <c r="D521" t="s">
        <v>17</v>
      </c>
      <c r="E521" t="s">
        <v>196</v>
      </c>
      <c r="F521" t="s">
        <v>19</v>
      </c>
      <c r="G521" t="s">
        <v>197</v>
      </c>
      <c r="H521" t="s">
        <v>21</v>
      </c>
      <c r="I521" t="s">
        <v>73</v>
      </c>
      <c r="J521">
        <v>5747</v>
      </c>
      <c r="K521" t="s">
        <v>23</v>
      </c>
    </row>
    <row r="522" spans="1:11" x14ac:dyDescent="0.35">
      <c r="A522" t="s">
        <v>14</v>
      </c>
      <c r="B522" t="s">
        <v>15</v>
      </c>
      <c r="C522" t="s">
        <v>199</v>
      </c>
      <c r="D522" t="s">
        <v>17</v>
      </c>
      <c r="E522" t="s">
        <v>200</v>
      </c>
      <c r="F522" t="s">
        <v>19</v>
      </c>
      <c r="G522" t="s">
        <v>201</v>
      </c>
      <c r="H522" t="s">
        <v>21</v>
      </c>
      <c r="I522" t="s">
        <v>73</v>
      </c>
      <c r="J522">
        <v>5755</v>
      </c>
      <c r="K522" t="s">
        <v>23</v>
      </c>
    </row>
    <row r="523" spans="1:11" x14ac:dyDescent="0.35">
      <c r="A523" t="s">
        <v>14</v>
      </c>
      <c r="B523" t="s">
        <v>15</v>
      </c>
      <c r="C523" t="s">
        <v>265</v>
      </c>
      <c r="D523" t="s">
        <v>17</v>
      </c>
      <c r="E523" t="s">
        <v>266</v>
      </c>
      <c r="F523" t="s">
        <v>19</v>
      </c>
      <c r="G523" t="s">
        <v>267</v>
      </c>
      <c r="H523" t="s">
        <v>21</v>
      </c>
      <c r="I523" t="s">
        <v>73</v>
      </c>
      <c r="J523">
        <v>5758</v>
      </c>
      <c r="K523" t="s">
        <v>23</v>
      </c>
    </row>
    <row r="524" spans="1:11" x14ac:dyDescent="0.35">
      <c r="A524" t="s">
        <v>14</v>
      </c>
      <c r="B524" t="s">
        <v>15</v>
      </c>
      <c r="C524" t="s">
        <v>269</v>
      </c>
      <c r="D524" t="s">
        <v>17</v>
      </c>
      <c r="E524" t="s">
        <v>270</v>
      </c>
      <c r="F524" t="s">
        <v>19</v>
      </c>
      <c r="G524" t="s">
        <v>271</v>
      </c>
      <c r="H524" t="s">
        <v>21</v>
      </c>
      <c r="I524" t="s">
        <v>73</v>
      </c>
      <c r="J524">
        <v>7054</v>
      </c>
      <c r="K524" t="s">
        <v>23</v>
      </c>
    </row>
    <row r="525" spans="1:11" x14ac:dyDescent="0.35">
      <c r="A525" t="s">
        <v>14</v>
      </c>
      <c r="B525" t="s">
        <v>15</v>
      </c>
      <c r="C525" t="s">
        <v>273</v>
      </c>
      <c r="D525" t="s">
        <v>17</v>
      </c>
      <c r="E525" t="s">
        <v>200</v>
      </c>
      <c r="F525" t="s">
        <v>19</v>
      </c>
      <c r="G525" t="s">
        <v>201</v>
      </c>
      <c r="H525" t="s">
        <v>21</v>
      </c>
      <c r="I525" t="s">
        <v>73</v>
      </c>
      <c r="J525">
        <v>5755</v>
      </c>
      <c r="K525" t="s">
        <v>23</v>
      </c>
    </row>
    <row r="526" spans="1:11" x14ac:dyDescent="0.35">
      <c r="A526" t="s">
        <v>14</v>
      </c>
      <c r="B526" t="s">
        <v>15</v>
      </c>
      <c r="C526" t="s">
        <v>441</v>
      </c>
      <c r="D526" t="s">
        <v>17</v>
      </c>
      <c r="E526" t="s">
        <v>442</v>
      </c>
      <c r="F526" t="s">
        <v>19</v>
      </c>
      <c r="G526" t="s">
        <v>443</v>
      </c>
      <c r="H526" t="s">
        <v>21</v>
      </c>
      <c r="I526" t="s">
        <v>73</v>
      </c>
      <c r="J526">
        <v>5743</v>
      </c>
      <c r="K526" t="s">
        <v>23</v>
      </c>
    </row>
    <row r="527" spans="1:11" x14ac:dyDescent="0.35">
      <c r="A527" t="s">
        <v>14</v>
      </c>
      <c r="B527" t="s">
        <v>15</v>
      </c>
      <c r="C527" t="s">
        <v>553</v>
      </c>
      <c r="D527" t="s">
        <v>17</v>
      </c>
      <c r="E527" t="s">
        <v>71</v>
      </c>
      <c r="F527" t="s">
        <v>19</v>
      </c>
      <c r="G527" t="s">
        <v>72</v>
      </c>
      <c r="H527" t="s">
        <v>21</v>
      </c>
      <c r="I527" t="s">
        <v>73</v>
      </c>
      <c r="J527">
        <v>5762</v>
      </c>
      <c r="K527" t="s">
        <v>23</v>
      </c>
    </row>
    <row r="528" spans="1:11" x14ac:dyDescent="0.35">
      <c r="A528" t="s">
        <v>14</v>
      </c>
      <c r="B528" t="s">
        <v>15</v>
      </c>
      <c r="C528" t="s">
        <v>558</v>
      </c>
      <c r="D528" t="s">
        <v>17</v>
      </c>
      <c r="E528" t="s">
        <v>559</v>
      </c>
      <c r="F528" t="s">
        <v>19</v>
      </c>
      <c r="G528" t="s">
        <v>560</v>
      </c>
      <c r="H528" t="s">
        <v>21</v>
      </c>
      <c r="I528" t="s">
        <v>73</v>
      </c>
      <c r="J528">
        <v>7751</v>
      </c>
      <c r="K528" t="s">
        <v>23</v>
      </c>
    </row>
    <row r="529" spans="1:11" x14ac:dyDescent="0.35">
      <c r="A529" t="s">
        <v>14</v>
      </c>
      <c r="B529" t="s">
        <v>15</v>
      </c>
      <c r="C529" t="s">
        <v>679</v>
      </c>
      <c r="D529" t="s">
        <v>17</v>
      </c>
      <c r="E529" t="s">
        <v>188</v>
      </c>
      <c r="F529" t="s">
        <v>19</v>
      </c>
      <c r="G529" t="s">
        <v>189</v>
      </c>
      <c r="H529" t="s">
        <v>21</v>
      </c>
      <c r="I529" t="s">
        <v>73</v>
      </c>
      <c r="J529">
        <v>5740</v>
      </c>
      <c r="K529" t="s">
        <v>23</v>
      </c>
    </row>
    <row r="530" spans="1:11" x14ac:dyDescent="0.35">
      <c r="A530" t="s">
        <v>14</v>
      </c>
      <c r="B530" t="s">
        <v>15</v>
      </c>
      <c r="C530" t="s">
        <v>720</v>
      </c>
      <c r="D530" t="s">
        <v>17</v>
      </c>
      <c r="E530" t="s">
        <v>559</v>
      </c>
      <c r="F530" t="s">
        <v>19</v>
      </c>
      <c r="G530" t="s">
        <v>560</v>
      </c>
      <c r="H530" t="s">
        <v>21</v>
      </c>
      <c r="I530" t="s">
        <v>73</v>
      </c>
      <c r="J530">
        <v>7751</v>
      </c>
      <c r="K530" t="s">
        <v>23</v>
      </c>
    </row>
    <row r="531" spans="1:11" x14ac:dyDescent="0.35">
      <c r="A531" t="s">
        <v>14</v>
      </c>
      <c r="B531" t="s">
        <v>15</v>
      </c>
      <c r="C531" t="s">
        <v>752</v>
      </c>
      <c r="D531" t="s">
        <v>17</v>
      </c>
      <c r="E531" t="s">
        <v>94</v>
      </c>
      <c r="F531" t="s">
        <v>19</v>
      </c>
      <c r="G531" t="s">
        <v>95</v>
      </c>
      <c r="H531" t="s">
        <v>21</v>
      </c>
      <c r="I531" t="s">
        <v>73</v>
      </c>
      <c r="J531">
        <v>5750</v>
      </c>
      <c r="K531" t="s">
        <v>23</v>
      </c>
    </row>
    <row r="532" spans="1:11" x14ac:dyDescent="0.35">
      <c r="A532" t="s">
        <v>14</v>
      </c>
      <c r="B532" t="s">
        <v>15</v>
      </c>
      <c r="C532" t="s">
        <v>1285</v>
      </c>
      <c r="D532" t="s">
        <v>17</v>
      </c>
      <c r="E532" t="s">
        <v>1286</v>
      </c>
      <c r="F532" t="s">
        <v>19</v>
      </c>
      <c r="G532" t="s">
        <v>1287</v>
      </c>
      <c r="H532" t="s">
        <v>21</v>
      </c>
      <c r="I532" t="s">
        <v>73</v>
      </c>
      <c r="J532">
        <v>8060</v>
      </c>
      <c r="K532" t="s">
        <v>23</v>
      </c>
    </row>
    <row r="533" spans="1:11" x14ac:dyDescent="0.35">
      <c r="A533" t="s">
        <v>14</v>
      </c>
      <c r="B533" t="s">
        <v>15</v>
      </c>
      <c r="C533" t="s">
        <v>1289</v>
      </c>
      <c r="D533" t="s">
        <v>17</v>
      </c>
      <c r="E533" t="s">
        <v>196</v>
      </c>
      <c r="F533" t="s">
        <v>19</v>
      </c>
      <c r="G533" t="s">
        <v>197</v>
      </c>
      <c r="H533" t="s">
        <v>21</v>
      </c>
      <c r="I533" t="s">
        <v>73</v>
      </c>
      <c r="J533">
        <v>5747</v>
      </c>
      <c r="K533" t="s">
        <v>23</v>
      </c>
    </row>
    <row r="534" spans="1:11" x14ac:dyDescent="0.35">
      <c r="A534" t="s">
        <v>14</v>
      </c>
      <c r="B534" t="s">
        <v>15</v>
      </c>
      <c r="C534" t="s">
        <v>1407</v>
      </c>
      <c r="D534" t="s">
        <v>17</v>
      </c>
      <c r="E534" t="s">
        <v>1408</v>
      </c>
      <c r="F534" t="s">
        <v>19</v>
      </c>
      <c r="G534" t="s">
        <v>1409</v>
      </c>
      <c r="H534" t="s">
        <v>21</v>
      </c>
      <c r="I534" t="s">
        <v>73</v>
      </c>
      <c r="J534">
        <v>5749</v>
      </c>
      <c r="K534" t="s">
        <v>23</v>
      </c>
    </row>
    <row r="535" spans="1:11" x14ac:dyDescent="0.35">
      <c r="A535" t="s">
        <v>14</v>
      </c>
      <c r="B535" t="s">
        <v>15</v>
      </c>
      <c r="C535" t="s">
        <v>1517</v>
      </c>
      <c r="D535" t="s">
        <v>17</v>
      </c>
      <c r="E535" t="s">
        <v>110</v>
      </c>
      <c r="F535" t="s">
        <v>19</v>
      </c>
      <c r="G535" t="s">
        <v>111</v>
      </c>
      <c r="H535" t="s">
        <v>21</v>
      </c>
      <c r="I535" t="s">
        <v>73</v>
      </c>
      <c r="J535">
        <v>5742</v>
      </c>
      <c r="K535" t="s">
        <v>23</v>
      </c>
    </row>
    <row r="536" spans="1:11" x14ac:dyDescent="0.35">
      <c r="A536" t="s">
        <v>14</v>
      </c>
      <c r="B536" t="s">
        <v>15</v>
      </c>
      <c r="C536" t="s">
        <v>1579</v>
      </c>
      <c r="D536" t="s">
        <v>17</v>
      </c>
      <c r="E536" t="s">
        <v>192</v>
      </c>
      <c r="F536" t="s">
        <v>19</v>
      </c>
      <c r="G536" t="s">
        <v>193</v>
      </c>
      <c r="H536" t="s">
        <v>21</v>
      </c>
      <c r="I536" t="s">
        <v>73</v>
      </c>
      <c r="J536">
        <v>8059</v>
      </c>
      <c r="K536" t="s">
        <v>23</v>
      </c>
    </row>
    <row r="537" spans="1:11" x14ac:dyDescent="0.35">
      <c r="A537" t="s">
        <v>14</v>
      </c>
      <c r="B537" t="s">
        <v>15</v>
      </c>
      <c r="C537" t="s">
        <v>1580</v>
      </c>
      <c r="D537" t="s">
        <v>17</v>
      </c>
      <c r="E537" t="s">
        <v>270</v>
      </c>
      <c r="F537" t="s">
        <v>19</v>
      </c>
      <c r="G537" t="s">
        <v>271</v>
      </c>
      <c r="H537" t="s">
        <v>21</v>
      </c>
      <c r="I537" t="s">
        <v>73</v>
      </c>
      <c r="J537">
        <v>7054</v>
      </c>
      <c r="K537" t="s">
        <v>23</v>
      </c>
    </row>
    <row r="538" spans="1:11" x14ac:dyDescent="0.35">
      <c r="A538" t="s">
        <v>14</v>
      </c>
      <c r="B538" t="s">
        <v>15</v>
      </c>
      <c r="C538" t="s">
        <v>1584</v>
      </c>
      <c r="D538" t="s">
        <v>17</v>
      </c>
      <c r="E538" t="s">
        <v>1286</v>
      </c>
      <c r="F538" t="s">
        <v>19</v>
      </c>
      <c r="G538" t="s">
        <v>1287</v>
      </c>
      <c r="H538" t="s">
        <v>21</v>
      </c>
      <c r="I538" t="s">
        <v>73</v>
      </c>
      <c r="J538">
        <v>8060</v>
      </c>
      <c r="K538" t="s">
        <v>23</v>
      </c>
    </row>
    <row r="539" spans="1:11" x14ac:dyDescent="0.35">
      <c r="A539" t="s">
        <v>317</v>
      </c>
      <c r="B539" t="s">
        <v>15</v>
      </c>
      <c r="C539" t="s">
        <v>538</v>
      </c>
      <c r="D539" t="s">
        <v>319</v>
      </c>
      <c r="E539" t="s">
        <v>188</v>
      </c>
      <c r="F539" t="s">
        <v>19</v>
      </c>
      <c r="G539" t="s">
        <v>189</v>
      </c>
      <c r="H539" t="s">
        <v>21</v>
      </c>
      <c r="I539" t="s">
        <v>73</v>
      </c>
      <c r="J539">
        <v>5740</v>
      </c>
      <c r="K539" t="s">
        <v>23</v>
      </c>
    </row>
    <row r="540" spans="1:11" x14ac:dyDescent="0.35">
      <c r="A540" t="s">
        <v>317</v>
      </c>
      <c r="B540" t="s">
        <v>15</v>
      </c>
      <c r="C540" t="s">
        <v>879</v>
      </c>
      <c r="D540" t="s">
        <v>319</v>
      </c>
      <c r="E540" t="s">
        <v>442</v>
      </c>
      <c r="F540" t="s">
        <v>19</v>
      </c>
      <c r="G540" t="s">
        <v>443</v>
      </c>
      <c r="H540" t="s">
        <v>21</v>
      </c>
      <c r="I540" t="s">
        <v>73</v>
      </c>
      <c r="J540">
        <v>5743</v>
      </c>
      <c r="K540" t="s">
        <v>673</v>
      </c>
    </row>
    <row r="541" spans="1:11" x14ac:dyDescent="0.35">
      <c r="A541" t="s">
        <v>317</v>
      </c>
      <c r="B541" t="s">
        <v>15</v>
      </c>
      <c r="C541" t="s">
        <v>881</v>
      </c>
      <c r="D541" t="s">
        <v>319</v>
      </c>
      <c r="E541" t="s">
        <v>196</v>
      </c>
      <c r="F541" t="s">
        <v>19</v>
      </c>
      <c r="G541" t="s">
        <v>197</v>
      </c>
      <c r="H541" t="s">
        <v>21</v>
      </c>
      <c r="I541" t="s">
        <v>73</v>
      </c>
      <c r="J541">
        <v>5747</v>
      </c>
      <c r="K541" t="s">
        <v>673</v>
      </c>
    </row>
    <row r="542" spans="1:11" x14ac:dyDescent="0.35">
      <c r="A542" t="s">
        <v>317</v>
      </c>
      <c r="B542" t="s">
        <v>15</v>
      </c>
      <c r="C542" t="s">
        <v>1010</v>
      </c>
      <c r="D542" t="s">
        <v>319</v>
      </c>
      <c r="E542" t="s">
        <v>270</v>
      </c>
      <c r="F542" t="s">
        <v>19</v>
      </c>
      <c r="G542" t="s">
        <v>271</v>
      </c>
      <c r="H542" t="s">
        <v>21</v>
      </c>
      <c r="I542" t="s">
        <v>73</v>
      </c>
      <c r="J542">
        <v>7054</v>
      </c>
      <c r="K542" t="s">
        <v>673</v>
      </c>
    </row>
    <row r="543" spans="1:11" x14ac:dyDescent="0.35">
      <c r="A543" t="s">
        <v>317</v>
      </c>
      <c r="B543" t="s">
        <v>15</v>
      </c>
      <c r="C543" t="s">
        <v>1086</v>
      </c>
      <c r="D543" t="s">
        <v>319</v>
      </c>
      <c r="E543" t="s">
        <v>94</v>
      </c>
      <c r="F543" t="s">
        <v>19</v>
      </c>
      <c r="G543" t="s">
        <v>95</v>
      </c>
      <c r="H543" t="s">
        <v>21</v>
      </c>
      <c r="I543" t="s">
        <v>73</v>
      </c>
      <c r="J543">
        <v>5750</v>
      </c>
      <c r="K543" t="s">
        <v>673</v>
      </c>
    </row>
    <row r="544" spans="1:11" x14ac:dyDescent="0.35">
      <c r="A544" t="s">
        <v>317</v>
      </c>
      <c r="B544" t="s">
        <v>15</v>
      </c>
      <c r="C544" t="s">
        <v>1109</v>
      </c>
      <c r="D544" t="s">
        <v>319</v>
      </c>
      <c r="E544" t="s">
        <v>192</v>
      </c>
      <c r="F544" t="s">
        <v>19</v>
      </c>
      <c r="G544" t="s">
        <v>193</v>
      </c>
      <c r="H544" t="s">
        <v>21</v>
      </c>
      <c r="I544" t="s">
        <v>73</v>
      </c>
      <c r="J544">
        <v>8059</v>
      </c>
      <c r="K544" t="s">
        <v>673</v>
      </c>
    </row>
    <row r="545" spans="1:11" x14ac:dyDescent="0.35">
      <c r="A545" t="s">
        <v>317</v>
      </c>
      <c r="B545" t="s">
        <v>15</v>
      </c>
      <c r="C545" t="s">
        <v>1121</v>
      </c>
      <c r="D545" t="s">
        <v>319</v>
      </c>
      <c r="E545" t="s">
        <v>71</v>
      </c>
      <c r="F545" t="s">
        <v>19</v>
      </c>
      <c r="G545" t="s">
        <v>72</v>
      </c>
      <c r="H545" t="s">
        <v>21</v>
      </c>
      <c r="I545" t="s">
        <v>73</v>
      </c>
      <c r="J545">
        <v>5762</v>
      </c>
      <c r="K545" t="s">
        <v>673</v>
      </c>
    </row>
    <row r="546" spans="1:11" x14ac:dyDescent="0.35">
      <c r="A546" t="s">
        <v>317</v>
      </c>
      <c r="B546" t="s">
        <v>15</v>
      </c>
      <c r="C546" t="s">
        <v>1291</v>
      </c>
      <c r="D546" t="s">
        <v>319</v>
      </c>
      <c r="E546" t="s">
        <v>1286</v>
      </c>
      <c r="F546" t="s">
        <v>19</v>
      </c>
      <c r="G546" t="s">
        <v>1287</v>
      </c>
      <c r="H546" t="s">
        <v>21</v>
      </c>
      <c r="I546" t="s">
        <v>73</v>
      </c>
      <c r="J546">
        <v>8060</v>
      </c>
      <c r="K546" t="s">
        <v>673</v>
      </c>
    </row>
    <row r="547" spans="1:11" x14ac:dyDescent="0.35">
      <c r="A547" t="s">
        <v>317</v>
      </c>
      <c r="B547" t="s">
        <v>15</v>
      </c>
      <c r="C547" t="s">
        <v>1294</v>
      </c>
      <c r="D547" t="s">
        <v>319</v>
      </c>
      <c r="E547" t="s">
        <v>559</v>
      </c>
      <c r="F547" t="s">
        <v>19</v>
      </c>
      <c r="G547" t="s">
        <v>560</v>
      </c>
      <c r="H547" t="s">
        <v>21</v>
      </c>
      <c r="I547" t="s">
        <v>73</v>
      </c>
      <c r="J547">
        <v>7751</v>
      </c>
      <c r="K547" t="s">
        <v>673</v>
      </c>
    </row>
    <row r="548" spans="1:11" x14ac:dyDescent="0.35">
      <c r="A548" t="s">
        <v>317</v>
      </c>
      <c r="B548" t="s">
        <v>15</v>
      </c>
      <c r="C548" t="s">
        <v>1582</v>
      </c>
      <c r="D548" t="s">
        <v>319</v>
      </c>
      <c r="E548" t="s">
        <v>110</v>
      </c>
      <c r="F548" t="s">
        <v>19</v>
      </c>
      <c r="G548" t="s">
        <v>111</v>
      </c>
      <c r="H548" t="s">
        <v>21</v>
      </c>
      <c r="I548" t="s">
        <v>73</v>
      </c>
      <c r="J548">
        <v>5742</v>
      </c>
      <c r="K548" t="s">
        <v>673</v>
      </c>
    </row>
    <row r="549" spans="1:11" x14ac:dyDescent="0.35">
      <c r="A549" t="s">
        <v>317</v>
      </c>
      <c r="B549" t="s">
        <v>15</v>
      </c>
      <c r="C549" t="s">
        <v>1655</v>
      </c>
      <c r="D549" t="s">
        <v>319</v>
      </c>
      <c r="E549" t="s">
        <v>266</v>
      </c>
      <c r="F549" t="s">
        <v>19</v>
      </c>
      <c r="G549" t="s">
        <v>267</v>
      </c>
      <c r="H549" t="s">
        <v>21</v>
      </c>
      <c r="I549" t="s">
        <v>73</v>
      </c>
      <c r="J549">
        <v>5758</v>
      </c>
      <c r="K549" t="s">
        <v>673</v>
      </c>
    </row>
    <row r="550" spans="1:11" x14ac:dyDescent="0.35">
      <c r="A550" t="s">
        <v>317</v>
      </c>
      <c r="B550" t="s">
        <v>15</v>
      </c>
      <c r="C550" t="s">
        <v>1659</v>
      </c>
      <c r="D550" t="s">
        <v>319</v>
      </c>
      <c r="E550" t="s">
        <v>200</v>
      </c>
      <c r="F550" t="s">
        <v>19</v>
      </c>
      <c r="G550" t="s">
        <v>201</v>
      </c>
      <c r="H550" t="s">
        <v>21</v>
      </c>
      <c r="I550" t="s">
        <v>73</v>
      </c>
      <c r="J550">
        <v>5755</v>
      </c>
      <c r="K550" t="s">
        <v>673</v>
      </c>
    </row>
    <row r="551" spans="1:11" x14ac:dyDescent="0.35">
      <c r="A551" t="s">
        <v>317</v>
      </c>
      <c r="B551" t="s">
        <v>15</v>
      </c>
      <c r="C551" t="s">
        <v>1661</v>
      </c>
      <c r="D551" t="s">
        <v>319</v>
      </c>
      <c r="E551" t="s">
        <v>1408</v>
      </c>
      <c r="F551" t="s">
        <v>19</v>
      </c>
      <c r="G551" t="s">
        <v>1409</v>
      </c>
      <c r="H551" t="s">
        <v>21</v>
      </c>
      <c r="I551" t="s">
        <v>73</v>
      </c>
      <c r="J551">
        <v>5749</v>
      </c>
      <c r="K551" t="s">
        <v>673</v>
      </c>
    </row>
    <row r="552" spans="1:11" x14ac:dyDescent="0.35">
      <c r="A552" t="s">
        <v>317</v>
      </c>
      <c r="B552" t="s">
        <v>15</v>
      </c>
      <c r="C552" t="s">
        <v>1871</v>
      </c>
      <c r="D552" t="s">
        <v>319</v>
      </c>
      <c r="E552" t="s">
        <v>266</v>
      </c>
      <c r="F552" t="s">
        <v>19</v>
      </c>
      <c r="G552" t="s">
        <v>267</v>
      </c>
      <c r="H552" t="s">
        <v>21</v>
      </c>
      <c r="I552" t="s">
        <v>73</v>
      </c>
      <c r="J552">
        <v>5758</v>
      </c>
      <c r="K552" t="s">
        <v>673</v>
      </c>
    </row>
    <row r="553" spans="1:11" x14ac:dyDescent="0.35">
      <c r="A553" t="s">
        <v>317</v>
      </c>
      <c r="B553" t="s">
        <v>15</v>
      </c>
      <c r="C553" t="s">
        <v>1872</v>
      </c>
      <c r="D553" t="s">
        <v>319</v>
      </c>
      <c r="E553" t="s">
        <v>71</v>
      </c>
      <c r="F553" t="s">
        <v>19</v>
      </c>
      <c r="G553" t="s">
        <v>72</v>
      </c>
      <c r="H553" t="s">
        <v>21</v>
      </c>
      <c r="I553" t="s">
        <v>73</v>
      </c>
      <c r="J553">
        <v>5762</v>
      </c>
      <c r="K553" t="s">
        <v>673</v>
      </c>
    </row>
    <row r="554" spans="1:11" x14ac:dyDescent="0.35">
      <c r="A554" t="s">
        <v>317</v>
      </c>
      <c r="B554" t="s">
        <v>15</v>
      </c>
      <c r="C554" t="s">
        <v>1873</v>
      </c>
      <c r="D554" t="s">
        <v>319</v>
      </c>
      <c r="E554" t="s">
        <v>196</v>
      </c>
      <c r="F554" t="s">
        <v>19</v>
      </c>
      <c r="G554" t="s">
        <v>197</v>
      </c>
      <c r="H554" t="s">
        <v>21</v>
      </c>
      <c r="I554" t="s">
        <v>73</v>
      </c>
      <c r="J554">
        <v>5747</v>
      </c>
      <c r="K554" t="s">
        <v>673</v>
      </c>
    </row>
    <row r="555" spans="1:11" x14ac:dyDescent="0.35">
      <c r="A555" t="s">
        <v>317</v>
      </c>
      <c r="B555" t="s">
        <v>15</v>
      </c>
      <c r="C555" t="s">
        <v>1874</v>
      </c>
      <c r="D555" t="s">
        <v>319</v>
      </c>
      <c r="E555" t="s">
        <v>94</v>
      </c>
      <c r="F555" t="s">
        <v>19</v>
      </c>
      <c r="G555" t="s">
        <v>95</v>
      </c>
      <c r="H555" t="s">
        <v>21</v>
      </c>
      <c r="I555" t="s">
        <v>73</v>
      </c>
      <c r="J555">
        <v>5750</v>
      </c>
      <c r="K555" t="s">
        <v>673</v>
      </c>
    </row>
    <row r="556" spans="1:11" x14ac:dyDescent="0.35">
      <c r="A556" t="s">
        <v>14</v>
      </c>
      <c r="B556" t="s">
        <v>32</v>
      </c>
      <c r="C556" t="s">
        <v>177</v>
      </c>
      <c r="D556" t="s">
        <v>17</v>
      </c>
      <c r="E556" t="s">
        <v>178</v>
      </c>
      <c r="F556" t="s">
        <v>19</v>
      </c>
      <c r="G556" t="s">
        <v>35</v>
      </c>
      <c r="H556" t="s">
        <v>21</v>
      </c>
      <c r="I556" t="s">
        <v>57</v>
      </c>
      <c r="J556">
        <v>342</v>
      </c>
      <c r="K556" t="s">
        <v>23</v>
      </c>
    </row>
    <row r="557" spans="1:11" x14ac:dyDescent="0.35">
      <c r="A557" t="s">
        <v>14</v>
      </c>
      <c r="B557" t="s">
        <v>32</v>
      </c>
      <c r="C557" t="s">
        <v>680</v>
      </c>
      <c r="D557" t="s">
        <v>17</v>
      </c>
      <c r="E557" t="s">
        <v>178</v>
      </c>
      <c r="F557" t="s">
        <v>19</v>
      </c>
      <c r="G557" t="s">
        <v>35</v>
      </c>
      <c r="H557" t="s">
        <v>21</v>
      </c>
      <c r="I557" t="s">
        <v>57</v>
      </c>
      <c r="J557">
        <v>342</v>
      </c>
      <c r="K557" t="s">
        <v>23</v>
      </c>
    </row>
    <row r="558" spans="1:11" x14ac:dyDescent="0.35">
      <c r="A558" t="s">
        <v>14</v>
      </c>
      <c r="B558" t="s">
        <v>32</v>
      </c>
      <c r="C558" t="s">
        <v>1739</v>
      </c>
      <c r="D558" t="s">
        <v>17</v>
      </c>
      <c r="E558" t="s">
        <v>178</v>
      </c>
      <c r="F558" t="s">
        <v>19</v>
      </c>
      <c r="G558" t="s">
        <v>35</v>
      </c>
      <c r="H558" t="s">
        <v>21</v>
      </c>
      <c r="I558" t="s">
        <v>57</v>
      </c>
      <c r="J558">
        <v>342</v>
      </c>
      <c r="K558" t="s">
        <v>23</v>
      </c>
    </row>
    <row r="559" spans="1:11" x14ac:dyDescent="0.35">
      <c r="A559" t="s">
        <v>317</v>
      </c>
      <c r="B559" t="s">
        <v>32</v>
      </c>
      <c r="C559" t="s">
        <v>742</v>
      </c>
      <c r="D559" t="s">
        <v>319</v>
      </c>
      <c r="E559" t="s">
        <v>178</v>
      </c>
      <c r="F559" t="s">
        <v>19</v>
      </c>
      <c r="G559" t="s">
        <v>35</v>
      </c>
      <c r="H559" t="s">
        <v>21</v>
      </c>
      <c r="I559" t="s">
        <v>57</v>
      </c>
      <c r="J559">
        <v>342</v>
      </c>
      <c r="K559" t="s">
        <v>23</v>
      </c>
    </row>
    <row r="560" spans="1:11" x14ac:dyDescent="0.35">
      <c r="A560" t="s">
        <v>317</v>
      </c>
      <c r="B560" t="s">
        <v>32</v>
      </c>
      <c r="C560" t="s">
        <v>916</v>
      </c>
      <c r="D560" t="s">
        <v>319</v>
      </c>
      <c r="E560" t="s">
        <v>178</v>
      </c>
      <c r="F560" t="s">
        <v>19</v>
      </c>
      <c r="G560" t="s">
        <v>35</v>
      </c>
      <c r="H560" t="s">
        <v>21</v>
      </c>
      <c r="I560" t="s">
        <v>57</v>
      </c>
      <c r="J560">
        <v>342</v>
      </c>
      <c r="K560" t="s">
        <v>673</v>
      </c>
    </row>
    <row r="561" spans="1:11" x14ac:dyDescent="0.35">
      <c r="A561" t="s">
        <v>317</v>
      </c>
      <c r="B561" t="s">
        <v>32</v>
      </c>
      <c r="C561" t="s">
        <v>1735</v>
      </c>
      <c r="D561" t="s">
        <v>319</v>
      </c>
      <c r="E561" t="s">
        <v>178</v>
      </c>
      <c r="F561" t="s">
        <v>19</v>
      </c>
      <c r="G561" t="s">
        <v>35</v>
      </c>
      <c r="H561" t="s">
        <v>21</v>
      </c>
      <c r="I561" t="s">
        <v>57</v>
      </c>
      <c r="J561">
        <v>342</v>
      </c>
      <c r="K561" t="s">
        <v>673</v>
      </c>
    </row>
    <row r="562" spans="1:11" x14ac:dyDescent="0.35">
      <c r="A562" t="s">
        <v>317</v>
      </c>
      <c r="B562" t="s">
        <v>32</v>
      </c>
      <c r="C562" t="s">
        <v>1903</v>
      </c>
      <c r="D562" t="s">
        <v>319</v>
      </c>
      <c r="E562" t="s">
        <v>178</v>
      </c>
      <c r="F562" t="s">
        <v>19</v>
      </c>
      <c r="G562" t="s">
        <v>35</v>
      </c>
      <c r="H562" t="s">
        <v>21</v>
      </c>
      <c r="I562" t="s">
        <v>57</v>
      </c>
      <c r="J562">
        <v>342</v>
      </c>
      <c r="K562" t="s">
        <v>673</v>
      </c>
    </row>
    <row r="563" spans="1:11" x14ac:dyDescent="0.35">
      <c r="A563" t="s">
        <v>74</v>
      </c>
      <c r="B563" t="s">
        <v>32</v>
      </c>
      <c r="C563" t="s">
        <v>571</v>
      </c>
      <c r="D563" t="s">
        <v>76</v>
      </c>
      <c r="E563" t="s">
        <v>178</v>
      </c>
      <c r="F563" t="s">
        <v>19</v>
      </c>
      <c r="G563" t="s">
        <v>35</v>
      </c>
      <c r="H563" t="s">
        <v>21</v>
      </c>
      <c r="I563" t="s">
        <v>57</v>
      </c>
      <c r="J563">
        <v>342</v>
      </c>
      <c r="K563" t="s">
        <v>23</v>
      </c>
    </row>
    <row r="564" spans="1:11" x14ac:dyDescent="0.35">
      <c r="A564" t="s">
        <v>74</v>
      </c>
      <c r="B564" t="s">
        <v>32</v>
      </c>
      <c r="C564" t="s">
        <v>926</v>
      </c>
      <c r="D564" t="s">
        <v>76</v>
      </c>
      <c r="E564" t="s">
        <v>178</v>
      </c>
      <c r="F564" t="s">
        <v>19</v>
      </c>
      <c r="G564" t="s">
        <v>35</v>
      </c>
      <c r="H564" t="s">
        <v>21</v>
      </c>
      <c r="I564" t="s">
        <v>57</v>
      </c>
      <c r="J564">
        <v>342</v>
      </c>
      <c r="K564" t="s">
        <v>23</v>
      </c>
    </row>
    <row r="565" spans="1:11" x14ac:dyDescent="0.35">
      <c r="A565" t="s">
        <v>14</v>
      </c>
      <c r="B565" t="s">
        <v>53</v>
      </c>
      <c r="C565" t="s">
        <v>54</v>
      </c>
      <c r="D565" t="s">
        <v>17</v>
      </c>
      <c r="E565" t="s">
        <v>55</v>
      </c>
      <c r="F565" t="s">
        <v>19</v>
      </c>
      <c r="G565" t="s">
        <v>56</v>
      </c>
      <c r="H565" t="s">
        <v>21</v>
      </c>
      <c r="I565" t="s">
        <v>57</v>
      </c>
      <c r="J565">
        <v>2206</v>
      </c>
      <c r="K565" t="s">
        <v>23</v>
      </c>
    </row>
    <row r="566" spans="1:11" x14ac:dyDescent="0.35">
      <c r="A566" t="s">
        <v>14</v>
      </c>
      <c r="B566" t="s">
        <v>53</v>
      </c>
      <c r="C566" t="s">
        <v>113</v>
      </c>
      <c r="D566" t="s">
        <v>17</v>
      </c>
      <c r="E566" t="s">
        <v>114</v>
      </c>
      <c r="F566" t="s">
        <v>19</v>
      </c>
      <c r="G566" t="s">
        <v>56</v>
      </c>
      <c r="H566" t="s">
        <v>21</v>
      </c>
      <c r="I566" t="s">
        <v>57</v>
      </c>
      <c r="J566">
        <v>2205</v>
      </c>
      <c r="K566" t="s">
        <v>23</v>
      </c>
    </row>
    <row r="567" spans="1:11" x14ac:dyDescent="0.35">
      <c r="A567" t="s">
        <v>14</v>
      </c>
      <c r="B567" t="s">
        <v>53</v>
      </c>
      <c r="C567" t="s">
        <v>516</v>
      </c>
      <c r="D567" t="s">
        <v>17</v>
      </c>
      <c r="E567" t="s">
        <v>517</v>
      </c>
      <c r="F567" t="s">
        <v>19</v>
      </c>
      <c r="G567" t="s">
        <v>56</v>
      </c>
      <c r="H567" t="s">
        <v>21</v>
      </c>
      <c r="I567" t="s">
        <v>57</v>
      </c>
      <c r="J567">
        <v>2089</v>
      </c>
      <c r="K567" t="s">
        <v>23</v>
      </c>
    </row>
    <row r="568" spans="1:11" x14ac:dyDescent="0.35">
      <c r="A568" t="s">
        <v>14</v>
      </c>
      <c r="B568" t="s">
        <v>53</v>
      </c>
      <c r="C568" t="s">
        <v>540</v>
      </c>
      <c r="D568" t="s">
        <v>17</v>
      </c>
      <c r="E568" t="s">
        <v>541</v>
      </c>
      <c r="F568" t="s">
        <v>19</v>
      </c>
      <c r="G568" t="s">
        <v>56</v>
      </c>
      <c r="H568" t="s">
        <v>21</v>
      </c>
      <c r="I568" t="s">
        <v>57</v>
      </c>
      <c r="J568">
        <v>1103</v>
      </c>
      <c r="K568" t="s">
        <v>23</v>
      </c>
    </row>
    <row r="569" spans="1:11" x14ac:dyDescent="0.35">
      <c r="A569" t="s">
        <v>14</v>
      </c>
      <c r="B569" t="s">
        <v>53</v>
      </c>
      <c r="C569" t="s">
        <v>744</v>
      </c>
      <c r="D569" t="s">
        <v>17</v>
      </c>
      <c r="E569" t="s">
        <v>114</v>
      </c>
      <c r="F569" t="s">
        <v>19</v>
      </c>
      <c r="G569" t="s">
        <v>56</v>
      </c>
      <c r="H569" t="s">
        <v>21</v>
      </c>
      <c r="I569" t="s">
        <v>57</v>
      </c>
      <c r="J569">
        <v>2205</v>
      </c>
      <c r="K569" t="s">
        <v>23</v>
      </c>
    </row>
    <row r="570" spans="1:11" x14ac:dyDescent="0.35">
      <c r="A570" t="s">
        <v>14</v>
      </c>
      <c r="B570" t="s">
        <v>53</v>
      </c>
      <c r="C570" t="s">
        <v>1097</v>
      </c>
      <c r="D570" t="s">
        <v>17</v>
      </c>
      <c r="E570" t="s">
        <v>541</v>
      </c>
      <c r="F570" t="s">
        <v>19</v>
      </c>
      <c r="G570" t="s">
        <v>56</v>
      </c>
      <c r="H570" t="s">
        <v>21</v>
      </c>
      <c r="I570" t="s">
        <v>57</v>
      </c>
      <c r="J570">
        <v>1103</v>
      </c>
      <c r="K570" t="s">
        <v>23</v>
      </c>
    </row>
    <row r="571" spans="1:11" x14ac:dyDescent="0.35">
      <c r="A571" t="s">
        <v>14</v>
      </c>
      <c r="B571" t="s">
        <v>53</v>
      </c>
      <c r="C571" t="s">
        <v>1528</v>
      </c>
      <c r="D571" t="s">
        <v>17</v>
      </c>
      <c r="E571" t="s">
        <v>55</v>
      </c>
      <c r="F571" t="s">
        <v>19</v>
      </c>
      <c r="G571" t="s">
        <v>56</v>
      </c>
      <c r="H571" t="s">
        <v>21</v>
      </c>
      <c r="I571" t="s">
        <v>57</v>
      </c>
      <c r="J571">
        <v>2206</v>
      </c>
      <c r="K571" t="s">
        <v>23</v>
      </c>
    </row>
    <row r="572" spans="1:11" x14ac:dyDescent="0.35">
      <c r="A572" t="s">
        <v>14</v>
      </c>
      <c r="B572" t="s">
        <v>53</v>
      </c>
      <c r="C572" t="s">
        <v>1834</v>
      </c>
      <c r="D572" t="s">
        <v>17</v>
      </c>
      <c r="E572" t="s">
        <v>1091</v>
      </c>
      <c r="F572" t="s">
        <v>19</v>
      </c>
      <c r="G572" t="s">
        <v>56</v>
      </c>
      <c r="H572" t="s">
        <v>21</v>
      </c>
      <c r="I572" t="s">
        <v>57</v>
      </c>
      <c r="J572">
        <v>2174</v>
      </c>
      <c r="K572" t="s">
        <v>23</v>
      </c>
    </row>
    <row r="573" spans="1:11" x14ac:dyDescent="0.35">
      <c r="A573" t="s">
        <v>14</v>
      </c>
      <c r="B573" t="s">
        <v>53</v>
      </c>
      <c r="C573" t="s">
        <v>1904</v>
      </c>
      <c r="D573" t="s">
        <v>17</v>
      </c>
      <c r="E573" t="s">
        <v>1091</v>
      </c>
      <c r="F573" t="s">
        <v>19</v>
      </c>
      <c r="G573" t="s">
        <v>56</v>
      </c>
      <c r="H573" t="s">
        <v>21</v>
      </c>
      <c r="I573" t="s">
        <v>57</v>
      </c>
      <c r="J573">
        <v>2174</v>
      </c>
      <c r="K573" t="s">
        <v>23</v>
      </c>
    </row>
    <row r="574" spans="1:11" x14ac:dyDescent="0.35">
      <c r="A574" t="s">
        <v>14</v>
      </c>
      <c r="B574" t="s">
        <v>53</v>
      </c>
      <c r="C574" t="s">
        <v>1908</v>
      </c>
      <c r="D574" t="s">
        <v>17</v>
      </c>
      <c r="E574" t="s">
        <v>517</v>
      </c>
      <c r="F574" t="s">
        <v>19</v>
      </c>
      <c r="G574" t="s">
        <v>56</v>
      </c>
      <c r="H574" t="s">
        <v>21</v>
      </c>
      <c r="I574" t="s">
        <v>57</v>
      </c>
      <c r="J574">
        <v>2089</v>
      </c>
      <c r="K574" t="s">
        <v>23</v>
      </c>
    </row>
    <row r="575" spans="1:11" x14ac:dyDescent="0.35">
      <c r="A575" t="s">
        <v>317</v>
      </c>
      <c r="B575" t="s">
        <v>53</v>
      </c>
      <c r="C575" t="s">
        <v>1090</v>
      </c>
      <c r="D575" t="s">
        <v>319</v>
      </c>
      <c r="E575" t="s">
        <v>1091</v>
      </c>
      <c r="F575" t="s">
        <v>19</v>
      </c>
      <c r="G575" t="s">
        <v>56</v>
      </c>
      <c r="H575" t="s">
        <v>21</v>
      </c>
      <c r="I575" t="s">
        <v>57</v>
      </c>
      <c r="J575">
        <v>2174</v>
      </c>
      <c r="K575" t="s">
        <v>673</v>
      </c>
    </row>
    <row r="576" spans="1:11" x14ac:dyDescent="0.35">
      <c r="A576" t="s">
        <v>317</v>
      </c>
      <c r="B576" t="s">
        <v>53</v>
      </c>
      <c r="C576" t="s">
        <v>1105</v>
      </c>
      <c r="D576" t="s">
        <v>319</v>
      </c>
      <c r="E576" t="s">
        <v>541</v>
      </c>
      <c r="F576" t="s">
        <v>19</v>
      </c>
      <c r="G576" t="s">
        <v>56</v>
      </c>
      <c r="H576" t="s">
        <v>21</v>
      </c>
      <c r="I576" t="s">
        <v>57</v>
      </c>
      <c r="J576">
        <v>1103</v>
      </c>
      <c r="K576" t="s">
        <v>673</v>
      </c>
    </row>
    <row r="577" spans="1:11" x14ac:dyDescent="0.35">
      <c r="A577" t="s">
        <v>317</v>
      </c>
      <c r="B577" t="s">
        <v>53</v>
      </c>
      <c r="C577" t="s">
        <v>1570</v>
      </c>
      <c r="D577" t="s">
        <v>319</v>
      </c>
      <c r="E577" t="s">
        <v>55</v>
      </c>
      <c r="F577" t="s">
        <v>19</v>
      </c>
      <c r="G577" t="s">
        <v>56</v>
      </c>
      <c r="H577" t="s">
        <v>21</v>
      </c>
      <c r="I577" t="s">
        <v>57</v>
      </c>
      <c r="J577">
        <v>2206</v>
      </c>
      <c r="K577" t="s">
        <v>673</v>
      </c>
    </row>
    <row r="578" spans="1:11" x14ac:dyDescent="0.35">
      <c r="A578" t="s">
        <v>317</v>
      </c>
      <c r="B578" t="s">
        <v>53</v>
      </c>
      <c r="C578" t="s">
        <v>1762</v>
      </c>
      <c r="D578" t="s">
        <v>319</v>
      </c>
      <c r="E578" t="s">
        <v>1091</v>
      </c>
      <c r="F578" t="s">
        <v>19</v>
      </c>
      <c r="G578" t="s">
        <v>56</v>
      </c>
      <c r="H578" t="s">
        <v>21</v>
      </c>
      <c r="I578" t="s">
        <v>57</v>
      </c>
      <c r="J578">
        <v>2174</v>
      </c>
      <c r="K578" t="s">
        <v>673</v>
      </c>
    </row>
    <row r="579" spans="1:11" x14ac:dyDescent="0.35">
      <c r="A579" t="s">
        <v>317</v>
      </c>
      <c r="B579" t="s">
        <v>53</v>
      </c>
      <c r="C579" t="s">
        <v>1905</v>
      </c>
      <c r="D579" t="s">
        <v>319</v>
      </c>
      <c r="E579" t="s">
        <v>114</v>
      </c>
      <c r="F579" t="s">
        <v>19</v>
      </c>
      <c r="G579" t="s">
        <v>56</v>
      </c>
      <c r="H579" t="s">
        <v>21</v>
      </c>
      <c r="I579" t="s">
        <v>57</v>
      </c>
      <c r="J579">
        <v>2205</v>
      </c>
      <c r="K579" t="s">
        <v>673</v>
      </c>
    </row>
    <row r="580" spans="1:11" x14ac:dyDescent="0.35">
      <c r="A580" t="s">
        <v>317</v>
      </c>
      <c r="B580" t="s">
        <v>53</v>
      </c>
      <c r="C580" t="s">
        <v>1906</v>
      </c>
      <c r="D580" t="s">
        <v>319</v>
      </c>
      <c r="E580" t="s">
        <v>517</v>
      </c>
      <c r="F580" t="s">
        <v>19</v>
      </c>
      <c r="G580" t="s">
        <v>56</v>
      </c>
      <c r="H580" t="s">
        <v>21</v>
      </c>
      <c r="I580" t="s">
        <v>57</v>
      </c>
      <c r="J580">
        <v>2089</v>
      </c>
      <c r="K580" t="s">
        <v>673</v>
      </c>
    </row>
    <row r="581" spans="1:11" x14ac:dyDescent="0.35">
      <c r="A581" t="s">
        <v>14</v>
      </c>
      <c r="B581" t="s">
        <v>15</v>
      </c>
      <c r="C581" t="s">
        <v>116</v>
      </c>
      <c r="D581" t="s">
        <v>17</v>
      </c>
      <c r="E581" t="s">
        <v>117</v>
      </c>
      <c r="F581" t="s">
        <v>19</v>
      </c>
      <c r="G581" t="s">
        <v>118</v>
      </c>
      <c r="H581" t="s">
        <v>21</v>
      </c>
      <c r="I581" t="s">
        <v>57</v>
      </c>
      <c r="J581">
        <v>5753</v>
      </c>
      <c r="K581" t="s">
        <v>23</v>
      </c>
    </row>
    <row r="582" spans="1:11" x14ac:dyDescent="0.35">
      <c r="A582" t="s">
        <v>14</v>
      </c>
      <c r="B582" t="s">
        <v>15</v>
      </c>
      <c r="C582" t="s">
        <v>180</v>
      </c>
      <c r="D582" t="s">
        <v>17</v>
      </c>
      <c r="E582" t="s">
        <v>181</v>
      </c>
      <c r="F582" t="s">
        <v>19</v>
      </c>
      <c r="G582" t="s">
        <v>182</v>
      </c>
      <c r="H582" t="s">
        <v>21</v>
      </c>
      <c r="I582" t="s">
        <v>57</v>
      </c>
      <c r="J582">
        <v>5763</v>
      </c>
      <c r="K582" t="s">
        <v>23</v>
      </c>
    </row>
    <row r="583" spans="1:11" x14ac:dyDescent="0.35">
      <c r="A583" t="s">
        <v>14</v>
      </c>
      <c r="B583" t="s">
        <v>15</v>
      </c>
      <c r="C583" t="s">
        <v>284</v>
      </c>
      <c r="D583" t="s">
        <v>17</v>
      </c>
      <c r="E583" t="s">
        <v>285</v>
      </c>
      <c r="F583" t="s">
        <v>19</v>
      </c>
      <c r="G583" t="s">
        <v>286</v>
      </c>
      <c r="H583" t="s">
        <v>21</v>
      </c>
      <c r="I583" t="s">
        <v>57</v>
      </c>
      <c r="J583">
        <v>5746</v>
      </c>
      <c r="K583" t="s">
        <v>23</v>
      </c>
    </row>
    <row r="584" spans="1:11" x14ac:dyDescent="0.35">
      <c r="A584" t="s">
        <v>14</v>
      </c>
      <c r="B584" t="s">
        <v>15</v>
      </c>
      <c r="C584" t="s">
        <v>288</v>
      </c>
      <c r="D584" t="s">
        <v>17</v>
      </c>
      <c r="E584" t="s">
        <v>117</v>
      </c>
      <c r="F584" t="s">
        <v>19</v>
      </c>
      <c r="G584" t="s">
        <v>118</v>
      </c>
      <c r="H584" t="s">
        <v>21</v>
      </c>
      <c r="I584" t="s">
        <v>57</v>
      </c>
      <c r="J584">
        <v>5753</v>
      </c>
      <c r="K584" t="s">
        <v>23</v>
      </c>
    </row>
    <row r="585" spans="1:11" x14ac:dyDescent="0.35">
      <c r="A585" t="s">
        <v>14</v>
      </c>
      <c r="B585" t="s">
        <v>15</v>
      </c>
      <c r="C585" t="s">
        <v>343</v>
      </c>
      <c r="D585" t="s">
        <v>17</v>
      </c>
      <c r="E585" t="s">
        <v>344</v>
      </c>
      <c r="F585" t="s">
        <v>19</v>
      </c>
      <c r="G585" t="s">
        <v>345</v>
      </c>
      <c r="H585" t="s">
        <v>21</v>
      </c>
      <c r="I585" t="s">
        <v>57</v>
      </c>
      <c r="J585">
        <v>5745</v>
      </c>
      <c r="K585" t="s">
        <v>23</v>
      </c>
    </row>
    <row r="586" spans="1:11" x14ac:dyDescent="0.35">
      <c r="A586" t="s">
        <v>14</v>
      </c>
      <c r="B586" t="s">
        <v>15</v>
      </c>
      <c r="C586" t="s">
        <v>386</v>
      </c>
      <c r="D586" t="s">
        <v>17</v>
      </c>
      <c r="E586" t="s">
        <v>387</v>
      </c>
      <c r="F586" t="s">
        <v>19</v>
      </c>
      <c r="G586" t="s">
        <v>388</v>
      </c>
      <c r="H586" t="s">
        <v>21</v>
      </c>
      <c r="I586" t="s">
        <v>57</v>
      </c>
      <c r="J586">
        <v>7975</v>
      </c>
      <c r="K586" t="s">
        <v>23</v>
      </c>
    </row>
    <row r="587" spans="1:11" x14ac:dyDescent="0.35">
      <c r="A587" t="s">
        <v>14</v>
      </c>
      <c r="B587" t="s">
        <v>15</v>
      </c>
      <c r="C587" t="s">
        <v>430</v>
      </c>
      <c r="D587" t="s">
        <v>17</v>
      </c>
      <c r="E587" t="s">
        <v>431</v>
      </c>
      <c r="F587" t="s">
        <v>19</v>
      </c>
      <c r="G587" t="s">
        <v>432</v>
      </c>
      <c r="H587" t="s">
        <v>21</v>
      </c>
      <c r="I587" t="s">
        <v>57</v>
      </c>
      <c r="J587">
        <v>7770</v>
      </c>
      <c r="K587" t="s">
        <v>23</v>
      </c>
    </row>
    <row r="588" spans="1:11" x14ac:dyDescent="0.35">
      <c r="A588" t="s">
        <v>14</v>
      </c>
      <c r="B588" t="s">
        <v>15</v>
      </c>
      <c r="C588" t="s">
        <v>463</v>
      </c>
      <c r="D588" t="s">
        <v>17</v>
      </c>
      <c r="E588" t="s">
        <v>464</v>
      </c>
      <c r="F588" t="s">
        <v>19</v>
      </c>
      <c r="G588" t="s">
        <v>465</v>
      </c>
      <c r="H588" t="s">
        <v>21</v>
      </c>
      <c r="I588" t="s">
        <v>57</v>
      </c>
      <c r="J588">
        <v>5739</v>
      </c>
      <c r="K588" t="s">
        <v>23</v>
      </c>
    </row>
    <row r="589" spans="1:11" x14ac:dyDescent="0.35">
      <c r="A589" t="s">
        <v>14</v>
      </c>
      <c r="B589" t="s">
        <v>15</v>
      </c>
      <c r="C589" t="s">
        <v>611</v>
      </c>
      <c r="D589" t="s">
        <v>17</v>
      </c>
      <c r="E589" t="s">
        <v>387</v>
      </c>
      <c r="F589" t="s">
        <v>19</v>
      </c>
      <c r="G589" t="s">
        <v>388</v>
      </c>
      <c r="H589" t="s">
        <v>21</v>
      </c>
      <c r="I589" t="s">
        <v>57</v>
      </c>
      <c r="J589">
        <v>7975</v>
      </c>
      <c r="K589" t="s">
        <v>23</v>
      </c>
    </row>
    <row r="590" spans="1:11" x14ac:dyDescent="0.35">
      <c r="A590" t="s">
        <v>14</v>
      </c>
      <c r="B590" t="s">
        <v>15</v>
      </c>
      <c r="C590" t="s">
        <v>617</v>
      </c>
      <c r="D590" t="s">
        <v>17</v>
      </c>
      <c r="E590" t="s">
        <v>618</v>
      </c>
      <c r="F590" t="s">
        <v>19</v>
      </c>
      <c r="G590" t="s">
        <v>619</v>
      </c>
      <c r="H590" t="s">
        <v>21</v>
      </c>
      <c r="I590" t="s">
        <v>57</v>
      </c>
      <c r="J590">
        <v>5761</v>
      </c>
      <c r="K590" t="s">
        <v>23</v>
      </c>
    </row>
    <row r="591" spans="1:11" x14ac:dyDescent="0.35">
      <c r="A591" t="s">
        <v>14</v>
      </c>
      <c r="B591" t="s">
        <v>15</v>
      </c>
      <c r="C591" t="s">
        <v>621</v>
      </c>
      <c r="D591" t="s">
        <v>17</v>
      </c>
      <c r="E591" t="s">
        <v>618</v>
      </c>
      <c r="F591" t="s">
        <v>19</v>
      </c>
      <c r="G591" t="s">
        <v>619</v>
      </c>
      <c r="H591" t="s">
        <v>21</v>
      </c>
      <c r="I591" t="s">
        <v>57</v>
      </c>
      <c r="J591">
        <v>5761</v>
      </c>
      <c r="K591" t="s">
        <v>23</v>
      </c>
    </row>
    <row r="592" spans="1:11" x14ac:dyDescent="0.35">
      <c r="A592" t="s">
        <v>14</v>
      </c>
      <c r="B592" t="s">
        <v>15</v>
      </c>
      <c r="C592" t="s">
        <v>675</v>
      </c>
      <c r="D592" t="s">
        <v>17</v>
      </c>
      <c r="E592" t="s">
        <v>676</v>
      </c>
      <c r="F592" t="s">
        <v>19</v>
      </c>
      <c r="G592" t="s">
        <v>677</v>
      </c>
      <c r="H592" t="s">
        <v>21</v>
      </c>
      <c r="I592" t="s">
        <v>57</v>
      </c>
      <c r="J592">
        <v>5757</v>
      </c>
      <c r="K592" t="s">
        <v>23</v>
      </c>
    </row>
    <row r="593" spans="1:11" x14ac:dyDescent="0.35">
      <c r="A593" t="s">
        <v>14</v>
      </c>
      <c r="B593" t="s">
        <v>15</v>
      </c>
      <c r="C593" t="s">
        <v>682</v>
      </c>
      <c r="D593" t="s">
        <v>17</v>
      </c>
      <c r="E593" t="s">
        <v>431</v>
      </c>
      <c r="F593" t="s">
        <v>19</v>
      </c>
      <c r="G593" t="s">
        <v>432</v>
      </c>
      <c r="H593" t="s">
        <v>21</v>
      </c>
      <c r="I593" t="s">
        <v>57</v>
      </c>
      <c r="J593">
        <v>7770</v>
      </c>
      <c r="K593" t="s">
        <v>23</v>
      </c>
    </row>
    <row r="594" spans="1:11" x14ac:dyDescent="0.35">
      <c r="A594" t="s">
        <v>14</v>
      </c>
      <c r="B594" t="s">
        <v>15</v>
      </c>
      <c r="C594" t="s">
        <v>739</v>
      </c>
      <c r="D594" t="s">
        <v>17</v>
      </c>
      <c r="E594" t="s">
        <v>740</v>
      </c>
      <c r="F594" t="s">
        <v>19</v>
      </c>
      <c r="G594" t="s">
        <v>741</v>
      </c>
      <c r="H594" t="s">
        <v>21</v>
      </c>
      <c r="I594" t="s">
        <v>57</v>
      </c>
      <c r="J594">
        <v>5788</v>
      </c>
      <c r="K594" t="s">
        <v>23</v>
      </c>
    </row>
    <row r="595" spans="1:11" x14ac:dyDescent="0.35">
      <c r="A595" t="s">
        <v>14</v>
      </c>
      <c r="B595" t="s">
        <v>15</v>
      </c>
      <c r="C595" t="s">
        <v>864</v>
      </c>
      <c r="D595" t="s">
        <v>17</v>
      </c>
      <c r="E595" t="s">
        <v>464</v>
      </c>
      <c r="F595" t="s">
        <v>19</v>
      </c>
      <c r="G595" t="s">
        <v>465</v>
      </c>
      <c r="H595" t="s">
        <v>21</v>
      </c>
      <c r="I595" t="s">
        <v>57</v>
      </c>
      <c r="J595">
        <v>5739</v>
      </c>
      <c r="K595" t="s">
        <v>23</v>
      </c>
    </row>
    <row r="596" spans="1:11" x14ac:dyDescent="0.35">
      <c r="A596" t="s">
        <v>14</v>
      </c>
      <c r="B596" t="s">
        <v>15</v>
      </c>
      <c r="C596" t="s">
        <v>866</v>
      </c>
      <c r="D596" t="s">
        <v>17</v>
      </c>
      <c r="E596" t="s">
        <v>867</v>
      </c>
      <c r="F596" t="s">
        <v>19</v>
      </c>
      <c r="G596" t="s">
        <v>868</v>
      </c>
      <c r="H596" t="s">
        <v>21</v>
      </c>
      <c r="I596" t="s">
        <v>57</v>
      </c>
      <c r="J596">
        <v>3396</v>
      </c>
      <c r="K596" t="s">
        <v>23</v>
      </c>
    </row>
    <row r="597" spans="1:11" x14ac:dyDescent="0.35">
      <c r="A597" t="s">
        <v>14</v>
      </c>
      <c r="B597" t="s">
        <v>15</v>
      </c>
      <c r="C597" t="s">
        <v>1041</v>
      </c>
      <c r="D597" t="s">
        <v>17</v>
      </c>
      <c r="E597" t="s">
        <v>676</v>
      </c>
      <c r="F597" t="s">
        <v>19</v>
      </c>
      <c r="G597" t="s">
        <v>677</v>
      </c>
      <c r="H597" t="s">
        <v>21</v>
      </c>
      <c r="I597" t="s">
        <v>57</v>
      </c>
      <c r="J597">
        <v>5757</v>
      </c>
      <c r="K597" t="s">
        <v>23</v>
      </c>
    </row>
    <row r="598" spans="1:11" x14ac:dyDescent="0.35">
      <c r="A598" t="s">
        <v>14</v>
      </c>
      <c r="B598" t="s">
        <v>15</v>
      </c>
      <c r="C598" t="s">
        <v>1099</v>
      </c>
      <c r="D598" t="s">
        <v>17</v>
      </c>
      <c r="E598" t="s">
        <v>740</v>
      </c>
      <c r="F598" t="s">
        <v>19</v>
      </c>
      <c r="G598" t="s">
        <v>741</v>
      </c>
      <c r="H598" t="s">
        <v>21</v>
      </c>
      <c r="I598" t="s">
        <v>57</v>
      </c>
      <c r="J598">
        <v>5788</v>
      </c>
      <c r="K598" t="s">
        <v>23</v>
      </c>
    </row>
    <row r="599" spans="1:11" x14ac:dyDescent="0.35">
      <c r="A599" t="s">
        <v>14</v>
      </c>
      <c r="B599" t="s">
        <v>15</v>
      </c>
      <c r="C599" t="s">
        <v>1101</v>
      </c>
      <c r="D599" t="s">
        <v>17</v>
      </c>
      <c r="E599" t="s">
        <v>867</v>
      </c>
      <c r="F599" t="s">
        <v>19</v>
      </c>
      <c r="G599" t="s">
        <v>868</v>
      </c>
      <c r="H599" t="s">
        <v>21</v>
      </c>
      <c r="I599" t="s">
        <v>57</v>
      </c>
      <c r="J599">
        <v>3396</v>
      </c>
      <c r="K599" t="s">
        <v>23</v>
      </c>
    </row>
    <row r="600" spans="1:11" x14ac:dyDescent="0.35">
      <c r="A600" t="s">
        <v>14</v>
      </c>
      <c r="B600" t="s">
        <v>15</v>
      </c>
      <c r="C600" t="s">
        <v>1525</v>
      </c>
      <c r="D600" t="s">
        <v>17</v>
      </c>
      <c r="E600" t="s">
        <v>464</v>
      </c>
      <c r="F600" t="s">
        <v>19</v>
      </c>
      <c r="G600" t="s">
        <v>1526</v>
      </c>
      <c r="H600" t="s">
        <v>21</v>
      </c>
      <c r="I600" t="s">
        <v>57</v>
      </c>
      <c r="J600">
        <v>5739</v>
      </c>
      <c r="K600" t="s">
        <v>23</v>
      </c>
    </row>
    <row r="601" spans="1:11" x14ac:dyDescent="0.35">
      <c r="A601" t="s">
        <v>14</v>
      </c>
      <c r="B601" t="s">
        <v>15</v>
      </c>
      <c r="C601" t="s">
        <v>1527</v>
      </c>
      <c r="D601" t="s">
        <v>17</v>
      </c>
      <c r="E601" t="s">
        <v>181</v>
      </c>
      <c r="F601" t="s">
        <v>19</v>
      </c>
      <c r="G601" t="s">
        <v>182</v>
      </c>
      <c r="H601" t="s">
        <v>21</v>
      </c>
      <c r="I601" t="s">
        <v>57</v>
      </c>
      <c r="J601">
        <v>5763</v>
      </c>
      <c r="K601" t="s">
        <v>23</v>
      </c>
    </row>
    <row r="602" spans="1:11" x14ac:dyDescent="0.35">
      <c r="A602" t="s">
        <v>14</v>
      </c>
      <c r="B602" t="s">
        <v>15</v>
      </c>
      <c r="C602" t="s">
        <v>1736</v>
      </c>
      <c r="D602" t="s">
        <v>17</v>
      </c>
      <c r="E602" t="s">
        <v>1737</v>
      </c>
      <c r="F602" t="s">
        <v>19</v>
      </c>
      <c r="G602" t="s">
        <v>1738</v>
      </c>
      <c r="H602" t="s">
        <v>21</v>
      </c>
      <c r="I602" t="s">
        <v>57</v>
      </c>
      <c r="J602">
        <v>5756</v>
      </c>
      <c r="K602" t="s">
        <v>23</v>
      </c>
    </row>
    <row r="603" spans="1:11" x14ac:dyDescent="0.35">
      <c r="A603" t="s">
        <v>14</v>
      </c>
      <c r="B603" t="s">
        <v>15</v>
      </c>
      <c r="C603" t="s">
        <v>1760</v>
      </c>
      <c r="D603" t="s">
        <v>17</v>
      </c>
      <c r="E603" t="s">
        <v>285</v>
      </c>
      <c r="F603" t="s">
        <v>19</v>
      </c>
      <c r="G603" t="s">
        <v>286</v>
      </c>
      <c r="H603" t="s">
        <v>21</v>
      </c>
      <c r="I603" t="s">
        <v>57</v>
      </c>
      <c r="J603">
        <v>5746</v>
      </c>
      <c r="K603" t="s">
        <v>23</v>
      </c>
    </row>
    <row r="604" spans="1:11" x14ac:dyDescent="0.35">
      <c r="A604" t="s">
        <v>14</v>
      </c>
      <c r="B604" t="s">
        <v>15</v>
      </c>
      <c r="C604" t="s">
        <v>1835</v>
      </c>
      <c r="D604" t="s">
        <v>17</v>
      </c>
      <c r="E604" t="s">
        <v>740</v>
      </c>
      <c r="F604" t="s">
        <v>19</v>
      </c>
      <c r="G604" t="s">
        <v>1836</v>
      </c>
      <c r="H604" t="s">
        <v>21</v>
      </c>
      <c r="I604" t="s">
        <v>57</v>
      </c>
      <c r="J604">
        <v>5788</v>
      </c>
      <c r="K604" t="s">
        <v>23</v>
      </c>
    </row>
    <row r="605" spans="1:11" x14ac:dyDescent="0.35">
      <c r="A605" t="s">
        <v>14</v>
      </c>
      <c r="B605" t="s">
        <v>15</v>
      </c>
      <c r="C605" t="s">
        <v>1837</v>
      </c>
      <c r="D605" t="s">
        <v>17</v>
      </c>
      <c r="E605" t="s">
        <v>344</v>
      </c>
      <c r="F605" t="s">
        <v>19</v>
      </c>
      <c r="G605" t="s">
        <v>345</v>
      </c>
      <c r="H605" t="s">
        <v>21</v>
      </c>
      <c r="I605" t="s">
        <v>57</v>
      </c>
      <c r="J605">
        <v>5745</v>
      </c>
      <c r="K605" t="s">
        <v>23</v>
      </c>
    </row>
    <row r="606" spans="1:11" x14ac:dyDescent="0.35">
      <c r="A606" t="s">
        <v>14</v>
      </c>
      <c r="B606" t="s">
        <v>15</v>
      </c>
      <c r="C606" t="s">
        <v>1838</v>
      </c>
      <c r="D606" t="s">
        <v>17</v>
      </c>
      <c r="E606" t="s">
        <v>1737</v>
      </c>
      <c r="F606" t="s">
        <v>19</v>
      </c>
      <c r="G606" t="s">
        <v>1738</v>
      </c>
      <c r="H606" t="s">
        <v>21</v>
      </c>
      <c r="I606" t="s">
        <v>57</v>
      </c>
      <c r="J606">
        <v>5756</v>
      </c>
      <c r="K606" t="s">
        <v>23</v>
      </c>
    </row>
    <row r="607" spans="1:11" x14ac:dyDescent="0.35">
      <c r="A607" t="s">
        <v>14</v>
      </c>
      <c r="B607" t="s">
        <v>15</v>
      </c>
      <c r="C607" t="s">
        <v>1907</v>
      </c>
      <c r="D607" t="s">
        <v>17</v>
      </c>
      <c r="E607" t="s">
        <v>618</v>
      </c>
      <c r="F607" t="s">
        <v>19</v>
      </c>
      <c r="G607" t="s">
        <v>1840</v>
      </c>
      <c r="H607" t="s">
        <v>21</v>
      </c>
      <c r="I607" t="s">
        <v>57</v>
      </c>
      <c r="J607">
        <v>5761</v>
      </c>
      <c r="K607" t="s">
        <v>23</v>
      </c>
    </row>
    <row r="608" spans="1:11" x14ac:dyDescent="0.35">
      <c r="A608" t="s">
        <v>317</v>
      </c>
      <c r="B608" t="s">
        <v>15</v>
      </c>
      <c r="C608" t="s">
        <v>918</v>
      </c>
      <c r="D608" t="s">
        <v>319</v>
      </c>
      <c r="E608" t="s">
        <v>344</v>
      </c>
      <c r="F608" t="s">
        <v>19</v>
      </c>
      <c r="G608" t="s">
        <v>345</v>
      </c>
      <c r="H608" t="s">
        <v>21</v>
      </c>
      <c r="I608" t="s">
        <v>57</v>
      </c>
      <c r="J608">
        <v>5745</v>
      </c>
      <c r="K608" t="s">
        <v>673</v>
      </c>
    </row>
    <row r="609" spans="1:11" x14ac:dyDescent="0.35">
      <c r="A609" t="s">
        <v>317</v>
      </c>
      <c r="B609" t="s">
        <v>15</v>
      </c>
      <c r="C609" t="s">
        <v>1093</v>
      </c>
      <c r="D609" t="s">
        <v>319</v>
      </c>
      <c r="E609" t="s">
        <v>387</v>
      </c>
      <c r="F609" t="s">
        <v>19</v>
      </c>
      <c r="G609" t="s">
        <v>388</v>
      </c>
      <c r="H609" t="s">
        <v>21</v>
      </c>
      <c r="I609" t="s">
        <v>57</v>
      </c>
      <c r="J609">
        <v>7975</v>
      </c>
      <c r="K609" t="s">
        <v>673</v>
      </c>
    </row>
    <row r="610" spans="1:11" x14ac:dyDescent="0.35">
      <c r="A610" t="s">
        <v>317</v>
      </c>
      <c r="B610" t="s">
        <v>15</v>
      </c>
      <c r="C610" t="s">
        <v>1095</v>
      </c>
      <c r="D610" t="s">
        <v>319</v>
      </c>
      <c r="E610" t="s">
        <v>285</v>
      </c>
      <c r="F610" t="s">
        <v>19</v>
      </c>
      <c r="G610" t="s">
        <v>286</v>
      </c>
      <c r="H610" t="s">
        <v>21</v>
      </c>
      <c r="I610" t="s">
        <v>57</v>
      </c>
      <c r="J610">
        <v>5746</v>
      </c>
      <c r="K610" t="s">
        <v>673</v>
      </c>
    </row>
    <row r="611" spans="1:11" x14ac:dyDescent="0.35">
      <c r="A611" t="s">
        <v>317</v>
      </c>
      <c r="B611" t="s">
        <v>15</v>
      </c>
      <c r="C611" t="s">
        <v>1103</v>
      </c>
      <c r="D611" t="s">
        <v>319</v>
      </c>
      <c r="E611" t="s">
        <v>117</v>
      </c>
      <c r="F611" t="s">
        <v>19</v>
      </c>
      <c r="G611" t="s">
        <v>118</v>
      </c>
      <c r="H611" t="s">
        <v>21</v>
      </c>
      <c r="I611" t="s">
        <v>57</v>
      </c>
      <c r="J611">
        <v>5753</v>
      </c>
      <c r="K611" t="s">
        <v>673</v>
      </c>
    </row>
    <row r="612" spans="1:11" x14ac:dyDescent="0.35">
      <c r="A612" t="s">
        <v>317</v>
      </c>
      <c r="B612" t="s">
        <v>15</v>
      </c>
      <c r="C612" t="s">
        <v>1139</v>
      </c>
      <c r="D612" t="s">
        <v>319</v>
      </c>
      <c r="E612" t="s">
        <v>431</v>
      </c>
      <c r="F612" t="s">
        <v>19</v>
      </c>
      <c r="G612" t="s">
        <v>432</v>
      </c>
      <c r="H612" t="s">
        <v>21</v>
      </c>
      <c r="I612" t="s">
        <v>57</v>
      </c>
      <c r="J612">
        <v>7770</v>
      </c>
      <c r="K612" t="s">
        <v>673</v>
      </c>
    </row>
    <row r="613" spans="1:11" x14ac:dyDescent="0.35">
      <c r="A613" t="s">
        <v>317</v>
      </c>
      <c r="B613" t="s">
        <v>15</v>
      </c>
      <c r="C613" t="s">
        <v>1529</v>
      </c>
      <c r="D613" t="s">
        <v>319</v>
      </c>
      <c r="E613" t="s">
        <v>867</v>
      </c>
      <c r="F613" t="s">
        <v>19</v>
      </c>
      <c r="G613" t="s">
        <v>868</v>
      </c>
      <c r="H613" t="s">
        <v>21</v>
      </c>
      <c r="I613" t="s">
        <v>57</v>
      </c>
      <c r="J613">
        <v>3396</v>
      </c>
      <c r="K613" t="s">
        <v>23</v>
      </c>
    </row>
    <row r="614" spans="1:11" x14ac:dyDescent="0.35">
      <c r="A614" t="s">
        <v>317</v>
      </c>
      <c r="B614" t="s">
        <v>15</v>
      </c>
      <c r="C614" t="s">
        <v>1568</v>
      </c>
      <c r="D614" t="s">
        <v>319</v>
      </c>
      <c r="E614" t="s">
        <v>181</v>
      </c>
      <c r="F614" t="s">
        <v>19</v>
      </c>
      <c r="G614" t="s">
        <v>182</v>
      </c>
      <c r="H614" t="s">
        <v>21</v>
      </c>
      <c r="I614" t="s">
        <v>57</v>
      </c>
      <c r="J614">
        <v>5763</v>
      </c>
      <c r="K614" t="s">
        <v>673</v>
      </c>
    </row>
    <row r="615" spans="1:11" x14ac:dyDescent="0.35">
      <c r="A615" t="s">
        <v>317</v>
      </c>
      <c r="B615" t="s">
        <v>15</v>
      </c>
      <c r="C615" t="s">
        <v>1569</v>
      </c>
      <c r="D615" t="s">
        <v>319</v>
      </c>
      <c r="E615" t="s">
        <v>740</v>
      </c>
      <c r="F615" t="s">
        <v>19</v>
      </c>
      <c r="G615" t="s">
        <v>741</v>
      </c>
      <c r="H615" t="s">
        <v>21</v>
      </c>
      <c r="I615" t="s">
        <v>57</v>
      </c>
      <c r="J615">
        <v>5788</v>
      </c>
      <c r="K615" t="s">
        <v>673</v>
      </c>
    </row>
    <row r="616" spans="1:11" x14ac:dyDescent="0.35">
      <c r="A616" t="s">
        <v>317</v>
      </c>
      <c r="B616" t="s">
        <v>15</v>
      </c>
      <c r="C616" t="s">
        <v>1660</v>
      </c>
      <c r="D616" t="s">
        <v>319</v>
      </c>
      <c r="E616" t="s">
        <v>618</v>
      </c>
      <c r="F616" t="s">
        <v>19</v>
      </c>
      <c r="G616" t="s">
        <v>619</v>
      </c>
      <c r="H616" t="s">
        <v>21</v>
      </c>
      <c r="I616" t="s">
        <v>57</v>
      </c>
      <c r="J616">
        <v>5761</v>
      </c>
      <c r="K616" t="s">
        <v>673</v>
      </c>
    </row>
    <row r="617" spans="1:11" x14ac:dyDescent="0.35">
      <c r="A617" t="s">
        <v>317</v>
      </c>
      <c r="B617" t="s">
        <v>15</v>
      </c>
      <c r="C617" t="s">
        <v>1761</v>
      </c>
      <c r="D617" t="s">
        <v>319</v>
      </c>
      <c r="E617" t="s">
        <v>1737</v>
      </c>
      <c r="F617" t="s">
        <v>19</v>
      </c>
      <c r="G617" t="s">
        <v>1738</v>
      </c>
      <c r="H617" t="s">
        <v>21</v>
      </c>
      <c r="I617" t="s">
        <v>57</v>
      </c>
      <c r="J617">
        <v>5756</v>
      </c>
      <c r="K617" t="s">
        <v>673</v>
      </c>
    </row>
    <row r="618" spans="1:11" x14ac:dyDescent="0.35">
      <c r="A618" t="s">
        <v>317</v>
      </c>
      <c r="B618" t="s">
        <v>15</v>
      </c>
      <c r="C618" t="s">
        <v>1763</v>
      </c>
      <c r="D618" t="s">
        <v>319</v>
      </c>
      <c r="E618" t="s">
        <v>676</v>
      </c>
      <c r="F618" t="s">
        <v>19</v>
      </c>
      <c r="G618" t="s">
        <v>677</v>
      </c>
      <c r="H618" t="s">
        <v>21</v>
      </c>
      <c r="I618" t="s">
        <v>57</v>
      </c>
      <c r="J618">
        <v>5757</v>
      </c>
      <c r="K618" t="s">
        <v>673</v>
      </c>
    </row>
    <row r="619" spans="1:11" x14ac:dyDescent="0.35">
      <c r="A619" t="s">
        <v>317</v>
      </c>
      <c r="B619" t="s">
        <v>15</v>
      </c>
      <c r="C619" t="s">
        <v>1839</v>
      </c>
      <c r="D619" t="s">
        <v>319</v>
      </c>
      <c r="E619" t="s">
        <v>618</v>
      </c>
      <c r="F619" t="s">
        <v>19</v>
      </c>
      <c r="G619" t="s">
        <v>1840</v>
      </c>
      <c r="H619" t="s">
        <v>21</v>
      </c>
      <c r="I619" t="s">
        <v>57</v>
      </c>
      <c r="J619">
        <v>5761</v>
      </c>
      <c r="K619" t="s">
        <v>673</v>
      </c>
    </row>
    <row r="620" spans="1:11" x14ac:dyDescent="0.35">
      <c r="A620" t="s">
        <v>317</v>
      </c>
      <c r="B620" t="s">
        <v>15</v>
      </c>
      <c r="C620" t="s">
        <v>1841</v>
      </c>
      <c r="D620" t="s">
        <v>319</v>
      </c>
      <c r="E620" t="s">
        <v>740</v>
      </c>
      <c r="F620" t="s">
        <v>19</v>
      </c>
      <c r="G620" t="s">
        <v>1836</v>
      </c>
      <c r="H620" t="s">
        <v>21</v>
      </c>
      <c r="I620" t="s">
        <v>57</v>
      </c>
      <c r="J620">
        <v>5788</v>
      </c>
      <c r="K620" t="s">
        <v>673</v>
      </c>
    </row>
    <row r="621" spans="1:11" x14ac:dyDescent="0.35">
      <c r="A621" t="s">
        <v>317</v>
      </c>
      <c r="B621" t="s">
        <v>15</v>
      </c>
      <c r="C621" t="s">
        <v>1842</v>
      </c>
      <c r="D621" t="s">
        <v>319</v>
      </c>
      <c r="E621" t="s">
        <v>464</v>
      </c>
      <c r="F621" t="s">
        <v>19</v>
      </c>
      <c r="G621" t="s">
        <v>1526</v>
      </c>
      <c r="H621" t="s">
        <v>21</v>
      </c>
      <c r="I621" t="s">
        <v>57</v>
      </c>
      <c r="J621">
        <v>5739</v>
      </c>
      <c r="K621" t="s">
        <v>673</v>
      </c>
    </row>
    <row r="622" spans="1:11" x14ac:dyDescent="0.35">
      <c r="A622" t="s">
        <v>14</v>
      </c>
      <c r="B622" t="s">
        <v>32</v>
      </c>
      <c r="C622" t="s">
        <v>244</v>
      </c>
      <c r="D622" t="s">
        <v>17</v>
      </c>
      <c r="E622" t="s">
        <v>245</v>
      </c>
      <c r="F622" t="s">
        <v>19</v>
      </c>
      <c r="G622" t="s">
        <v>35</v>
      </c>
      <c r="H622" t="s">
        <v>21</v>
      </c>
      <c r="I622" t="s">
        <v>246</v>
      </c>
      <c r="J622">
        <v>63</v>
      </c>
      <c r="K622" t="s">
        <v>23</v>
      </c>
    </row>
    <row r="623" spans="1:11" x14ac:dyDescent="0.35">
      <c r="A623" t="s">
        <v>14</v>
      </c>
      <c r="B623" t="s">
        <v>32</v>
      </c>
      <c r="C623" t="s">
        <v>1336</v>
      </c>
      <c r="D623" t="s">
        <v>17</v>
      </c>
      <c r="E623" t="s">
        <v>245</v>
      </c>
      <c r="F623" t="s">
        <v>19</v>
      </c>
      <c r="G623" t="s">
        <v>35</v>
      </c>
      <c r="H623" t="s">
        <v>21</v>
      </c>
      <c r="I623" t="s">
        <v>246</v>
      </c>
      <c r="J623">
        <v>63</v>
      </c>
      <c r="K623" t="s">
        <v>23</v>
      </c>
    </row>
    <row r="624" spans="1:11" x14ac:dyDescent="0.35">
      <c r="A624" t="s">
        <v>14</v>
      </c>
      <c r="B624" t="s">
        <v>32</v>
      </c>
      <c r="C624" t="s">
        <v>1539</v>
      </c>
      <c r="D624" t="s">
        <v>17</v>
      </c>
      <c r="E624" t="s">
        <v>245</v>
      </c>
      <c r="F624" t="s">
        <v>19</v>
      </c>
      <c r="G624" t="s">
        <v>35</v>
      </c>
      <c r="H624" t="s">
        <v>21</v>
      </c>
      <c r="I624" t="s">
        <v>246</v>
      </c>
      <c r="J624">
        <v>63</v>
      </c>
      <c r="K624" t="s">
        <v>23</v>
      </c>
    </row>
    <row r="625" spans="1:11" x14ac:dyDescent="0.35">
      <c r="A625" t="s">
        <v>14</v>
      </c>
      <c r="B625" t="s">
        <v>32</v>
      </c>
      <c r="C625" t="s">
        <v>1892</v>
      </c>
      <c r="D625" t="s">
        <v>17</v>
      </c>
      <c r="E625" t="s">
        <v>245</v>
      </c>
      <c r="F625" t="s">
        <v>19</v>
      </c>
      <c r="G625" t="s">
        <v>35</v>
      </c>
      <c r="H625" t="s">
        <v>21</v>
      </c>
      <c r="I625" t="s">
        <v>246</v>
      </c>
      <c r="J625">
        <v>63</v>
      </c>
      <c r="K625" t="s">
        <v>23</v>
      </c>
    </row>
    <row r="626" spans="1:11" x14ac:dyDescent="0.35">
      <c r="A626" t="s">
        <v>317</v>
      </c>
      <c r="B626" t="s">
        <v>32</v>
      </c>
      <c r="C626" t="s">
        <v>955</v>
      </c>
      <c r="D626" t="s">
        <v>319</v>
      </c>
      <c r="E626" t="s">
        <v>956</v>
      </c>
      <c r="F626" t="s">
        <v>19</v>
      </c>
      <c r="G626" t="s">
        <v>957</v>
      </c>
      <c r="H626" t="s">
        <v>21</v>
      </c>
      <c r="I626" t="s">
        <v>246</v>
      </c>
      <c r="J626">
        <v>63</v>
      </c>
      <c r="K626" t="s">
        <v>673</v>
      </c>
    </row>
    <row r="627" spans="1:11" x14ac:dyDescent="0.35">
      <c r="A627" t="s">
        <v>317</v>
      </c>
      <c r="B627" t="s">
        <v>32</v>
      </c>
      <c r="C627" t="s">
        <v>958</v>
      </c>
      <c r="D627" t="s">
        <v>319</v>
      </c>
      <c r="E627" t="s">
        <v>245</v>
      </c>
      <c r="F627" t="s">
        <v>19</v>
      </c>
      <c r="G627" t="s">
        <v>35</v>
      </c>
      <c r="H627" t="s">
        <v>21</v>
      </c>
      <c r="I627" t="s">
        <v>246</v>
      </c>
      <c r="J627">
        <v>63</v>
      </c>
      <c r="K627" t="s">
        <v>673</v>
      </c>
    </row>
    <row r="628" spans="1:11" x14ac:dyDescent="0.35">
      <c r="A628" t="s">
        <v>317</v>
      </c>
      <c r="B628" t="s">
        <v>32</v>
      </c>
      <c r="C628" t="s">
        <v>1319</v>
      </c>
      <c r="D628" t="s">
        <v>319</v>
      </c>
      <c r="E628" t="s">
        <v>245</v>
      </c>
      <c r="F628" t="s">
        <v>19</v>
      </c>
      <c r="G628" t="s">
        <v>35</v>
      </c>
      <c r="H628" t="s">
        <v>21</v>
      </c>
      <c r="I628" t="s">
        <v>246</v>
      </c>
      <c r="J628">
        <v>63</v>
      </c>
      <c r="K628" t="s">
        <v>673</v>
      </c>
    </row>
    <row r="629" spans="1:11" x14ac:dyDescent="0.35">
      <c r="A629" t="s">
        <v>317</v>
      </c>
      <c r="B629" t="s">
        <v>32</v>
      </c>
      <c r="C629" t="s">
        <v>1323</v>
      </c>
      <c r="D629" t="s">
        <v>319</v>
      </c>
      <c r="E629" t="s">
        <v>245</v>
      </c>
      <c r="F629" t="s">
        <v>19</v>
      </c>
      <c r="G629" t="s">
        <v>35</v>
      </c>
      <c r="H629" t="s">
        <v>21</v>
      </c>
      <c r="I629" t="s">
        <v>246</v>
      </c>
      <c r="J629">
        <v>63</v>
      </c>
      <c r="K629" t="s">
        <v>23</v>
      </c>
    </row>
    <row r="630" spans="1:11" x14ac:dyDescent="0.35">
      <c r="A630" t="s">
        <v>317</v>
      </c>
      <c r="B630" t="s">
        <v>32</v>
      </c>
      <c r="C630" t="s">
        <v>1674</v>
      </c>
      <c r="D630" t="s">
        <v>319</v>
      </c>
      <c r="E630" t="s">
        <v>1675</v>
      </c>
      <c r="F630" t="s">
        <v>19</v>
      </c>
      <c r="G630" t="s">
        <v>1676</v>
      </c>
      <c r="H630" t="s">
        <v>21</v>
      </c>
      <c r="I630" t="s">
        <v>246</v>
      </c>
      <c r="J630">
        <v>63</v>
      </c>
      <c r="K630" t="s">
        <v>673</v>
      </c>
    </row>
    <row r="631" spans="1:11" x14ac:dyDescent="0.35">
      <c r="A631" t="s">
        <v>317</v>
      </c>
      <c r="B631" t="s">
        <v>32</v>
      </c>
      <c r="C631" t="s">
        <v>1809</v>
      </c>
      <c r="D631" t="s">
        <v>319</v>
      </c>
      <c r="E631" t="s">
        <v>1810</v>
      </c>
      <c r="F631" t="s">
        <v>19</v>
      </c>
      <c r="G631" t="s">
        <v>1811</v>
      </c>
      <c r="H631" t="s">
        <v>21</v>
      </c>
      <c r="I631" t="s">
        <v>246</v>
      </c>
      <c r="J631">
        <v>63</v>
      </c>
      <c r="K631" t="s">
        <v>673</v>
      </c>
    </row>
    <row r="632" spans="1:11" x14ac:dyDescent="0.35">
      <c r="A632" t="s">
        <v>317</v>
      </c>
      <c r="B632" t="s">
        <v>32</v>
      </c>
      <c r="C632" t="s">
        <v>1912</v>
      </c>
      <c r="D632" t="s">
        <v>319</v>
      </c>
      <c r="E632" t="s">
        <v>245</v>
      </c>
      <c r="F632" t="s">
        <v>19</v>
      </c>
      <c r="G632" t="s">
        <v>35</v>
      </c>
      <c r="H632" t="s">
        <v>21</v>
      </c>
      <c r="I632" t="s">
        <v>246</v>
      </c>
      <c r="J632">
        <v>63</v>
      </c>
      <c r="K632" t="s">
        <v>673</v>
      </c>
    </row>
    <row r="633" spans="1:11" x14ac:dyDescent="0.35">
      <c r="A633" t="s">
        <v>74</v>
      </c>
      <c r="B633" t="s">
        <v>32</v>
      </c>
      <c r="C633" t="s">
        <v>1322</v>
      </c>
      <c r="D633" t="s">
        <v>76</v>
      </c>
      <c r="E633" t="s">
        <v>245</v>
      </c>
      <c r="F633" t="s">
        <v>19</v>
      </c>
      <c r="G633" t="s">
        <v>35</v>
      </c>
      <c r="H633" t="s">
        <v>21</v>
      </c>
      <c r="I633" t="s">
        <v>246</v>
      </c>
      <c r="J633">
        <v>63</v>
      </c>
      <c r="K633" t="s">
        <v>23</v>
      </c>
    </row>
    <row r="634" spans="1:11" x14ac:dyDescent="0.35">
      <c r="A634" t="s">
        <v>14</v>
      </c>
      <c r="B634" t="s">
        <v>53</v>
      </c>
      <c r="C634" t="s">
        <v>248</v>
      </c>
      <c r="D634" t="s">
        <v>17</v>
      </c>
      <c r="E634" t="s">
        <v>249</v>
      </c>
      <c r="F634" t="s">
        <v>19</v>
      </c>
      <c r="G634" t="s">
        <v>56</v>
      </c>
      <c r="H634" t="s">
        <v>21</v>
      </c>
      <c r="I634" t="s">
        <v>246</v>
      </c>
      <c r="J634">
        <v>2091</v>
      </c>
      <c r="K634" t="s">
        <v>23</v>
      </c>
    </row>
    <row r="635" spans="1:11" x14ac:dyDescent="0.35">
      <c r="A635" t="s">
        <v>14</v>
      </c>
      <c r="B635" t="s">
        <v>53</v>
      </c>
      <c r="C635" t="s">
        <v>952</v>
      </c>
      <c r="D635" t="s">
        <v>17</v>
      </c>
      <c r="E635" t="s">
        <v>953</v>
      </c>
      <c r="F635" t="s">
        <v>19</v>
      </c>
      <c r="G635" t="s">
        <v>56</v>
      </c>
      <c r="H635" t="s">
        <v>21</v>
      </c>
      <c r="I635" t="s">
        <v>246</v>
      </c>
      <c r="J635">
        <v>2193</v>
      </c>
      <c r="K635" t="s">
        <v>23</v>
      </c>
    </row>
    <row r="636" spans="1:11" x14ac:dyDescent="0.35">
      <c r="A636" t="s">
        <v>14</v>
      </c>
      <c r="B636" t="s">
        <v>53</v>
      </c>
      <c r="C636" t="s">
        <v>1613</v>
      </c>
      <c r="D636" t="s">
        <v>17</v>
      </c>
      <c r="E636" t="s">
        <v>1614</v>
      </c>
      <c r="F636" t="s">
        <v>19</v>
      </c>
      <c r="G636" t="s">
        <v>56</v>
      </c>
      <c r="H636" t="s">
        <v>21</v>
      </c>
      <c r="I636" t="s">
        <v>246</v>
      </c>
      <c r="J636">
        <v>2194</v>
      </c>
      <c r="K636" t="s">
        <v>23</v>
      </c>
    </row>
    <row r="637" spans="1:11" x14ac:dyDescent="0.35">
      <c r="A637" t="s">
        <v>317</v>
      </c>
      <c r="B637" t="s">
        <v>53</v>
      </c>
      <c r="C637" t="s">
        <v>1532</v>
      </c>
      <c r="D637" t="s">
        <v>319</v>
      </c>
      <c r="E637" t="s">
        <v>953</v>
      </c>
      <c r="F637" t="s">
        <v>19</v>
      </c>
      <c r="G637" t="s">
        <v>953</v>
      </c>
      <c r="H637" t="s">
        <v>21</v>
      </c>
      <c r="I637" t="s">
        <v>246</v>
      </c>
      <c r="J637">
        <v>2193</v>
      </c>
      <c r="K637" t="s">
        <v>673</v>
      </c>
    </row>
    <row r="638" spans="1:11" x14ac:dyDescent="0.35">
      <c r="A638" t="s">
        <v>317</v>
      </c>
      <c r="B638" t="s">
        <v>53</v>
      </c>
      <c r="C638" t="s">
        <v>1622</v>
      </c>
      <c r="D638" t="s">
        <v>319</v>
      </c>
      <c r="E638" t="s">
        <v>1614</v>
      </c>
      <c r="F638" t="s">
        <v>19</v>
      </c>
      <c r="G638" t="s">
        <v>56</v>
      </c>
      <c r="H638" t="s">
        <v>21</v>
      </c>
      <c r="I638" t="s">
        <v>246</v>
      </c>
      <c r="J638">
        <v>2194</v>
      </c>
      <c r="K638" t="s">
        <v>673</v>
      </c>
    </row>
    <row r="639" spans="1:11" x14ac:dyDescent="0.35">
      <c r="A639" t="s">
        <v>317</v>
      </c>
      <c r="B639" t="s">
        <v>53</v>
      </c>
      <c r="C639" t="s">
        <v>1911</v>
      </c>
      <c r="D639" t="s">
        <v>319</v>
      </c>
      <c r="E639" t="s">
        <v>249</v>
      </c>
      <c r="F639" t="s">
        <v>19</v>
      </c>
      <c r="G639" t="s">
        <v>56</v>
      </c>
      <c r="H639" t="s">
        <v>21</v>
      </c>
      <c r="I639" t="s">
        <v>246</v>
      </c>
      <c r="J639">
        <v>2091</v>
      </c>
      <c r="K639" t="s">
        <v>673</v>
      </c>
    </row>
    <row r="640" spans="1:11" x14ac:dyDescent="0.35">
      <c r="A640" t="s">
        <v>14</v>
      </c>
      <c r="B640" t="s">
        <v>15</v>
      </c>
      <c r="C640" t="s">
        <v>408</v>
      </c>
      <c r="D640" t="s">
        <v>17</v>
      </c>
      <c r="E640" t="s">
        <v>409</v>
      </c>
      <c r="F640" t="s">
        <v>19</v>
      </c>
      <c r="G640" t="s">
        <v>410</v>
      </c>
      <c r="H640" t="s">
        <v>21</v>
      </c>
      <c r="I640" t="s">
        <v>246</v>
      </c>
      <c r="J640">
        <v>5765</v>
      </c>
      <c r="K640" t="s">
        <v>23</v>
      </c>
    </row>
    <row r="641" spans="1:11" x14ac:dyDescent="0.35">
      <c r="A641" t="s">
        <v>14</v>
      </c>
      <c r="B641" t="s">
        <v>15</v>
      </c>
      <c r="C641" t="s">
        <v>434</v>
      </c>
      <c r="D641" t="s">
        <v>17</v>
      </c>
      <c r="E641" t="s">
        <v>409</v>
      </c>
      <c r="F641" t="s">
        <v>19</v>
      </c>
      <c r="G641" t="s">
        <v>435</v>
      </c>
      <c r="H641" t="s">
        <v>21</v>
      </c>
      <c r="I641" t="s">
        <v>246</v>
      </c>
      <c r="J641">
        <v>5765</v>
      </c>
      <c r="K641" t="s">
        <v>23</v>
      </c>
    </row>
    <row r="642" spans="1:11" x14ac:dyDescent="0.35">
      <c r="A642" t="s">
        <v>14</v>
      </c>
      <c r="B642" t="s">
        <v>15</v>
      </c>
      <c r="C642" t="s">
        <v>504</v>
      </c>
      <c r="D642" t="s">
        <v>17</v>
      </c>
      <c r="E642" t="s">
        <v>505</v>
      </c>
      <c r="F642" t="s">
        <v>19</v>
      </c>
      <c r="G642" t="s">
        <v>506</v>
      </c>
      <c r="H642" t="s">
        <v>21</v>
      </c>
      <c r="I642" t="s">
        <v>246</v>
      </c>
      <c r="J642">
        <v>7691</v>
      </c>
      <c r="K642" t="s">
        <v>23</v>
      </c>
    </row>
    <row r="643" spans="1:11" x14ac:dyDescent="0.35">
      <c r="A643" t="s">
        <v>14</v>
      </c>
      <c r="B643" t="s">
        <v>15</v>
      </c>
      <c r="C643" t="s">
        <v>519</v>
      </c>
      <c r="D643" t="s">
        <v>17</v>
      </c>
      <c r="E643" t="s">
        <v>520</v>
      </c>
      <c r="F643" t="s">
        <v>19</v>
      </c>
      <c r="G643" t="s">
        <v>521</v>
      </c>
      <c r="H643" t="s">
        <v>21</v>
      </c>
      <c r="I643" t="s">
        <v>246</v>
      </c>
      <c r="J643">
        <v>5767</v>
      </c>
      <c r="K643" t="s">
        <v>23</v>
      </c>
    </row>
    <row r="644" spans="1:11" x14ac:dyDescent="0.35">
      <c r="A644" t="s">
        <v>14</v>
      </c>
      <c r="B644" t="s">
        <v>15</v>
      </c>
      <c r="C644" t="s">
        <v>543</v>
      </c>
      <c r="D644" t="s">
        <v>17</v>
      </c>
      <c r="E644" t="s">
        <v>544</v>
      </c>
      <c r="F644" t="s">
        <v>19</v>
      </c>
      <c r="G644" t="s">
        <v>545</v>
      </c>
      <c r="H644" t="s">
        <v>21</v>
      </c>
      <c r="I644" t="s">
        <v>246</v>
      </c>
      <c r="J644">
        <v>7142</v>
      </c>
      <c r="K644" t="s">
        <v>23</v>
      </c>
    </row>
    <row r="645" spans="1:11" x14ac:dyDescent="0.35">
      <c r="A645" t="s">
        <v>14</v>
      </c>
      <c r="B645" t="s">
        <v>15</v>
      </c>
      <c r="C645" t="s">
        <v>601</v>
      </c>
      <c r="D645" t="s">
        <v>17</v>
      </c>
      <c r="E645" t="s">
        <v>602</v>
      </c>
      <c r="F645" t="s">
        <v>19</v>
      </c>
      <c r="G645" t="s">
        <v>603</v>
      </c>
      <c r="H645" t="s">
        <v>21</v>
      </c>
      <c r="I645" t="s">
        <v>246</v>
      </c>
      <c r="J645">
        <v>5764</v>
      </c>
      <c r="K645" t="s">
        <v>23</v>
      </c>
    </row>
    <row r="646" spans="1:11" x14ac:dyDescent="0.35">
      <c r="A646" t="s">
        <v>14</v>
      </c>
      <c r="B646" t="s">
        <v>15</v>
      </c>
      <c r="C646" t="s">
        <v>631</v>
      </c>
      <c r="D646" t="s">
        <v>17</v>
      </c>
      <c r="E646" t="s">
        <v>632</v>
      </c>
      <c r="F646" t="s">
        <v>19</v>
      </c>
      <c r="G646" t="s">
        <v>633</v>
      </c>
      <c r="H646" t="s">
        <v>21</v>
      </c>
      <c r="I646" t="s">
        <v>246</v>
      </c>
      <c r="J646">
        <v>3397</v>
      </c>
      <c r="K646" t="s">
        <v>23</v>
      </c>
    </row>
    <row r="647" spans="1:11" x14ac:dyDescent="0.35">
      <c r="A647" t="s">
        <v>14</v>
      </c>
      <c r="B647" t="s">
        <v>15</v>
      </c>
      <c r="C647" t="s">
        <v>765</v>
      </c>
      <c r="D647" t="s">
        <v>17</v>
      </c>
      <c r="E647" t="s">
        <v>766</v>
      </c>
      <c r="F647" t="s">
        <v>19</v>
      </c>
      <c r="G647" t="s">
        <v>767</v>
      </c>
      <c r="H647" t="s">
        <v>21</v>
      </c>
      <c r="I647" t="s">
        <v>246</v>
      </c>
      <c r="J647">
        <v>5766</v>
      </c>
      <c r="K647" t="s">
        <v>23</v>
      </c>
    </row>
    <row r="648" spans="1:11" x14ac:dyDescent="0.35">
      <c r="A648" t="s">
        <v>14</v>
      </c>
      <c r="B648" t="s">
        <v>15</v>
      </c>
      <c r="C648" t="s">
        <v>969</v>
      </c>
      <c r="D648" t="s">
        <v>17</v>
      </c>
      <c r="E648" t="s">
        <v>544</v>
      </c>
      <c r="F648" t="s">
        <v>19</v>
      </c>
      <c r="G648" t="s">
        <v>970</v>
      </c>
      <c r="H648" t="s">
        <v>21</v>
      </c>
      <c r="I648" t="s">
        <v>246</v>
      </c>
      <c r="J648">
        <v>7142</v>
      </c>
      <c r="K648" t="s">
        <v>23</v>
      </c>
    </row>
    <row r="649" spans="1:11" x14ac:dyDescent="0.35">
      <c r="A649" t="s">
        <v>14</v>
      </c>
      <c r="B649" t="s">
        <v>15</v>
      </c>
      <c r="C649" t="s">
        <v>1321</v>
      </c>
      <c r="D649" t="s">
        <v>17</v>
      </c>
      <c r="E649" t="s">
        <v>632</v>
      </c>
      <c r="F649" t="s">
        <v>19</v>
      </c>
      <c r="G649" t="s">
        <v>633</v>
      </c>
      <c r="H649" t="s">
        <v>21</v>
      </c>
      <c r="I649" t="s">
        <v>246</v>
      </c>
      <c r="J649">
        <v>3397</v>
      </c>
      <c r="K649" t="s">
        <v>23</v>
      </c>
    </row>
    <row r="650" spans="1:11" x14ac:dyDescent="0.35">
      <c r="A650" t="s">
        <v>14</v>
      </c>
      <c r="B650" t="s">
        <v>15</v>
      </c>
      <c r="C650" t="s">
        <v>1338</v>
      </c>
      <c r="D650" t="s">
        <v>17</v>
      </c>
      <c r="E650" t="s">
        <v>766</v>
      </c>
      <c r="F650" t="s">
        <v>19</v>
      </c>
      <c r="G650" t="s">
        <v>767</v>
      </c>
      <c r="H650" t="s">
        <v>21</v>
      </c>
      <c r="I650" t="s">
        <v>246</v>
      </c>
      <c r="J650">
        <v>5766</v>
      </c>
      <c r="K650" t="s">
        <v>23</v>
      </c>
    </row>
    <row r="651" spans="1:11" x14ac:dyDescent="0.35">
      <c r="A651" t="s">
        <v>14</v>
      </c>
      <c r="B651" t="s">
        <v>15</v>
      </c>
      <c r="C651" t="s">
        <v>1340</v>
      </c>
      <c r="D651" t="s">
        <v>17</v>
      </c>
      <c r="E651" t="s">
        <v>1312</v>
      </c>
      <c r="F651" t="s">
        <v>19</v>
      </c>
      <c r="G651" t="s">
        <v>1313</v>
      </c>
      <c r="H651" t="s">
        <v>21</v>
      </c>
      <c r="I651" t="s">
        <v>246</v>
      </c>
      <c r="J651">
        <v>3696</v>
      </c>
      <c r="K651" t="s">
        <v>23</v>
      </c>
    </row>
    <row r="652" spans="1:11" x14ac:dyDescent="0.35">
      <c r="A652" t="s">
        <v>14</v>
      </c>
      <c r="B652" t="s">
        <v>15</v>
      </c>
      <c r="C652" t="s">
        <v>1689</v>
      </c>
      <c r="D652" t="s">
        <v>17</v>
      </c>
      <c r="E652" t="s">
        <v>602</v>
      </c>
      <c r="F652" t="s">
        <v>19</v>
      </c>
      <c r="G652" t="s">
        <v>603</v>
      </c>
      <c r="H652" t="s">
        <v>21</v>
      </c>
      <c r="I652" t="s">
        <v>246</v>
      </c>
      <c r="J652">
        <v>5764</v>
      </c>
      <c r="K652" t="s">
        <v>23</v>
      </c>
    </row>
    <row r="653" spans="1:11" x14ac:dyDescent="0.35">
      <c r="A653" t="s">
        <v>14</v>
      </c>
      <c r="B653" t="s">
        <v>15</v>
      </c>
      <c r="C653" t="s">
        <v>1725</v>
      </c>
      <c r="D653" t="s">
        <v>17</v>
      </c>
      <c r="E653" t="s">
        <v>1334</v>
      </c>
      <c r="F653" t="s">
        <v>19</v>
      </c>
      <c r="G653" t="s">
        <v>1335</v>
      </c>
      <c r="H653" t="s">
        <v>21</v>
      </c>
      <c r="I653" t="s">
        <v>246</v>
      </c>
      <c r="J653">
        <v>7141</v>
      </c>
      <c r="K653" t="s">
        <v>23</v>
      </c>
    </row>
    <row r="654" spans="1:11" x14ac:dyDescent="0.35">
      <c r="A654" t="s">
        <v>14</v>
      </c>
      <c r="B654" t="s">
        <v>15</v>
      </c>
      <c r="C654" t="s">
        <v>1726</v>
      </c>
      <c r="D654" t="s">
        <v>17</v>
      </c>
      <c r="E654" t="s">
        <v>1312</v>
      </c>
      <c r="F654" t="s">
        <v>19</v>
      </c>
      <c r="G654" t="s">
        <v>1313</v>
      </c>
      <c r="H654" t="s">
        <v>21</v>
      </c>
      <c r="I654" t="s">
        <v>246</v>
      </c>
      <c r="J654">
        <v>3696</v>
      </c>
      <c r="K654" t="s">
        <v>23</v>
      </c>
    </row>
    <row r="655" spans="1:11" x14ac:dyDescent="0.35">
      <c r="A655" t="s">
        <v>14</v>
      </c>
      <c r="B655" t="s">
        <v>15</v>
      </c>
      <c r="C655" t="s">
        <v>1878</v>
      </c>
      <c r="D655" t="s">
        <v>17</v>
      </c>
      <c r="E655" t="s">
        <v>1807</v>
      </c>
      <c r="F655" t="s">
        <v>19</v>
      </c>
      <c r="G655" t="s">
        <v>1808</v>
      </c>
      <c r="H655" t="s">
        <v>21</v>
      </c>
      <c r="I655" t="s">
        <v>246</v>
      </c>
      <c r="J655">
        <v>7690</v>
      </c>
      <c r="K655" t="s">
        <v>23</v>
      </c>
    </row>
    <row r="656" spans="1:11" x14ac:dyDescent="0.35">
      <c r="A656" t="s">
        <v>14</v>
      </c>
      <c r="B656" t="s">
        <v>15</v>
      </c>
      <c r="C656" t="s">
        <v>1909</v>
      </c>
      <c r="D656" t="s">
        <v>17</v>
      </c>
      <c r="E656" t="s">
        <v>520</v>
      </c>
      <c r="F656" t="s">
        <v>19</v>
      </c>
      <c r="G656" t="s">
        <v>521</v>
      </c>
      <c r="H656" t="s">
        <v>21</v>
      </c>
      <c r="I656" t="s">
        <v>246</v>
      </c>
      <c r="J656">
        <v>5767</v>
      </c>
      <c r="K656" t="s">
        <v>23</v>
      </c>
    </row>
    <row r="657" spans="1:11" x14ac:dyDescent="0.35">
      <c r="A657" t="s">
        <v>14</v>
      </c>
      <c r="B657" t="s">
        <v>15</v>
      </c>
      <c r="C657" t="s">
        <v>1910</v>
      </c>
      <c r="D657" t="s">
        <v>17</v>
      </c>
      <c r="E657" t="s">
        <v>602</v>
      </c>
      <c r="F657" t="s">
        <v>19</v>
      </c>
      <c r="G657" t="s">
        <v>1316</v>
      </c>
      <c r="H657" t="s">
        <v>21</v>
      </c>
      <c r="I657" t="s">
        <v>246</v>
      </c>
      <c r="J657">
        <v>5764</v>
      </c>
      <c r="K657" t="s">
        <v>23</v>
      </c>
    </row>
    <row r="658" spans="1:11" x14ac:dyDescent="0.35">
      <c r="A658" t="s">
        <v>14</v>
      </c>
      <c r="B658" t="s">
        <v>15</v>
      </c>
      <c r="C658" t="s">
        <v>1920</v>
      </c>
      <c r="D658" t="s">
        <v>17</v>
      </c>
      <c r="E658" t="s">
        <v>632</v>
      </c>
      <c r="F658" t="s">
        <v>19</v>
      </c>
      <c r="G658" t="s">
        <v>1468</v>
      </c>
      <c r="H658" t="s">
        <v>21</v>
      </c>
      <c r="I658" t="s">
        <v>246</v>
      </c>
      <c r="J658">
        <v>3397</v>
      </c>
      <c r="K658" t="s">
        <v>23</v>
      </c>
    </row>
    <row r="659" spans="1:11" x14ac:dyDescent="0.35">
      <c r="A659" t="s">
        <v>317</v>
      </c>
      <c r="B659" t="s">
        <v>15</v>
      </c>
      <c r="C659" t="s">
        <v>1311</v>
      </c>
      <c r="D659" t="s">
        <v>319</v>
      </c>
      <c r="E659" t="s">
        <v>1312</v>
      </c>
      <c r="F659" t="s">
        <v>19</v>
      </c>
      <c r="G659" t="s">
        <v>1313</v>
      </c>
      <c r="H659" t="s">
        <v>21</v>
      </c>
      <c r="I659" t="s">
        <v>246</v>
      </c>
      <c r="J659">
        <v>3696</v>
      </c>
      <c r="K659" t="s">
        <v>673</v>
      </c>
    </row>
    <row r="660" spans="1:11" x14ac:dyDescent="0.35">
      <c r="A660" t="s">
        <v>317</v>
      </c>
      <c r="B660" t="s">
        <v>15</v>
      </c>
      <c r="C660" t="s">
        <v>1315</v>
      </c>
      <c r="D660" t="s">
        <v>319</v>
      </c>
      <c r="E660" t="s">
        <v>602</v>
      </c>
      <c r="F660" t="s">
        <v>19</v>
      </c>
      <c r="G660" t="s">
        <v>1316</v>
      </c>
      <c r="H660" t="s">
        <v>21</v>
      </c>
      <c r="I660" t="s">
        <v>246</v>
      </c>
      <c r="J660">
        <v>5764</v>
      </c>
      <c r="K660" t="s">
        <v>673</v>
      </c>
    </row>
    <row r="661" spans="1:11" x14ac:dyDescent="0.35">
      <c r="A661" t="s">
        <v>317</v>
      </c>
      <c r="B661" t="s">
        <v>15</v>
      </c>
      <c r="C661" t="s">
        <v>1318</v>
      </c>
      <c r="D661" t="s">
        <v>319</v>
      </c>
      <c r="E661" t="s">
        <v>632</v>
      </c>
      <c r="F661" t="s">
        <v>19</v>
      </c>
      <c r="G661" t="s">
        <v>633</v>
      </c>
      <c r="H661" t="s">
        <v>21</v>
      </c>
      <c r="I661" t="s">
        <v>246</v>
      </c>
      <c r="J661">
        <v>3397</v>
      </c>
      <c r="K661" t="s">
        <v>673</v>
      </c>
    </row>
    <row r="662" spans="1:11" x14ac:dyDescent="0.35">
      <c r="A662" t="s">
        <v>317</v>
      </c>
      <c r="B662" t="s">
        <v>15</v>
      </c>
      <c r="C662" t="s">
        <v>1331</v>
      </c>
      <c r="D662" t="s">
        <v>319</v>
      </c>
      <c r="E662" t="s">
        <v>766</v>
      </c>
      <c r="F662" t="s">
        <v>19</v>
      </c>
      <c r="G662" t="s">
        <v>767</v>
      </c>
      <c r="H662" t="s">
        <v>21</v>
      </c>
      <c r="I662" t="s">
        <v>246</v>
      </c>
      <c r="J662">
        <v>5766</v>
      </c>
      <c r="K662" t="s">
        <v>673</v>
      </c>
    </row>
    <row r="663" spans="1:11" x14ac:dyDescent="0.35">
      <c r="A663" t="s">
        <v>317</v>
      </c>
      <c r="B663" t="s">
        <v>15</v>
      </c>
      <c r="C663" t="s">
        <v>1333</v>
      </c>
      <c r="D663" t="s">
        <v>319</v>
      </c>
      <c r="E663" t="s">
        <v>1334</v>
      </c>
      <c r="F663" t="s">
        <v>19</v>
      </c>
      <c r="G663" t="s">
        <v>1335</v>
      </c>
      <c r="H663" t="s">
        <v>21</v>
      </c>
      <c r="I663" t="s">
        <v>246</v>
      </c>
      <c r="J663">
        <v>7141</v>
      </c>
      <c r="K663" t="s">
        <v>673</v>
      </c>
    </row>
    <row r="664" spans="1:11" x14ac:dyDescent="0.35">
      <c r="A664" t="s">
        <v>317</v>
      </c>
      <c r="B664" t="s">
        <v>15</v>
      </c>
      <c r="C664" t="s">
        <v>1467</v>
      </c>
      <c r="D664" t="s">
        <v>319</v>
      </c>
      <c r="E664" t="s">
        <v>632</v>
      </c>
      <c r="F664" t="s">
        <v>19</v>
      </c>
      <c r="G664" t="s">
        <v>1468</v>
      </c>
      <c r="H664" t="s">
        <v>21</v>
      </c>
      <c r="I664" t="s">
        <v>246</v>
      </c>
      <c r="J664">
        <v>3397</v>
      </c>
      <c r="K664" t="s">
        <v>673</v>
      </c>
    </row>
    <row r="665" spans="1:11" x14ac:dyDescent="0.35">
      <c r="A665" t="s">
        <v>317</v>
      </c>
      <c r="B665" t="s">
        <v>15</v>
      </c>
      <c r="C665" t="s">
        <v>1499</v>
      </c>
      <c r="D665" t="s">
        <v>319</v>
      </c>
      <c r="E665" t="s">
        <v>544</v>
      </c>
      <c r="F665" t="s">
        <v>19</v>
      </c>
      <c r="G665" t="s">
        <v>545</v>
      </c>
      <c r="H665" t="s">
        <v>21</v>
      </c>
      <c r="I665" t="s">
        <v>246</v>
      </c>
      <c r="J665">
        <v>7142</v>
      </c>
      <c r="K665" t="s">
        <v>673</v>
      </c>
    </row>
    <row r="666" spans="1:11" x14ac:dyDescent="0.35">
      <c r="A666" t="s">
        <v>317</v>
      </c>
      <c r="B666" t="s">
        <v>15</v>
      </c>
      <c r="C666" t="s">
        <v>1538</v>
      </c>
      <c r="D666" t="s">
        <v>319</v>
      </c>
      <c r="E666" t="s">
        <v>409</v>
      </c>
      <c r="F666" t="s">
        <v>19</v>
      </c>
      <c r="G666" t="s">
        <v>435</v>
      </c>
      <c r="H666" t="s">
        <v>21</v>
      </c>
      <c r="I666" t="s">
        <v>246</v>
      </c>
      <c r="J666">
        <v>5765</v>
      </c>
      <c r="K666" t="s">
        <v>673</v>
      </c>
    </row>
    <row r="667" spans="1:11" x14ac:dyDescent="0.35">
      <c r="A667" t="s">
        <v>317</v>
      </c>
      <c r="B667" t="s">
        <v>15</v>
      </c>
      <c r="C667" t="s">
        <v>1566</v>
      </c>
      <c r="D667" t="s">
        <v>319</v>
      </c>
      <c r="E667" t="s">
        <v>520</v>
      </c>
      <c r="F667" t="s">
        <v>19</v>
      </c>
      <c r="G667" t="s">
        <v>521</v>
      </c>
      <c r="H667" t="s">
        <v>21</v>
      </c>
      <c r="I667" t="s">
        <v>246</v>
      </c>
      <c r="J667">
        <v>5767</v>
      </c>
      <c r="K667" t="s">
        <v>673</v>
      </c>
    </row>
    <row r="668" spans="1:11" x14ac:dyDescent="0.35">
      <c r="A668" t="s">
        <v>317</v>
      </c>
      <c r="B668" t="s">
        <v>15</v>
      </c>
      <c r="C668" t="s">
        <v>1724</v>
      </c>
      <c r="D668" t="s">
        <v>319</v>
      </c>
      <c r="E668" t="s">
        <v>544</v>
      </c>
      <c r="F668" t="s">
        <v>19</v>
      </c>
      <c r="G668" t="s">
        <v>970</v>
      </c>
      <c r="H668" t="s">
        <v>21</v>
      </c>
      <c r="I668" t="s">
        <v>246</v>
      </c>
      <c r="J668">
        <v>7142</v>
      </c>
      <c r="K668" t="s">
        <v>23</v>
      </c>
    </row>
    <row r="669" spans="1:11" x14ac:dyDescent="0.35">
      <c r="A669" t="s">
        <v>317</v>
      </c>
      <c r="B669" t="s">
        <v>15</v>
      </c>
      <c r="C669" t="s">
        <v>1727</v>
      </c>
      <c r="D669" t="s">
        <v>319</v>
      </c>
      <c r="E669" t="s">
        <v>602</v>
      </c>
      <c r="F669" t="s">
        <v>19</v>
      </c>
      <c r="G669" t="s">
        <v>603</v>
      </c>
      <c r="H669" t="s">
        <v>21</v>
      </c>
      <c r="I669" t="s">
        <v>246</v>
      </c>
      <c r="J669">
        <v>5764</v>
      </c>
      <c r="K669" t="s">
        <v>673</v>
      </c>
    </row>
    <row r="670" spans="1:11" x14ac:dyDescent="0.35">
      <c r="A670" t="s">
        <v>317</v>
      </c>
      <c r="B670" t="s">
        <v>15</v>
      </c>
      <c r="C670" t="s">
        <v>1806</v>
      </c>
      <c r="D670" t="s">
        <v>319</v>
      </c>
      <c r="E670" t="s">
        <v>1807</v>
      </c>
      <c r="F670" t="s">
        <v>19</v>
      </c>
      <c r="G670" t="s">
        <v>1808</v>
      </c>
      <c r="H670" t="s">
        <v>21</v>
      </c>
      <c r="I670" t="s">
        <v>246</v>
      </c>
      <c r="J670">
        <v>7690</v>
      </c>
      <c r="K670" t="s">
        <v>673</v>
      </c>
    </row>
    <row r="671" spans="1:11" x14ac:dyDescent="0.35">
      <c r="A671" t="s">
        <v>317</v>
      </c>
      <c r="B671" t="s">
        <v>15</v>
      </c>
      <c r="C671" t="s">
        <v>1913</v>
      </c>
      <c r="D671" t="s">
        <v>319</v>
      </c>
      <c r="E671" t="s">
        <v>520</v>
      </c>
      <c r="F671" t="s">
        <v>19</v>
      </c>
      <c r="G671" t="s">
        <v>521</v>
      </c>
      <c r="H671" t="s">
        <v>21</v>
      </c>
      <c r="I671" t="s">
        <v>246</v>
      </c>
      <c r="J671">
        <v>5767</v>
      </c>
      <c r="K671" t="s">
        <v>673</v>
      </c>
    </row>
    <row r="672" spans="1:11" x14ac:dyDescent="0.35">
      <c r="A672" t="s">
        <v>317</v>
      </c>
      <c r="B672" t="s">
        <v>15</v>
      </c>
      <c r="C672" t="s">
        <v>1914</v>
      </c>
      <c r="D672" t="s">
        <v>319</v>
      </c>
      <c r="E672" t="s">
        <v>505</v>
      </c>
      <c r="F672" t="s">
        <v>19</v>
      </c>
      <c r="G672" t="s">
        <v>506</v>
      </c>
      <c r="H672" t="s">
        <v>21</v>
      </c>
      <c r="I672" t="s">
        <v>246</v>
      </c>
      <c r="J672">
        <v>7691</v>
      </c>
      <c r="K672" t="s">
        <v>673</v>
      </c>
    </row>
    <row r="673" spans="1:11" x14ac:dyDescent="0.35">
      <c r="A673" t="s">
        <v>317</v>
      </c>
      <c r="B673" t="s">
        <v>15</v>
      </c>
      <c r="C673" t="s">
        <v>1915</v>
      </c>
      <c r="D673" t="s">
        <v>319</v>
      </c>
      <c r="E673" t="s">
        <v>409</v>
      </c>
      <c r="F673" t="s">
        <v>19</v>
      </c>
      <c r="G673" t="s">
        <v>410</v>
      </c>
      <c r="H673" t="s">
        <v>21</v>
      </c>
      <c r="I673" t="s">
        <v>246</v>
      </c>
      <c r="J673">
        <v>5765</v>
      </c>
      <c r="K673" t="s">
        <v>673</v>
      </c>
    </row>
    <row r="674" spans="1:11" x14ac:dyDescent="0.35">
      <c r="A674" t="s">
        <v>317</v>
      </c>
      <c r="B674" t="s">
        <v>15</v>
      </c>
      <c r="C674" t="s">
        <v>1917</v>
      </c>
      <c r="D674" t="s">
        <v>319</v>
      </c>
      <c r="E674" t="s">
        <v>602</v>
      </c>
      <c r="F674" t="s">
        <v>19</v>
      </c>
      <c r="G674" t="s">
        <v>603</v>
      </c>
      <c r="H674" t="s">
        <v>21</v>
      </c>
      <c r="I674" t="s">
        <v>246</v>
      </c>
      <c r="J674">
        <v>5764</v>
      </c>
      <c r="K674" t="s">
        <v>673</v>
      </c>
    </row>
    <row r="675" spans="1:11" x14ac:dyDescent="0.35">
      <c r="A675" t="s">
        <v>14</v>
      </c>
      <c r="B675" t="s">
        <v>32</v>
      </c>
      <c r="C675" t="s">
        <v>1445</v>
      </c>
      <c r="D675" t="s">
        <v>17</v>
      </c>
      <c r="E675" t="s">
        <v>498</v>
      </c>
      <c r="F675" t="s">
        <v>19</v>
      </c>
      <c r="G675" t="s">
        <v>35</v>
      </c>
      <c r="H675" t="s">
        <v>21</v>
      </c>
      <c r="I675" t="s">
        <v>123</v>
      </c>
      <c r="J675">
        <v>184</v>
      </c>
      <c r="K675" t="s">
        <v>23</v>
      </c>
    </row>
    <row r="676" spans="1:11" x14ac:dyDescent="0.35">
      <c r="A676" t="s">
        <v>317</v>
      </c>
      <c r="B676" t="s">
        <v>32</v>
      </c>
      <c r="C676" t="s">
        <v>769</v>
      </c>
      <c r="D676" t="s">
        <v>319</v>
      </c>
      <c r="E676" t="s">
        <v>498</v>
      </c>
      <c r="F676" t="s">
        <v>19</v>
      </c>
      <c r="G676" t="s">
        <v>35</v>
      </c>
      <c r="H676" t="s">
        <v>21</v>
      </c>
      <c r="I676" t="s">
        <v>123</v>
      </c>
      <c r="J676">
        <v>184</v>
      </c>
      <c r="K676" t="s">
        <v>673</v>
      </c>
    </row>
    <row r="677" spans="1:11" x14ac:dyDescent="0.35">
      <c r="A677" t="s">
        <v>317</v>
      </c>
      <c r="B677" t="s">
        <v>32</v>
      </c>
      <c r="C677" t="s">
        <v>979</v>
      </c>
      <c r="D677" t="s">
        <v>319</v>
      </c>
      <c r="E677" t="s">
        <v>498</v>
      </c>
      <c r="F677" t="s">
        <v>19</v>
      </c>
      <c r="G677" t="s">
        <v>35</v>
      </c>
      <c r="H677" t="s">
        <v>21</v>
      </c>
      <c r="I677" t="s">
        <v>123</v>
      </c>
      <c r="J677">
        <v>184</v>
      </c>
      <c r="K677" t="s">
        <v>673</v>
      </c>
    </row>
    <row r="678" spans="1:11" x14ac:dyDescent="0.35">
      <c r="A678" t="s">
        <v>317</v>
      </c>
      <c r="B678" t="s">
        <v>32</v>
      </c>
      <c r="C678" t="s">
        <v>1832</v>
      </c>
      <c r="D678" t="s">
        <v>319</v>
      </c>
      <c r="E678" t="s">
        <v>498</v>
      </c>
      <c r="F678" t="s">
        <v>19</v>
      </c>
      <c r="G678" t="s">
        <v>35</v>
      </c>
      <c r="H678" t="s">
        <v>21</v>
      </c>
      <c r="I678" t="s">
        <v>123</v>
      </c>
      <c r="J678">
        <v>184</v>
      </c>
      <c r="K678" t="s">
        <v>23</v>
      </c>
    </row>
    <row r="679" spans="1:11" x14ac:dyDescent="0.35">
      <c r="A679" t="s">
        <v>74</v>
      </c>
      <c r="B679" t="s">
        <v>32</v>
      </c>
      <c r="C679" t="s">
        <v>497</v>
      </c>
      <c r="D679" t="s">
        <v>76</v>
      </c>
      <c r="E679" t="s">
        <v>498</v>
      </c>
      <c r="F679" t="s">
        <v>19</v>
      </c>
      <c r="G679" t="s">
        <v>35</v>
      </c>
      <c r="H679" t="s">
        <v>21</v>
      </c>
      <c r="I679" t="s">
        <v>123</v>
      </c>
      <c r="J679">
        <v>184</v>
      </c>
      <c r="K679" t="s">
        <v>23</v>
      </c>
    </row>
    <row r="680" spans="1:11" x14ac:dyDescent="0.35">
      <c r="A680" t="s">
        <v>74</v>
      </c>
      <c r="B680" t="s">
        <v>32</v>
      </c>
      <c r="C680" t="s">
        <v>579</v>
      </c>
      <c r="D680" t="s">
        <v>76</v>
      </c>
      <c r="E680" t="s">
        <v>498</v>
      </c>
      <c r="F680" t="s">
        <v>19</v>
      </c>
      <c r="G680" t="s">
        <v>35</v>
      </c>
      <c r="H680" t="s">
        <v>21</v>
      </c>
      <c r="I680" t="s">
        <v>123</v>
      </c>
      <c r="J680">
        <v>184</v>
      </c>
      <c r="K680" t="s">
        <v>23</v>
      </c>
    </row>
    <row r="681" spans="1:11" x14ac:dyDescent="0.35">
      <c r="A681" t="s">
        <v>14</v>
      </c>
      <c r="B681" t="s">
        <v>53</v>
      </c>
      <c r="C681" t="s">
        <v>1078</v>
      </c>
      <c r="D681" t="s">
        <v>17</v>
      </c>
      <c r="E681" t="s">
        <v>1079</v>
      </c>
      <c r="F681" t="s">
        <v>19</v>
      </c>
      <c r="G681" t="s">
        <v>56</v>
      </c>
      <c r="H681" t="s">
        <v>21</v>
      </c>
      <c r="I681" t="s">
        <v>123</v>
      </c>
      <c r="J681">
        <v>2279</v>
      </c>
      <c r="K681" t="s">
        <v>23</v>
      </c>
    </row>
    <row r="682" spans="1:11" x14ac:dyDescent="0.35">
      <c r="A682" t="s">
        <v>14</v>
      </c>
      <c r="B682" t="s">
        <v>53</v>
      </c>
      <c r="C682" t="s">
        <v>1365</v>
      </c>
      <c r="D682" t="s">
        <v>17</v>
      </c>
      <c r="E682" t="s">
        <v>1079</v>
      </c>
      <c r="F682" t="s">
        <v>19</v>
      </c>
      <c r="G682" t="s">
        <v>56</v>
      </c>
      <c r="H682" t="s">
        <v>21</v>
      </c>
      <c r="I682" t="s">
        <v>123</v>
      </c>
      <c r="J682">
        <v>2279</v>
      </c>
      <c r="K682" t="s">
        <v>23</v>
      </c>
    </row>
    <row r="683" spans="1:11" x14ac:dyDescent="0.35">
      <c r="A683" t="s">
        <v>317</v>
      </c>
      <c r="B683" t="s">
        <v>53</v>
      </c>
      <c r="C683" t="s">
        <v>1461</v>
      </c>
      <c r="D683" t="s">
        <v>319</v>
      </c>
      <c r="E683" t="s">
        <v>1079</v>
      </c>
      <c r="F683" t="s">
        <v>19</v>
      </c>
      <c r="G683" t="s">
        <v>56</v>
      </c>
      <c r="H683" t="s">
        <v>21</v>
      </c>
      <c r="I683" t="s">
        <v>123</v>
      </c>
      <c r="J683">
        <v>2279</v>
      </c>
      <c r="K683" t="s">
        <v>673</v>
      </c>
    </row>
    <row r="684" spans="1:11" x14ac:dyDescent="0.35">
      <c r="A684" t="s">
        <v>14</v>
      </c>
      <c r="B684" t="s">
        <v>15</v>
      </c>
      <c r="C684" t="s">
        <v>120</v>
      </c>
      <c r="D684" t="s">
        <v>17</v>
      </c>
      <c r="E684" t="s">
        <v>121</v>
      </c>
      <c r="F684" t="s">
        <v>19</v>
      </c>
      <c r="G684" t="s">
        <v>122</v>
      </c>
      <c r="H684" t="s">
        <v>21</v>
      </c>
      <c r="I684" t="s">
        <v>123</v>
      </c>
      <c r="J684">
        <v>7499</v>
      </c>
      <c r="K684" t="s">
        <v>23</v>
      </c>
    </row>
    <row r="685" spans="1:11" x14ac:dyDescent="0.35">
      <c r="A685" t="s">
        <v>14</v>
      </c>
      <c r="B685" t="s">
        <v>15</v>
      </c>
      <c r="C685" t="s">
        <v>130</v>
      </c>
      <c r="D685" t="s">
        <v>17</v>
      </c>
      <c r="E685" t="s">
        <v>131</v>
      </c>
      <c r="F685" t="s">
        <v>19</v>
      </c>
      <c r="G685" t="s">
        <v>132</v>
      </c>
      <c r="H685" t="s">
        <v>21</v>
      </c>
      <c r="I685" t="s">
        <v>123</v>
      </c>
      <c r="J685">
        <v>7108</v>
      </c>
      <c r="K685" t="s">
        <v>23</v>
      </c>
    </row>
    <row r="686" spans="1:11" x14ac:dyDescent="0.35">
      <c r="A686" t="s">
        <v>14</v>
      </c>
      <c r="B686" t="s">
        <v>15</v>
      </c>
      <c r="C686" t="s">
        <v>207</v>
      </c>
      <c r="D686" t="s">
        <v>17</v>
      </c>
      <c r="E686" t="s">
        <v>208</v>
      </c>
      <c r="F686" t="s">
        <v>19</v>
      </c>
      <c r="G686" t="s">
        <v>209</v>
      </c>
      <c r="H686" t="s">
        <v>21</v>
      </c>
      <c r="I686" t="s">
        <v>123</v>
      </c>
      <c r="J686">
        <v>5768</v>
      </c>
      <c r="K686" t="s">
        <v>23</v>
      </c>
    </row>
    <row r="687" spans="1:11" x14ac:dyDescent="0.35">
      <c r="A687" t="s">
        <v>14</v>
      </c>
      <c r="B687" t="s">
        <v>15</v>
      </c>
      <c r="C687" t="s">
        <v>276</v>
      </c>
      <c r="D687" t="s">
        <v>17</v>
      </c>
      <c r="E687" t="s">
        <v>277</v>
      </c>
      <c r="F687" t="s">
        <v>19</v>
      </c>
      <c r="G687" t="s">
        <v>278</v>
      </c>
      <c r="H687" t="s">
        <v>21</v>
      </c>
      <c r="I687" t="s">
        <v>123</v>
      </c>
      <c r="J687">
        <v>5770</v>
      </c>
      <c r="K687" t="s">
        <v>23</v>
      </c>
    </row>
    <row r="688" spans="1:11" x14ac:dyDescent="0.35">
      <c r="A688" t="s">
        <v>14</v>
      </c>
      <c r="B688" t="s">
        <v>15</v>
      </c>
      <c r="C688" t="s">
        <v>496</v>
      </c>
      <c r="D688" t="s">
        <v>17</v>
      </c>
      <c r="E688" t="s">
        <v>208</v>
      </c>
      <c r="F688" t="s">
        <v>19</v>
      </c>
      <c r="G688" t="s">
        <v>209</v>
      </c>
      <c r="H688" t="s">
        <v>21</v>
      </c>
      <c r="I688" t="s">
        <v>123</v>
      </c>
      <c r="J688">
        <v>5768</v>
      </c>
      <c r="K688" t="s">
        <v>23</v>
      </c>
    </row>
    <row r="689" spans="1:11" x14ac:dyDescent="0.35">
      <c r="A689" t="s">
        <v>14</v>
      </c>
      <c r="B689" t="s">
        <v>15</v>
      </c>
      <c r="C689" t="s">
        <v>713</v>
      </c>
      <c r="D689" t="s">
        <v>17</v>
      </c>
      <c r="E689" t="s">
        <v>714</v>
      </c>
      <c r="F689" t="s">
        <v>19</v>
      </c>
      <c r="G689" t="s">
        <v>715</v>
      </c>
      <c r="H689" t="s">
        <v>21</v>
      </c>
      <c r="I689" t="s">
        <v>123</v>
      </c>
      <c r="J689">
        <v>3556</v>
      </c>
      <c r="K689" t="s">
        <v>23</v>
      </c>
    </row>
    <row r="690" spans="1:11" x14ac:dyDescent="0.35">
      <c r="A690" t="s">
        <v>14</v>
      </c>
      <c r="B690" t="s">
        <v>15</v>
      </c>
      <c r="C690" t="s">
        <v>777</v>
      </c>
      <c r="D690" t="s">
        <v>17</v>
      </c>
      <c r="E690" t="s">
        <v>277</v>
      </c>
      <c r="F690" t="s">
        <v>19</v>
      </c>
      <c r="G690" t="s">
        <v>278</v>
      </c>
      <c r="H690" t="s">
        <v>21</v>
      </c>
      <c r="I690" t="s">
        <v>123</v>
      </c>
      <c r="J690">
        <v>5770</v>
      </c>
      <c r="K690" t="s">
        <v>23</v>
      </c>
    </row>
    <row r="691" spans="1:11" x14ac:dyDescent="0.35">
      <c r="A691" t="s">
        <v>14</v>
      </c>
      <c r="B691" t="s">
        <v>15</v>
      </c>
      <c r="C691" t="s">
        <v>860</v>
      </c>
      <c r="D691" t="s">
        <v>17</v>
      </c>
      <c r="E691" t="s">
        <v>861</v>
      </c>
      <c r="F691" t="s">
        <v>19</v>
      </c>
      <c r="G691" t="s">
        <v>862</v>
      </c>
      <c r="H691" t="s">
        <v>21</v>
      </c>
      <c r="I691" t="s">
        <v>123</v>
      </c>
      <c r="J691">
        <v>8099</v>
      </c>
      <c r="K691" t="s">
        <v>23</v>
      </c>
    </row>
    <row r="692" spans="1:11" x14ac:dyDescent="0.35">
      <c r="A692" t="s">
        <v>14</v>
      </c>
      <c r="B692" t="s">
        <v>15</v>
      </c>
      <c r="C692" t="s">
        <v>967</v>
      </c>
      <c r="D692" t="s">
        <v>17</v>
      </c>
      <c r="E692" t="s">
        <v>900</v>
      </c>
      <c r="F692" t="s">
        <v>19</v>
      </c>
      <c r="G692" t="s">
        <v>901</v>
      </c>
      <c r="H692" t="s">
        <v>21</v>
      </c>
      <c r="I692" t="s">
        <v>123</v>
      </c>
      <c r="J692">
        <v>5726</v>
      </c>
      <c r="K692" t="s">
        <v>23</v>
      </c>
    </row>
    <row r="693" spans="1:11" x14ac:dyDescent="0.35">
      <c r="A693" t="s">
        <v>14</v>
      </c>
      <c r="B693" t="s">
        <v>15</v>
      </c>
      <c r="C693" t="s">
        <v>1133</v>
      </c>
      <c r="D693" t="s">
        <v>17</v>
      </c>
      <c r="E693" t="s">
        <v>714</v>
      </c>
      <c r="F693" t="s">
        <v>19</v>
      </c>
      <c r="G693" t="s">
        <v>715</v>
      </c>
      <c r="H693" t="s">
        <v>21</v>
      </c>
      <c r="I693" t="s">
        <v>123</v>
      </c>
      <c r="J693">
        <v>3556</v>
      </c>
      <c r="K693" t="s">
        <v>23</v>
      </c>
    </row>
    <row r="694" spans="1:11" x14ac:dyDescent="0.35">
      <c r="A694" t="s">
        <v>14</v>
      </c>
      <c r="B694" t="s">
        <v>15</v>
      </c>
      <c r="C694" t="s">
        <v>1359</v>
      </c>
      <c r="D694" t="s">
        <v>17</v>
      </c>
      <c r="E694" t="s">
        <v>1126</v>
      </c>
      <c r="F694" t="s">
        <v>19</v>
      </c>
      <c r="G694" t="s">
        <v>1127</v>
      </c>
      <c r="H694" t="s">
        <v>21</v>
      </c>
      <c r="I694" t="s">
        <v>123</v>
      </c>
      <c r="J694">
        <v>5769</v>
      </c>
      <c r="K694" t="s">
        <v>23</v>
      </c>
    </row>
    <row r="695" spans="1:11" x14ac:dyDescent="0.35">
      <c r="A695" t="s">
        <v>14</v>
      </c>
      <c r="B695" t="s">
        <v>15</v>
      </c>
      <c r="C695" t="s">
        <v>1361</v>
      </c>
      <c r="D695" t="s">
        <v>17</v>
      </c>
      <c r="E695" t="s">
        <v>1362</v>
      </c>
      <c r="F695" t="s">
        <v>19</v>
      </c>
      <c r="G695" t="s">
        <v>1363</v>
      </c>
      <c r="H695" t="s">
        <v>21</v>
      </c>
      <c r="I695" t="s">
        <v>123</v>
      </c>
      <c r="J695">
        <v>7044</v>
      </c>
      <c r="K695" t="s">
        <v>23</v>
      </c>
    </row>
    <row r="696" spans="1:11" x14ac:dyDescent="0.35">
      <c r="A696" t="s">
        <v>14</v>
      </c>
      <c r="B696" t="s">
        <v>15</v>
      </c>
      <c r="C696" t="s">
        <v>1769</v>
      </c>
      <c r="D696" t="s">
        <v>17</v>
      </c>
      <c r="E696" t="s">
        <v>861</v>
      </c>
      <c r="F696" t="s">
        <v>19</v>
      </c>
      <c r="G696" t="s">
        <v>862</v>
      </c>
      <c r="H696" t="s">
        <v>21</v>
      </c>
      <c r="I696" t="s">
        <v>123</v>
      </c>
      <c r="J696">
        <v>8099</v>
      </c>
      <c r="K696" t="s">
        <v>23</v>
      </c>
    </row>
    <row r="697" spans="1:11" x14ac:dyDescent="0.35">
      <c r="A697" t="s">
        <v>14</v>
      </c>
      <c r="B697" t="s">
        <v>15</v>
      </c>
      <c r="C697" t="s">
        <v>1772</v>
      </c>
      <c r="D697" t="s">
        <v>17</v>
      </c>
      <c r="E697" t="s">
        <v>1464</v>
      </c>
      <c r="F697" t="s">
        <v>19</v>
      </c>
      <c r="G697" t="s">
        <v>1465</v>
      </c>
      <c r="H697" t="s">
        <v>21</v>
      </c>
      <c r="I697" t="s">
        <v>123</v>
      </c>
      <c r="J697">
        <v>3557</v>
      </c>
      <c r="K697" t="s">
        <v>23</v>
      </c>
    </row>
    <row r="698" spans="1:11" x14ac:dyDescent="0.35">
      <c r="A698" t="s">
        <v>14</v>
      </c>
      <c r="B698" t="s">
        <v>15</v>
      </c>
      <c r="C698" t="s">
        <v>1773</v>
      </c>
      <c r="D698" t="s">
        <v>17</v>
      </c>
      <c r="E698" t="s">
        <v>1362</v>
      </c>
      <c r="F698" t="s">
        <v>19</v>
      </c>
      <c r="G698" t="s">
        <v>1363</v>
      </c>
      <c r="H698" t="s">
        <v>21</v>
      </c>
      <c r="I698" t="s">
        <v>123</v>
      </c>
      <c r="J698">
        <v>7044</v>
      </c>
      <c r="K698" t="s">
        <v>23</v>
      </c>
    </row>
    <row r="699" spans="1:11" x14ac:dyDescent="0.35">
      <c r="A699" t="s">
        <v>317</v>
      </c>
      <c r="B699" t="s">
        <v>15</v>
      </c>
      <c r="C699" t="s">
        <v>895</v>
      </c>
      <c r="D699" t="s">
        <v>319</v>
      </c>
      <c r="E699" t="s">
        <v>714</v>
      </c>
      <c r="F699" t="s">
        <v>19</v>
      </c>
      <c r="G699" t="s">
        <v>715</v>
      </c>
      <c r="H699" t="s">
        <v>21</v>
      </c>
      <c r="I699" t="s">
        <v>123</v>
      </c>
      <c r="J699">
        <v>3556</v>
      </c>
      <c r="K699" t="s">
        <v>673</v>
      </c>
    </row>
    <row r="700" spans="1:11" x14ac:dyDescent="0.35">
      <c r="A700" t="s">
        <v>317</v>
      </c>
      <c r="B700" t="s">
        <v>15</v>
      </c>
      <c r="C700" t="s">
        <v>897</v>
      </c>
      <c r="D700" t="s">
        <v>319</v>
      </c>
      <c r="E700" t="s">
        <v>131</v>
      </c>
      <c r="F700" t="s">
        <v>19</v>
      </c>
      <c r="G700" t="s">
        <v>132</v>
      </c>
      <c r="H700" t="s">
        <v>21</v>
      </c>
      <c r="I700" t="s">
        <v>123</v>
      </c>
      <c r="J700">
        <v>7108</v>
      </c>
      <c r="K700" t="s">
        <v>673</v>
      </c>
    </row>
    <row r="701" spans="1:11" x14ac:dyDescent="0.35">
      <c r="A701" t="s">
        <v>317</v>
      </c>
      <c r="B701" t="s">
        <v>15</v>
      </c>
      <c r="C701" t="s">
        <v>899</v>
      </c>
      <c r="D701" t="s">
        <v>319</v>
      </c>
      <c r="E701" t="s">
        <v>900</v>
      </c>
      <c r="F701" t="s">
        <v>19</v>
      </c>
      <c r="G701" t="s">
        <v>901</v>
      </c>
      <c r="H701" t="s">
        <v>21</v>
      </c>
      <c r="I701" t="s">
        <v>123</v>
      </c>
      <c r="J701">
        <v>5726</v>
      </c>
      <c r="K701" t="s">
        <v>673</v>
      </c>
    </row>
    <row r="702" spans="1:11" x14ac:dyDescent="0.35">
      <c r="A702" t="s">
        <v>317</v>
      </c>
      <c r="B702" t="s">
        <v>15</v>
      </c>
      <c r="C702" t="s">
        <v>978</v>
      </c>
      <c r="D702" t="s">
        <v>319</v>
      </c>
      <c r="E702" t="s">
        <v>208</v>
      </c>
      <c r="F702" t="s">
        <v>19</v>
      </c>
      <c r="G702" t="s">
        <v>209</v>
      </c>
      <c r="H702" t="s">
        <v>21</v>
      </c>
      <c r="I702" t="s">
        <v>123</v>
      </c>
      <c r="J702">
        <v>5768</v>
      </c>
      <c r="K702" t="s">
        <v>673</v>
      </c>
    </row>
    <row r="703" spans="1:11" x14ac:dyDescent="0.35">
      <c r="A703" t="s">
        <v>317</v>
      </c>
      <c r="B703" t="s">
        <v>15</v>
      </c>
      <c r="C703" t="s">
        <v>1123</v>
      </c>
      <c r="D703" t="s">
        <v>319</v>
      </c>
      <c r="E703" t="s">
        <v>714</v>
      </c>
      <c r="F703" t="s">
        <v>19</v>
      </c>
      <c r="G703" t="s">
        <v>715</v>
      </c>
      <c r="H703" t="s">
        <v>21</v>
      </c>
      <c r="I703" t="s">
        <v>123</v>
      </c>
      <c r="J703">
        <v>3556</v>
      </c>
      <c r="K703" t="s">
        <v>673</v>
      </c>
    </row>
    <row r="704" spans="1:11" x14ac:dyDescent="0.35">
      <c r="A704" t="s">
        <v>317</v>
      </c>
      <c r="B704" t="s">
        <v>15</v>
      </c>
      <c r="C704" t="s">
        <v>1125</v>
      </c>
      <c r="D704" t="s">
        <v>319</v>
      </c>
      <c r="E704" t="s">
        <v>1126</v>
      </c>
      <c r="F704" t="s">
        <v>19</v>
      </c>
      <c r="G704" t="s">
        <v>1127</v>
      </c>
      <c r="H704" t="s">
        <v>21</v>
      </c>
      <c r="I704" t="s">
        <v>123</v>
      </c>
      <c r="J704">
        <v>5769</v>
      </c>
      <c r="K704" t="s">
        <v>673</v>
      </c>
    </row>
    <row r="705" spans="1:11" x14ac:dyDescent="0.35">
      <c r="A705" t="s">
        <v>317</v>
      </c>
      <c r="B705" t="s">
        <v>15</v>
      </c>
      <c r="C705" t="s">
        <v>1220</v>
      </c>
      <c r="D705" t="s">
        <v>319</v>
      </c>
      <c r="E705" t="s">
        <v>121</v>
      </c>
      <c r="F705" t="s">
        <v>19</v>
      </c>
      <c r="G705" t="s">
        <v>122</v>
      </c>
      <c r="H705" t="s">
        <v>21</v>
      </c>
      <c r="I705" t="s">
        <v>123</v>
      </c>
      <c r="J705">
        <v>7499</v>
      </c>
      <c r="K705" t="s">
        <v>673</v>
      </c>
    </row>
    <row r="706" spans="1:11" x14ac:dyDescent="0.35">
      <c r="A706" t="s">
        <v>317</v>
      </c>
      <c r="B706" t="s">
        <v>15</v>
      </c>
      <c r="C706" t="s">
        <v>1457</v>
      </c>
      <c r="D706" t="s">
        <v>319</v>
      </c>
      <c r="E706" t="s">
        <v>277</v>
      </c>
      <c r="F706" t="s">
        <v>19</v>
      </c>
      <c r="G706" t="s">
        <v>278</v>
      </c>
      <c r="H706" t="s">
        <v>21</v>
      </c>
      <c r="I706" t="s">
        <v>123</v>
      </c>
      <c r="J706">
        <v>5770</v>
      </c>
      <c r="K706" t="s">
        <v>673</v>
      </c>
    </row>
    <row r="707" spans="1:11" x14ac:dyDescent="0.35">
      <c r="A707" t="s">
        <v>317</v>
      </c>
      <c r="B707" t="s">
        <v>15</v>
      </c>
      <c r="C707" t="s">
        <v>1459</v>
      </c>
      <c r="D707" t="s">
        <v>319</v>
      </c>
      <c r="E707" t="s">
        <v>861</v>
      </c>
      <c r="F707" t="s">
        <v>19</v>
      </c>
      <c r="G707" t="s">
        <v>862</v>
      </c>
      <c r="H707" t="s">
        <v>21</v>
      </c>
      <c r="I707" t="s">
        <v>123</v>
      </c>
      <c r="J707">
        <v>8099</v>
      </c>
      <c r="K707" t="s">
        <v>673</v>
      </c>
    </row>
    <row r="708" spans="1:11" x14ac:dyDescent="0.35">
      <c r="A708" t="s">
        <v>317</v>
      </c>
      <c r="B708" t="s">
        <v>15</v>
      </c>
      <c r="C708" t="s">
        <v>1463</v>
      </c>
      <c r="D708" t="s">
        <v>319</v>
      </c>
      <c r="E708" t="s">
        <v>1464</v>
      </c>
      <c r="F708" t="s">
        <v>19</v>
      </c>
      <c r="G708" t="s">
        <v>1465</v>
      </c>
      <c r="H708" t="s">
        <v>21</v>
      </c>
      <c r="I708" t="s">
        <v>123</v>
      </c>
      <c r="J708">
        <v>3557</v>
      </c>
      <c r="K708" t="s">
        <v>673</v>
      </c>
    </row>
    <row r="709" spans="1:11" x14ac:dyDescent="0.35">
      <c r="A709" t="s">
        <v>317</v>
      </c>
      <c r="B709" t="s">
        <v>15</v>
      </c>
      <c r="C709" t="s">
        <v>1771</v>
      </c>
      <c r="D709" t="s">
        <v>319</v>
      </c>
      <c r="E709" t="s">
        <v>1362</v>
      </c>
      <c r="F709" t="s">
        <v>19</v>
      </c>
      <c r="G709" t="s">
        <v>1363</v>
      </c>
      <c r="H709" t="s">
        <v>21</v>
      </c>
      <c r="I709" t="s">
        <v>123</v>
      </c>
      <c r="J709">
        <v>7044</v>
      </c>
      <c r="K709" t="s">
        <v>673</v>
      </c>
    </row>
    <row r="710" spans="1:11" x14ac:dyDescent="0.35">
      <c r="A710" t="s">
        <v>317</v>
      </c>
      <c r="B710" t="s">
        <v>15</v>
      </c>
      <c r="C710" t="s">
        <v>1775</v>
      </c>
      <c r="D710" t="s">
        <v>319</v>
      </c>
      <c r="E710" t="s">
        <v>208</v>
      </c>
      <c r="F710" t="s">
        <v>19</v>
      </c>
      <c r="G710" t="s">
        <v>209</v>
      </c>
      <c r="H710" t="s">
        <v>21</v>
      </c>
      <c r="I710" t="s">
        <v>123</v>
      </c>
      <c r="J710">
        <v>5768</v>
      </c>
      <c r="K710" t="s">
        <v>673</v>
      </c>
    </row>
    <row r="711" spans="1:11" x14ac:dyDescent="0.35">
      <c r="A711" t="s">
        <v>317</v>
      </c>
      <c r="B711" t="s">
        <v>15</v>
      </c>
      <c r="C711" t="s">
        <v>1776</v>
      </c>
      <c r="D711" t="s">
        <v>319</v>
      </c>
      <c r="E711" t="s">
        <v>1126</v>
      </c>
      <c r="F711" t="s">
        <v>19</v>
      </c>
      <c r="G711" t="s">
        <v>1127</v>
      </c>
      <c r="H711" t="s">
        <v>21</v>
      </c>
      <c r="I711" t="s">
        <v>123</v>
      </c>
      <c r="J711">
        <v>5769</v>
      </c>
      <c r="K711" t="s">
        <v>673</v>
      </c>
    </row>
    <row r="712" spans="1:11" x14ac:dyDescent="0.35">
      <c r="A712" t="s">
        <v>14</v>
      </c>
      <c r="B712" t="s">
        <v>32</v>
      </c>
      <c r="C712" t="s">
        <v>369</v>
      </c>
      <c r="D712" t="s">
        <v>17</v>
      </c>
      <c r="E712" t="s">
        <v>333</v>
      </c>
      <c r="F712" t="s">
        <v>19</v>
      </c>
      <c r="G712" t="s">
        <v>35</v>
      </c>
      <c r="H712" t="s">
        <v>21</v>
      </c>
      <c r="I712" t="s">
        <v>162</v>
      </c>
      <c r="J712">
        <v>607</v>
      </c>
      <c r="K712" t="s">
        <v>23</v>
      </c>
    </row>
    <row r="713" spans="1:11" x14ac:dyDescent="0.35">
      <c r="A713" t="s">
        <v>14</v>
      </c>
      <c r="B713" t="s">
        <v>32</v>
      </c>
      <c r="C713" t="s">
        <v>1194</v>
      </c>
      <c r="D713" t="s">
        <v>17</v>
      </c>
      <c r="E713" t="s">
        <v>333</v>
      </c>
      <c r="F713" t="s">
        <v>19</v>
      </c>
      <c r="G713" t="s">
        <v>35</v>
      </c>
      <c r="H713" t="s">
        <v>21</v>
      </c>
      <c r="I713" t="s">
        <v>162</v>
      </c>
      <c r="J713">
        <v>607</v>
      </c>
      <c r="K713" t="s">
        <v>23</v>
      </c>
    </row>
    <row r="714" spans="1:11" x14ac:dyDescent="0.35">
      <c r="A714" t="s">
        <v>317</v>
      </c>
      <c r="B714" t="s">
        <v>32</v>
      </c>
      <c r="C714" t="s">
        <v>1264</v>
      </c>
      <c r="D714" t="s">
        <v>319</v>
      </c>
      <c r="E714" t="s">
        <v>333</v>
      </c>
      <c r="F714" t="s">
        <v>19</v>
      </c>
      <c r="G714" t="s">
        <v>35</v>
      </c>
      <c r="H714" t="s">
        <v>21</v>
      </c>
      <c r="I714" t="s">
        <v>162</v>
      </c>
      <c r="J714">
        <v>607</v>
      </c>
      <c r="K714" t="s">
        <v>673</v>
      </c>
    </row>
    <row r="715" spans="1:11" x14ac:dyDescent="0.35">
      <c r="A715" t="s">
        <v>317</v>
      </c>
      <c r="B715" t="s">
        <v>32</v>
      </c>
      <c r="C715" t="s">
        <v>1815</v>
      </c>
      <c r="D715" t="s">
        <v>319</v>
      </c>
      <c r="E715" t="s">
        <v>333</v>
      </c>
      <c r="F715" t="s">
        <v>19</v>
      </c>
      <c r="G715" t="s">
        <v>35</v>
      </c>
      <c r="H715" t="s">
        <v>21</v>
      </c>
      <c r="I715" t="s">
        <v>162</v>
      </c>
      <c r="J715">
        <v>607</v>
      </c>
      <c r="K715" t="s">
        <v>673</v>
      </c>
    </row>
    <row r="716" spans="1:11" x14ac:dyDescent="0.35">
      <c r="A716" t="s">
        <v>74</v>
      </c>
      <c r="B716" t="s">
        <v>32</v>
      </c>
      <c r="C716" t="s">
        <v>332</v>
      </c>
      <c r="D716" t="s">
        <v>76</v>
      </c>
      <c r="E716" t="s">
        <v>333</v>
      </c>
      <c r="F716" t="s">
        <v>19</v>
      </c>
      <c r="G716" t="s">
        <v>35</v>
      </c>
      <c r="H716" t="s">
        <v>21</v>
      </c>
      <c r="I716" t="s">
        <v>162</v>
      </c>
      <c r="J716">
        <v>607</v>
      </c>
      <c r="K716" t="s">
        <v>23</v>
      </c>
    </row>
    <row r="717" spans="1:11" x14ac:dyDescent="0.35">
      <c r="A717" t="s">
        <v>14</v>
      </c>
      <c r="B717" t="s">
        <v>53</v>
      </c>
      <c r="C717" t="s">
        <v>949</v>
      </c>
      <c r="D717" t="s">
        <v>17</v>
      </c>
      <c r="E717" t="s">
        <v>950</v>
      </c>
      <c r="F717" t="s">
        <v>19</v>
      </c>
      <c r="G717" t="s">
        <v>56</v>
      </c>
      <c r="H717" t="s">
        <v>21</v>
      </c>
      <c r="I717" t="s">
        <v>162</v>
      </c>
      <c r="J717">
        <v>2292</v>
      </c>
      <c r="K717" t="s">
        <v>23</v>
      </c>
    </row>
    <row r="718" spans="1:11" x14ac:dyDescent="0.35">
      <c r="A718" t="s">
        <v>14</v>
      </c>
      <c r="B718" t="s">
        <v>53</v>
      </c>
      <c r="C718" t="s">
        <v>985</v>
      </c>
      <c r="D718" t="s">
        <v>17</v>
      </c>
      <c r="E718" t="s">
        <v>950</v>
      </c>
      <c r="F718" t="s">
        <v>19</v>
      </c>
      <c r="G718" t="s">
        <v>56</v>
      </c>
      <c r="H718" t="s">
        <v>21</v>
      </c>
      <c r="I718" t="s">
        <v>162</v>
      </c>
      <c r="J718">
        <v>2292</v>
      </c>
      <c r="K718" t="s">
        <v>23</v>
      </c>
    </row>
    <row r="719" spans="1:11" x14ac:dyDescent="0.35">
      <c r="A719" t="s">
        <v>317</v>
      </c>
      <c r="B719" t="s">
        <v>53</v>
      </c>
      <c r="C719" t="s">
        <v>1082</v>
      </c>
      <c r="D719" t="s">
        <v>319</v>
      </c>
      <c r="E719" t="s">
        <v>950</v>
      </c>
      <c r="F719" t="s">
        <v>19</v>
      </c>
      <c r="G719" t="s">
        <v>56</v>
      </c>
      <c r="H719" t="s">
        <v>21</v>
      </c>
      <c r="I719" t="s">
        <v>162</v>
      </c>
      <c r="J719">
        <v>2292</v>
      </c>
      <c r="K719" t="s">
        <v>673</v>
      </c>
    </row>
    <row r="720" spans="1:11" x14ac:dyDescent="0.35">
      <c r="A720" t="s">
        <v>14</v>
      </c>
      <c r="B720" t="s">
        <v>15</v>
      </c>
      <c r="C720" t="s">
        <v>159</v>
      </c>
      <c r="D720" t="s">
        <v>17</v>
      </c>
      <c r="E720" t="s">
        <v>160</v>
      </c>
      <c r="F720" t="s">
        <v>19</v>
      </c>
      <c r="G720" t="s">
        <v>161</v>
      </c>
      <c r="H720" t="s">
        <v>21</v>
      </c>
      <c r="I720" t="s">
        <v>162</v>
      </c>
      <c r="J720">
        <v>3554</v>
      </c>
      <c r="K720" t="s">
        <v>23</v>
      </c>
    </row>
    <row r="721" spans="1:11" x14ac:dyDescent="0.35">
      <c r="A721" t="s">
        <v>14</v>
      </c>
      <c r="B721" t="s">
        <v>15</v>
      </c>
      <c r="C721" t="s">
        <v>335</v>
      </c>
      <c r="D721" t="s">
        <v>17</v>
      </c>
      <c r="E721" t="s">
        <v>336</v>
      </c>
      <c r="F721" t="s">
        <v>19</v>
      </c>
      <c r="G721" t="s">
        <v>337</v>
      </c>
      <c r="H721" t="s">
        <v>21</v>
      </c>
      <c r="I721" t="s">
        <v>162</v>
      </c>
      <c r="J721">
        <v>5725</v>
      </c>
      <c r="K721" t="s">
        <v>23</v>
      </c>
    </row>
    <row r="722" spans="1:11" x14ac:dyDescent="0.35">
      <c r="A722" t="s">
        <v>14</v>
      </c>
      <c r="B722" t="s">
        <v>15</v>
      </c>
      <c r="C722" t="s">
        <v>424</v>
      </c>
      <c r="D722" t="s">
        <v>17</v>
      </c>
      <c r="E722" t="s">
        <v>425</v>
      </c>
      <c r="F722" t="s">
        <v>19</v>
      </c>
      <c r="G722" t="s">
        <v>426</v>
      </c>
      <c r="H722" t="s">
        <v>21</v>
      </c>
      <c r="I722" t="s">
        <v>162</v>
      </c>
      <c r="J722">
        <v>7360</v>
      </c>
      <c r="K722" t="s">
        <v>23</v>
      </c>
    </row>
    <row r="723" spans="1:11" x14ac:dyDescent="0.35">
      <c r="A723" t="s">
        <v>14</v>
      </c>
      <c r="B723" t="s">
        <v>15</v>
      </c>
      <c r="C723" t="s">
        <v>594</v>
      </c>
      <c r="D723" t="s">
        <v>17</v>
      </c>
      <c r="E723" t="s">
        <v>595</v>
      </c>
      <c r="F723" t="s">
        <v>19</v>
      </c>
      <c r="G723" t="s">
        <v>596</v>
      </c>
      <c r="H723" t="s">
        <v>21</v>
      </c>
      <c r="I723" t="s">
        <v>162</v>
      </c>
      <c r="J723">
        <v>3395</v>
      </c>
      <c r="K723" t="s">
        <v>23</v>
      </c>
    </row>
    <row r="724" spans="1:11" x14ac:dyDescent="0.35">
      <c r="A724" t="s">
        <v>14</v>
      </c>
      <c r="B724" t="s">
        <v>15</v>
      </c>
      <c r="C724" t="s">
        <v>598</v>
      </c>
      <c r="D724" t="s">
        <v>17</v>
      </c>
      <c r="E724" t="s">
        <v>160</v>
      </c>
      <c r="F724" t="s">
        <v>19</v>
      </c>
      <c r="G724" t="s">
        <v>599</v>
      </c>
      <c r="H724" t="s">
        <v>21</v>
      </c>
      <c r="I724" t="s">
        <v>162</v>
      </c>
      <c r="J724">
        <v>3554</v>
      </c>
      <c r="K724" t="s">
        <v>23</v>
      </c>
    </row>
    <row r="725" spans="1:11" x14ac:dyDescent="0.35">
      <c r="A725" t="s">
        <v>14</v>
      </c>
      <c r="B725" t="s">
        <v>15</v>
      </c>
      <c r="C725" t="s">
        <v>893</v>
      </c>
      <c r="D725" t="s">
        <v>17</v>
      </c>
      <c r="E725" t="s">
        <v>160</v>
      </c>
      <c r="F725" t="s">
        <v>19</v>
      </c>
      <c r="G725" t="s">
        <v>599</v>
      </c>
      <c r="H725" t="s">
        <v>21</v>
      </c>
      <c r="I725" t="s">
        <v>162</v>
      </c>
      <c r="J725">
        <v>3554</v>
      </c>
      <c r="K725" t="s">
        <v>23</v>
      </c>
    </row>
    <row r="726" spans="1:11" x14ac:dyDescent="0.35">
      <c r="A726" t="s">
        <v>14</v>
      </c>
      <c r="B726" t="s">
        <v>15</v>
      </c>
      <c r="C726" t="s">
        <v>1259</v>
      </c>
      <c r="D726" t="s">
        <v>17</v>
      </c>
      <c r="E726" t="s">
        <v>1260</v>
      </c>
      <c r="F726" t="s">
        <v>19</v>
      </c>
      <c r="G726" t="s">
        <v>1261</v>
      </c>
      <c r="H726" t="s">
        <v>21</v>
      </c>
      <c r="I726" t="s">
        <v>162</v>
      </c>
      <c r="J726">
        <v>8162</v>
      </c>
      <c r="K726" t="s">
        <v>23</v>
      </c>
    </row>
    <row r="727" spans="1:11" x14ac:dyDescent="0.35">
      <c r="A727" t="s">
        <v>14</v>
      </c>
      <c r="B727" t="s">
        <v>15</v>
      </c>
      <c r="C727" t="s">
        <v>1263</v>
      </c>
      <c r="D727" t="s">
        <v>17</v>
      </c>
      <c r="E727" t="s">
        <v>1161</v>
      </c>
      <c r="F727" t="s">
        <v>19</v>
      </c>
      <c r="G727" t="s">
        <v>1162</v>
      </c>
      <c r="H727" t="s">
        <v>21</v>
      </c>
      <c r="I727" t="s">
        <v>162</v>
      </c>
      <c r="J727">
        <v>7178</v>
      </c>
      <c r="K727" t="s">
        <v>23</v>
      </c>
    </row>
    <row r="728" spans="1:11" x14ac:dyDescent="0.35">
      <c r="A728" t="s">
        <v>14</v>
      </c>
      <c r="B728" t="s">
        <v>15</v>
      </c>
      <c r="C728" t="s">
        <v>1439</v>
      </c>
      <c r="D728" t="s">
        <v>17</v>
      </c>
      <c r="E728" t="s">
        <v>425</v>
      </c>
      <c r="F728" t="s">
        <v>19</v>
      </c>
      <c r="G728" t="s">
        <v>426</v>
      </c>
      <c r="H728" t="s">
        <v>21</v>
      </c>
      <c r="I728" t="s">
        <v>162</v>
      </c>
      <c r="J728">
        <v>7360</v>
      </c>
      <c r="K728" t="s">
        <v>23</v>
      </c>
    </row>
    <row r="729" spans="1:11" x14ac:dyDescent="0.35">
      <c r="A729" t="s">
        <v>14</v>
      </c>
      <c r="B729" t="s">
        <v>15</v>
      </c>
      <c r="C729" t="s">
        <v>1542</v>
      </c>
      <c r="D729" t="s">
        <v>17</v>
      </c>
      <c r="E729" t="s">
        <v>595</v>
      </c>
      <c r="F729" t="s">
        <v>19</v>
      </c>
      <c r="G729" t="s">
        <v>596</v>
      </c>
      <c r="H729" t="s">
        <v>21</v>
      </c>
      <c r="I729" t="s">
        <v>162</v>
      </c>
      <c r="J729">
        <v>3395</v>
      </c>
      <c r="K729" t="s">
        <v>23</v>
      </c>
    </row>
    <row r="730" spans="1:11" x14ac:dyDescent="0.35">
      <c r="A730" t="s">
        <v>14</v>
      </c>
      <c r="B730" t="s">
        <v>15</v>
      </c>
      <c r="C730" t="s">
        <v>1672</v>
      </c>
      <c r="D730" t="s">
        <v>17</v>
      </c>
      <c r="E730" t="s">
        <v>336</v>
      </c>
      <c r="F730" t="s">
        <v>19</v>
      </c>
      <c r="G730" t="s">
        <v>337</v>
      </c>
      <c r="H730" t="s">
        <v>21</v>
      </c>
      <c r="I730" t="s">
        <v>162</v>
      </c>
      <c r="J730">
        <v>5725</v>
      </c>
      <c r="K730" t="s">
        <v>23</v>
      </c>
    </row>
    <row r="731" spans="1:11" x14ac:dyDescent="0.35">
      <c r="A731" t="s">
        <v>14</v>
      </c>
      <c r="B731" t="s">
        <v>15</v>
      </c>
      <c r="C731" t="s">
        <v>1798</v>
      </c>
      <c r="D731" t="s">
        <v>17</v>
      </c>
      <c r="E731" t="s">
        <v>1161</v>
      </c>
      <c r="F731" t="s">
        <v>19</v>
      </c>
      <c r="G731" t="s">
        <v>1162</v>
      </c>
      <c r="H731" t="s">
        <v>21</v>
      </c>
      <c r="I731" t="s">
        <v>162</v>
      </c>
      <c r="J731">
        <v>7178</v>
      </c>
      <c r="K731" t="s">
        <v>23</v>
      </c>
    </row>
    <row r="732" spans="1:11" x14ac:dyDescent="0.35">
      <c r="A732" t="s">
        <v>14</v>
      </c>
      <c r="B732" t="s">
        <v>15</v>
      </c>
      <c r="C732" t="s">
        <v>1818</v>
      </c>
      <c r="D732" t="s">
        <v>17</v>
      </c>
      <c r="E732" t="s">
        <v>595</v>
      </c>
      <c r="F732" t="s">
        <v>19</v>
      </c>
      <c r="G732" t="s">
        <v>1048</v>
      </c>
      <c r="H732" t="s">
        <v>21</v>
      </c>
      <c r="I732" t="s">
        <v>162</v>
      </c>
      <c r="J732">
        <v>3395</v>
      </c>
      <c r="K732" t="s">
        <v>23</v>
      </c>
    </row>
    <row r="733" spans="1:11" x14ac:dyDescent="0.35">
      <c r="A733" t="s">
        <v>14</v>
      </c>
      <c r="B733" t="s">
        <v>15</v>
      </c>
      <c r="C733" t="s">
        <v>1866</v>
      </c>
      <c r="D733" t="s">
        <v>17</v>
      </c>
      <c r="E733" t="s">
        <v>336</v>
      </c>
      <c r="F733" t="s">
        <v>19</v>
      </c>
      <c r="G733" t="s">
        <v>1442</v>
      </c>
      <c r="H733" t="s">
        <v>21</v>
      </c>
      <c r="I733" t="s">
        <v>162</v>
      </c>
      <c r="J733">
        <v>5725</v>
      </c>
      <c r="K733" t="s">
        <v>23</v>
      </c>
    </row>
    <row r="734" spans="1:11" x14ac:dyDescent="0.35">
      <c r="A734" t="s">
        <v>317</v>
      </c>
      <c r="B734" t="s">
        <v>15</v>
      </c>
      <c r="C734" t="s">
        <v>1047</v>
      </c>
      <c r="D734" t="s">
        <v>319</v>
      </c>
      <c r="E734" t="s">
        <v>595</v>
      </c>
      <c r="F734" t="s">
        <v>19</v>
      </c>
      <c r="G734" t="s">
        <v>1048</v>
      </c>
      <c r="H734" t="s">
        <v>21</v>
      </c>
      <c r="I734" t="s">
        <v>162</v>
      </c>
      <c r="J734">
        <v>3395</v>
      </c>
      <c r="K734" t="s">
        <v>673</v>
      </c>
    </row>
    <row r="735" spans="1:11" x14ac:dyDescent="0.35">
      <c r="A735" t="s">
        <v>317</v>
      </c>
      <c r="B735" t="s">
        <v>15</v>
      </c>
      <c r="C735" t="s">
        <v>1160</v>
      </c>
      <c r="D735" t="s">
        <v>319</v>
      </c>
      <c r="E735" t="s">
        <v>1161</v>
      </c>
      <c r="F735" t="s">
        <v>19</v>
      </c>
      <c r="G735" t="s">
        <v>1162</v>
      </c>
      <c r="H735" t="s">
        <v>21</v>
      </c>
      <c r="I735" t="s">
        <v>162</v>
      </c>
      <c r="J735">
        <v>7178</v>
      </c>
      <c r="K735" t="s">
        <v>673</v>
      </c>
    </row>
    <row r="736" spans="1:11" x14ac:dyDescent="0.35">
      <c r="A736" t="s">
        <v>317</v>
      </c>
      <c r="B736" t="s">
        <v>15</v>
      </c>
      <c r="C736" t="s">
        <v>1266</v>
      </c>
      <c r="D736" t="s">
        <v>319</v>
      </c>
      <c r="E736" t="s">
        <v>336</v>
      </c>
      <c r="F736" t="s">
        <v>19</v>
      </c>
      <c r="G736" t="s">
        <v>337</v>
      </c>
      <c r="H736" t="s">
        <v>21</v>
      </c>
      <c r="I736" t="s">
        <v>162</v>
      </c>
      <c r="J736">
        <v>5725</v>
      </c>
      <c r="K736" t="s">
        <v>673</v>
      </c>
    </row>
    <row r="737" spans="1:11" x14ac:dyDescent="0.35">
      <c r="A737" t="s">
        <v>317</v>
      </c>
      <c r="B737" t="s">
        <v>15</v>
      </c>
      <c r="C737" t="s">
        <v>1441</v>
      </c>
      <c r="D737" t="s">
        <v>319</v>
      </c>
      <c r="E737" t="s">
        <v>336</v>
      </c>
      <c r="F737" t="s">
        <v>19</v>
      </c>
      <c r="G737" t="s">
        <v>1442</v>
      </c>
      <c r="H737" t="s">
        <v>21</v>
      </c>
      <c r="I737" t="s">
        <v>162</v>
      </c>
      <c r="J737">
        <v>5725</v>
      </c>
      <c r="K737" t="s">
        <v>673</v>
      </c>
    </row>
    <row r="738" spans="1:11" x14ac:dyDescent="0.35">
      <c r="A738" t="s">
        <v>317</v>
      </c>
      <c r="B738" t="s">
        <v>15</v>
      </c>
      <c r="C738" t="s">
        <v>1444</v>
      </c>
      <c r="D738" t="s">
        <v>319</v>
      </c>
      <c r="E738" t="s">
        <v>1260</v>
      </c>
      <c r="F738" t="s">
        <v>19</v>
      </c>
      <c r="G738" t="s">
        <v>1261</v>
      </c>
      <c r="H738" t="s">
        <v>21</v>
      </c>
      <c r="I738" t="s">
        <v>162</v>
      </c>
      <c r="J738">
        <v>8162</v>
      </c>
      <c r="K738" t="s">
        <v>673</v>
      </c>
    </row>
    <row r="739" spans="1:11" x14ac:dyDescent="0.35">
      <c r="A739" t="s">
        <v>317</v>
      </c>
      <c r="B739" t="s">
        <v>15</v>
      </c>
      <c r="C739" t="s">
        <v>1543</v>
      </c>
      <c r="D739" t="s">
        <v>319</v>
      </c>
      <c r="E739" t="s">
        <v>595</v>
      </c>
      <c r="F739" t="s">
        <v>19</v>
      </c>
      <c r="G739" t="s">
        <v>596</v>
      </c>
      <c r="H739" t="s">
        <v>21</v>
      </c>
      <c r="I739" t="s">
        <v>162</v>
      </c>
      <c r="J739">
        <v>3395</v>
      </c>
      <c r="K739" t="s">
        <v>673</v>
      </c>
    </row>
    <row r="740" spans="1:11" x14ac:dyDescent="0.35">
      <c r="A740" t="s">
        <v>317</v>
      </c>
      <c r="B740" t="s">
        <v>15</v>
      </c>
      <c r="C740" t="s">
        <v>1544</v>
      </c>
      <c r="D740" t="s">
        <v>319</v>
      </c>
      <c r="E740" t="s">
        <v>425</v>
      </c>
      <c r="F740" t="s">
        <v>19</v>
      </c>
      <c r="G740" t="s">
        <v>426</v>
      </c>
      <c r="H740" t="s">
        <v>21</v>
      </c>
      <c r="I740" t="s">
        <v>162</v>
      </c>
      <c r="J740">
        <v>7360</v>
      </c>
      <c r="K740" t="s">
        <v>673</v>
      </c>
    </row>
    <row r="741" spans="1:11" x14ac:dyDescent="0.35">
      <c r="A741" t="s">
        <v>317</v>
      </c>
      <c r="B741" t="s">
        <v>15</v>
      </c>
      <c r="C741" t="s">
        <v>1799</v>
      </c>
      <c r="D741" t="s">
        <v>319</v>
      </c>
      <c r="E741" t="s">
        <v>160</v>
      </c>
      <c r="F741" t="s">
        <v>19</v>
      </c>
      <c r="G741" t="s">
        <v>599</v>
      </c>
      <c r="H741" t="s">
        <v>21</v>
      </c>
      <c r="I741" t="s">
        <v>162</v>
      </c>
      <c r="J741">
        <v>3554</v>
      </c>
      <c r="K741" t="s">
        <v>673</v>
      </c>
    </row>
    <row r="742" spans="1:11" x14ac:dyDescent="0.35">
      <c r="A742" t="s">
        <v>317</v>
      </c>
      <c r="B742" t="s">
        <v>15</v>
      </c>
      <c r="C742" t="s">
        <v>1800</v>
      </c>
      <c r="D742" t="s">
        <v>319</v>
      </c>
      <c r="E742" t="s">
        <v>595</v>
      </c>
      <c r="F742" t="s">
        <v>19</v>
      </c>
      <c r="G742" t="s">
        <v>596</v>
      </c>
      <c r="H742" t="s">
        <v>21</v>
      </c>
      <c r="I742" t="s">
        <v>162</v>
      </c>
      <c r="J742">
        <v>3395</v>
      </c>
      <c r="K742" t="s">
        <v>673</v>
      </c>
    </row>
    <row r="743" spans="1:11" x14ac:dyDescent="0.35">
      <c r="A743" t="s">
        <v>317</v>
      </c>
      <c r="B743" t="s">
        <v>15</v>
      </c>
      <c r="C743" t="s">
        <v>1822</v>
      </c>
      <c r="D743" t="s">
        <v>319</v>
      </c>
      <c r="E743" t="s">
        <v>336</v>
      </c>
      <c r="F743" t="s">
        <v>19</v>
      </c>
      <c r="G743" t="s">
        <v>337</v>
      </c>
      <c r="H743" t="s">
        <v>21</v>
      </c>
      <c r="I743" t="s">
        <v>162</v>
      </c>
      <c r="J743">
        <v>5725</v>
      </c>
      <c r="K743" t="s">
        <v>673</v>
      </c>
    </row>
    <row r="744" spans="1:11" x14ac:dyDescent="0.35">
      <c r="A744" t="s">
        <v>317</v>
      </c>
      <c r="B744" t="s">
        <v>15</v>
      </c>
      <c r="C744" t="s">
        <v>1867</v>
      </c>
      <c r="D744" t="s">
        <v>319</v>
      </c>
      <c r="E744" t="s">
        <v>160</v>
      </c>
      <c r="F744" t="s">
        <v>19</v>
      </c>
      <c r="G744" t="s">
        <v>161</v>
      </c>
      <c r="H744" t="s">
        <v>21</v>
      </c>
      <c r="I744" t="s">
        <v>162</v>
      </c>
      <c r="J744">
        <v>3554</v>
      </c>
      <c r="K744" t="s">
        <v>673</v>
      </c>
    </row>
    <row r="745" spans="1:11" x14ac:dyDescent="0.35">
      <c r="A745" t="s">
        <v>14</v>
      </c>
      <c r="B745" t="s">
        <v>32</v>
      </c>
      <c r="C745" t="s">
        <v>230</v>
      </c>
      <c r="D745" t="s">
        <v>17</v>
      </c>
      <c r="E745" t="s">
        <v>231</v>
      </c>
      <c r="F745" t="s">
        <v>19</v>
      </c>
      <c r="G745" t="s">
        <v>35</v>
      </c>
      <c r="H745" t="s">
        <v>21</v>
      </c>
      <c r="I745" t="s">
        <v>232</v>
      </c>
      <c r="J745">
        <v>604</v>
      </c>
      <c r="K745" t="s">
        <v>23</v>
      </c>
    </row>
    <row r="746" spans="1:11" x14ac:dyDescent="0.35">
      <c r="A746" t="s">
        <v>14</v>
      </c>
      <c r="B746" t="s">
        <v>32</v>
      </c>
      <c r="C746" t="s">
        <v>849</v>
      </c>
      <c r="D746" t="s">
        <v>17</v>
      </c>
      <c r="E746" t="s">
        <v>231</v>
      </c>
      <c r="F746" t="s">
        <v>19</v>
      </c>
      <c r="G746" t="s">
        <v>35</v>
      </c>
      <c r="H746" t="s">
        <v>21</v>
      </c>
      <c r="I746" t="s">
        <v>232</v>
      </c>
      <c r="J746">
        <v>604</v>
      </c>
      <c r="K746" t="s">
        <v>23</v>
      </c>
    </row>
    <row r="747" spans="1:11" x14ac:dyDescent="0.35">
      <c r="A747" t="s">
        <v>14</v>
      </c>
      <c r="B747" t="s">
        <v>32</v>
      </c>
      <c r="C747" t="s">
        <v>882</v>
      </c>
      <c r="D747" t="s">
        <v>17</v>
      </c>
      <c r="E747" t="s">
        <v>231</v>
      </c>
      <c r="F747" t="s">
        <v>19</v>
      </c>
      <c r="G747" t="s">
        <v>35</v>
      </c>
      <c r="H747" t="s">
        <v>21</v>
      </c>
      <c r="I747" t="s">
        <v>232</v>
      </c>
      <c r="J747">
        <v>604</v>
      </c>
      <c r="K747" t="s">
        <v>23</v>
      </c>
    </row>
    <row r="748" spans="1:11" x14ac:dyDescent="0.35">
      <c r="A748" t="s">
        <v>317</v>
      </c>
      <c r="B748" t="s">
        <v>32</v>
      </c>
      <c r="C748" t="s">
        <v>1011</v>
      </c>
      <c r="D748" t="s">
        <v>319</v>
      </c>
      <c r="E748" t="s">
        <v>231</v>
      </c>
      <c r="F748" t="s">
        <v>19</v>
      </c>
      <c r="G748" t="s">
        <v>35</v>
      </c>
      <c r="H748" t="s">
        <v>21</v>
      </c>
      <c r="I748" t="s">
        <v>232</v>
      </c>
      <c r="J748">
        <v>604</v>
      </c>
      <c r="K748" t="s">
        <v>673</v>
      </c>
    </row>
    <row r="749" spans="1:11" x14ac:dyDescent="0.35">
      <c r="A749" t="s">
        <v>317</v>
      </c>
      <c r="B749" t="s">
        <v>32</v>
      </c>
      <c r="C749" t="s">
        <v>1183</v>
      </c>
      <c r="D749" t="s">
        <v>319</v>
      </c>
      <c r="E749" t="s">
        <v>231</v>
      </c>
      <c r="F749" t="s">
        <v>19</v>
      </c>
      <c r="G749" t="s">
        <v>35</v>
      </c>
      <c r="H749" t="s">
        <v>21</v>
      </c>
      <c r="I749" t="s">
        <v>232</v>
      </c>
      <c r="J749">
        <v>604</v>
      </c>
      <c r="K749" t="s">
        <v>673</v>
      </c>
    </row>
    <row r="750" spans="1:11" x14ac:dyDescent="0.35">
      <c r="A750" t="s">
        <v>317</v>
      </c>
      <c r="B750" t="s">
        <v>32</v>
      </c>
      <c r="C750" t="s">
        <v>1868</v>
      </c>
      <c r="D750" t="s">
        <v>319</v>
      </c>
      <c r="E750" t="s">
        <v>231</v>
      </c>
      <c r="F750" t="s">
        <v>19</v>
      </c>
      <c r="G750" t="s">
        <v>35</v>
      </c>
      <c r="H750" t="s">
        <v>21</v>
      </c>
      <c r="I750" t="s">
        <v>232</v>
      </c>
      <c r="J750">
        <v>604</v>
      </c>
      <c r="K750" t="s">
        <v>673</v>
      </c>
    </row>
    <row r="751" spans="1:11" x14ac:dyDescent="0.35">
      <c r="A751" t="s">
        <v>14</v>
      </c>
      <c r="B751" t="s">
        <v>15</v>
      </c>
      <c r="C751" t="s">
        <v>467</v>
      </c>
      <c r="D751" t="s">
        <v>17</v>
      </c>
      <c r="E751" t="s">
        <v>468</v>
      </c>
      <c r="F751" t="s">
        <v>19</v>
      </c>
      <c r="G751" t="s">
        <v>469</v>
      </c>
      <c r="H751" t="s">
        <v>21</v>
      </c>
      <c r="I751" t="s">
        <v>232</v>
      </c>
      <c r="J751">
        <v>7902</v>
      </c>
      <c r="K751" t="s">
        <v>23</v>
      </c>
    </row>
    <row r="752" spans="1:11" x14ac:dyDescent="0.35">
      <c r="A752" t="s">
        <v>14</v>
      </c>
      <c r="B752" t="s">
        <v>15</v>
      </c>
      <c r="C752" t="s">
        <v>839</v>
      </c>
      <c r="D752" t="s">
        <v>17</v>
      </c>
      <c r="E752" t="s">
        <v>840</v>
      </c>
      <c r="F752" t="s">
        <v>19</v>
      </c>
      <c r="G752" t="s">
        <v>841</v>
      </c>
      <c r="H752" t="s">
        <v>21</v>
      </c>
      <c r="I752" t="s">
        <v>232</v>
      </c>
      <c r="J752">
        <v>3373</v>
      </c>
      <c r="K752" t="s">
        <v>23</v>
      </c>
    </row>
    <row r="753" spans="1:11" x14ac:dyDescent="0.35">
      <c r="A753" t="s">
        <v>14</v>
      </c>
      <c r="B753" t="s">
        <v>15</v>
      </c>
      <c r="C753" t="s">
        <v>843</v>
      </c>
      <c r="D753" t="s">
        <v>17</v>
      </c>
      <c r="E753" t="s">
        <v>772</v>
      </c>
      <c r="F753" t="s">
        <v>19</v>
      </c>
      <c r="G753" t="s">
        <v>844</v>
      </c>
      <c r="H753" t="s">
        <v>21</v>
      </c>
      <c r="I753" t="s">
        <v>232</v>
      </c>
      <c r="J753">
        <v>5604</v>
      </c>
      <c r="K753" t="s">
        <v>23</v>
      </c>
    </row>
    <row r="754" spans="1:11" x14ac:dyDescent="0.35">
      <c r="A754" t="s">
        <v>14</v>
      </c>
      <c r="B754" t="s">
        <v>15</v>
      </c>
      <c r="C754" t="s">
        <v>987</v>
      </c>
      <c r="D754" t="s">
        <v>17</v>
      </c>
      <c r="E754" t="s">
        <v>885</v>
      </c>
      <c r="F754" t="s">
        <v>19</v>
      </c>
      <c r="G754" t="s">
        <v>988</v>
      </c>
      <c r="H754" t="s">
        <v>21</v>
      </c>
      <c r="I754" t="s">
        <v>232</v>
      </c>
      <c r="J754">
        <v>8062</v>
      </c>
      <c r="K754" t="s">
        <v>23</v>
      </c>
    </row>
    <row r="755" spans="1:11" x14ac:dyDescent="0.35">
      <c r="A755" t="s">
        <v>14</v>
      </c>
      <c r="B755" t="s">
        <v>15</v>
      </c>
      <c r="C755" t="s">
        <v>1168</v>
      </c>
      <c r="D755" t="s">
        <v>17</v>
      </c>
      <c r="E755" t="s">
        <v>876</v>
      </c>
      <c r="F755" t="s">
        <v>19</v>
      </c>
      <c r="G755" t="s">
        <v>877</v>
      </c>
      <c r="H755" t="s">
        <v>21</v>
      </c>
      <c r="I755" t="s">
        <v>232</v>
      </c>
      <c r="J755">
        <v>7498</v>
      </c>
      <c r="K755" t="s">
        <v>23</v>
      </c>
    </row>
    <row r="756" spans="1:11" x14ac:dyDescent="0.35">
      <c r="A756" t="s">
        <v>14</v>
      </c>
      <c r="B756" t="s">
        <v>15</v>
      </c>
      <c r="C756" t="s">
        <v>1304</v>
      </c>
      <c r="D756" t="s">
        <v>17</v>
      </c>
      <c r="E756" t="s">
        <v>840</v>
      </c>
      <c r="F756" t="s">
        <v>19</v>
      </c>
      <c r="G756" t="s">
        <v>1305</v>
      </c>
      <c r="H756" t="s">
        <v>21</v>
      </c>
      <c r="I756" t="s">
        <v>232</v>
      </c>
      <c r="J756">
        <v>3373</v>
      </c>
      <c r="K756" t="s">
        <v>23</v>
      </c>
    </row>
    <row r="757" spans="1:11" x14ac:dyDescent="0.35">
      <c r="A757" t="s">
        <v>14</v>
      </c>
      <c r="B757" t="s">
        <v>15</v>
      </c>
      <c r="C757" t="s">
        <v>1421</v>
      </c>
      <c r="D757" t="s">
        <v>17</v>
      </c>
      <c r="E757" t="s">
        <v>1422</v>
      </c>
      <c r="F757" t="s">
        <v>19</v>
      </c>
      <c r="G757" t="s">
        <v>1423</v>
      </c>
      <c r="H757" t="s">
        <v>21</v>
      </c>
      <c r="I757" t="s">
        <v>232</v>
      </c>
      <c r="J757">
        <v>7101</v>
      </c>
      <c r="K757" t="s">
        <v>23</v>
      </c>
    </row>
    <row r="758" spans="1:11" x14ac:dyDescent="0.35">
      <c r="A758" t="s">
        <v>14</v>
      </c>
      <c r="B758" t="s">
        <v>15</v>
      </c>
      <c r="C758" t="s">
        <v>1530</v>
      </c>
      <c r="D758" t="s">
        <v>17</v>
      </c>
      <c r="E758" t="s">
        <v>885</v>
      </c>
      <c r="F758" t="s">
        <v>19</v>
      </c>
      <c r="G758" t="s">
        <v>886</v>
      </c>
      <c r="H758" t="s">
        <v>21</v>
      </c>
      <c r="I758" t="s">
        <v>232</v>
      </c>
      <c r="J758">
        <v>8062</v>
      </c>
      <c r="K758" t="s">
        <v>23</v>
      </c>
    </row>
    <row r="759" spans="1:11" x14ac:dyDescent="0.35">
      <c r="A759" t="s">
        <v>14</v>
      </c>
      <c r="B759" t="s">
        <v>15</v>
      </c>
      <c r="C759" t="s">
        <v>1741</v>
      </c>
      <c r="D759" t="s">
        <v>17</v>
      </c>
      <c r="E759" t="s">
        <v>772</v>
      </c>
      <c r="F759" t="s">
        <v>19</v>
      </c>
      <c r="G759" t="s">
        <v>773</v>
      </c>
      <c r="H759" t="s">
        <v>21</v>
      </c>
      <c r="I759" t="s">
        <v>232</v>
      </c>
      <c r="J759">
        <v>5604</v>
      </c>
      <c r="K759" t="s">
        <v>23</v>
      </c>
    </row>
    <row r="760" spans="1:11" x14ac:dyDescent="0.35">
      <c r="A760" t="s">
        <v>317</v>
      </c>
      <c r="B760" t="s">
        <v>15</v>
      </c>
      <c r="C760" t="s">
        <v>771</v>
      </c>
      <c r="D760" t="s">
        <v>319</v>
      </c>
      <c r="E760" t="s">
        <v>772</v>
      </c>
      <c r="F760" t="s">
        <v>19</v>
      </c>
      <c r="G760" t="s">
        <v>773</v>
      </c>
      <c r="H760" t="s">
        <v>21</v>
      </c>
      <c r="I760" t="s">
        <v>232</v>
      </c>
      <c r="J760">
        <v>5604</v>
      </c>
      <c r="K760" t="s">
        <v>673</v>
      </c>
    </row>
    <row r="761" spans="1:11" x14ac:dyDescent="0.35">
      <c r="A761" t="s">
        <v>317</v>
      </c>
      <c r="B761" t="s">
        <v>15</v>
      </c>
      <c r="C761" t="s">
        <v>775</v>
      </c>
      <c r="D761" t="s">
        <v>319</v>
      </c>
      <c r="E761" t="s">
        <v>468</v>
      </c>
      <c r="F761" t="s">
        <v>19</v>
      </c>
      <c r="G761" t="s">
        <v>469</v>
      </c>
      <c r="H761" t="s">
        <v>21</v>
      </c>
      <c r="I761" t="s">
        <v>232</v>
      </c>
      <c r="J761">
        <v>7902</v>
      </c>
      <c r="K761" t="s">
        <v>673</v>
      </c>
    </row>
    <row r="762" spans="1:11" x14ac:dyDescent="0.35">
      <c r="A762" t="s">
        <v>317</v>
      </c>
      <c r="B762" t="s">
        <v>15</v>
      </c>
      <c r="C762" t="s">
        <v>875</v>
      </c>
      <c r="D762" t="s">
        <v>319</v>
      </c>
      <c r="E762" t="s">
        <v>876</v>
      </c>
      <c r="F762" t="s">
        <v>19</v>
      </c>
      <c r="G762" t="s">
        <v>877</v>
      </c>
      <c r="H762" t="s">
        <v>21</v>
      </c>
      <c r="I762" t="s">
        <v>232</v>
      </c>
      <c r="J762">
        <v>7498</v>
      </c>
      <c r="K762" t="s">
        <v>673</v>
      </c>
    </row>
    <row r="763" spans="1:11" x14ac:dyDescent="0.35">
      <c r="A763" t="s">
        <v>317</v>
      </c>
      <c r="B763" t="s">
        <v>15</v>
      </c>
      <c r="C763" t="s">
        <v>884</v>
      </c>
      <c r="D763" t="s">
        <v>319</v>
      </c>
      <c r="E763" t="s">
        <v>885</v>
      </c>
      <c r="F763" t="s">
        <v>19</v>
      </c>
      <c r="G763" t="s">
        <v>886</v>
      </c>
      <c r="H763" t="s">
        <v>21</v>
      </c>
      <c r="I763" t="s">
        <v>232</v>
      </c>
      <c r="J763">
        <v>8062</v>
      </c>
      <c r="K763" t="s">
        <v>673</v>
      </c>
    </row>
    <row r="764" spans="1:11" x14ac:dyDescent="0.35">
      <c r="A764" t="s">
        <v>317</v>
      </c>
      <c r="B764" t="s">
        <v>15</v>
      </c>
      <c r="C764" t="s">
        <v>1013</v>
      </c>
      <c r="D764" t="s">
        <v>319</v>
      </c>
      <c r="E764" t="s">
        <v>772</v>
      </c>
      <c r="F764" t="s">
        <v>19</v>
      </c>
      <c r="G764" t="s">
        <v>844</v>
      </c>
      <c r="H764" t="s">
        <v>21</v>
      </c>
      <c r="I764" t="s">
        <v>232</v>
      </c>
      <c r="J764">
        <v>5604</v>
      </c>
      <c r="K764" t="s">
        <v>673</v>
      </c>
    </row>
    <row r="765" spans="1:11" x14ac:dyDescent="0.35">
      <c r="A765" t="s">
        <v>317</v>
      </c>
      <c r="B765" t="s">
        <v>15</v>
      </c>
      <c r="C765" t="s">
        <v>1182</v>
      </c>
      <c r="D765" t="s">
        <v>319</v>
      </c>
      <c r="E765" t="s">
        <v>840</v>
      </c>
      <c r="F765" t="s">
        <v>19</v>
      </c>
      <c r="G765" t="s">
        <v>841</v>
      </c>
      <c r="H765" t="s">
        <v>21</v>
      </c>
      <c r="I765" t="s">
        <v>232</v>
      </c>
      <c r="J765">
        <v>3373</v>
      </c>
      <c r="K765" t="s">
        <v>673</v>
      </c>
    </row>
    <row r="766" spans="1:11" x14ac:dyDescent="0.35">
      <c r="A766" t="s">
        <v>317</v>
      </c>
      <c r="B766" t="s">
        <v>15</v>
      </c>
      <c r="C766" t="s">
        <v>1481</v>
      </c>
      <c r="D766" t="s">
        <v>319</v>
      </c>
      <c r="E766" t="s">
        <v>885</v>
      </c>
      <c r="F766" t="s">
        <v>19</v>
      </c>
      <c r="G766" t="s">
        <v>988</v>
      </c>
      <c r="H766" t="s">
        <v>21</v>
      </c>
      <c r="I766" t="s">
        <v>232</v>
      </c>
      <c r="J766">
        <v>8062</v>
      </c>
      <c r="K766" t="s">
        <v>673</v>
      </c>
    </row>
    <row r="767" spans="1:11" x14ac:dyDescent="0.35">
      <c r="A767" t="s">
        <v>317</v>
      </c>
      <c r="B767" t="s">
        <v>15</v>
      </c>
      <c r="C767" t="s">
        <v>1483</v>
      </c>
      <c r="D767" t="s">
        <v>319</v>
      </c>
      <c r="E767" t="s">
        <v>840</v>
      </c>
      <c r="F767" t="s">
        <v>19</v>
      </c>
      <c r="G767" t="s">
        <v>1305</v>
      </c>
      <c r="H767" t="s">
        <v>21</v>
      </c>
      <c r="I767" t="s">
        <v>232</v>
      </c>
      <c r="J767">
        <v>3373</v>
      </c>
      <c r="K767" t="s">
        <v>673</v>
      </c>
    </row>
    <row r="768" spans="1:11" x14ac:dyDescent="0.35">
      <c r="A768" t="s">
        <v>317</v>
      </c>
      <c r="B768" t="s">
        <v>15</v>
      </c>
      <c r="C768" t="s">
        <v>1537</v>
      </c>
      <c r="D768" t="s">
        <v>319</v>
      </c>
      <c r="E768" t="s">
        <v>1422</v>
      </c>
      <c r="F768" t="s">
        <v>19</v>
      </c>
      <c r="G768" t="s">
        <v>1423</v>
      </c>
      <c r="H768" t="s">
        <v>21</v>
      </c>
      <c r="I768" t="s">
        <v>232</v>
      </c>
      <c r="J768">
        <v>7101</v>
      </c>
      <c r="K768" t="s">
        <v>673</v>
      </c>
    </row>
    <row r="769" spans="1:11" x14ac:dyDescent="0.35">
      <c r="A769" t="s">
        <v>317</v>
      </c>
      <c r="B769" t="s">
        <v>15</v>
      </c>
      <c r="C769" t="s">
        <v>1869</v>
      </c>
      <c r="D769" t="s">
        <v>319</v>
      </c>
      <c r="E769" t="s">
        <v>840</v>
      </c>
      <c r="F769" t="s">
        <v>19</v>
      </c>
      <c r="G769" t="s">
        <v>1305</v>
      </c>
      <c r="H769" t="s">
        <v>21</v>
      </c>
      <c r="I769" t="s">
        <v>232</v>
      </c>
      <c r="J769">
        <v>3373</v>
      </c>
      <c r="K769" t="s">
        <v>673</v>
      </c>
    </row>
    <row r="770" spans="1:11" x14ac:dyDescent="0.35">
      <c r="A770" t="s">
        <v>14</v>
      </c>
      <c r="B770" t="s">
        <v>32</v>
      </c>
      <c r="C770" t="s">
        <v>461</v>
      </c>
      <c r="D770" t="s">
        <v>17</v>
      </c>
      <c r="E770" t="s">
        <v>460</v>
      </c>
      <c r="F770" t="s">
        <v>19</v>
      </c>
      <c r="G770" t="s">
        <v>35</v>
      </c>
      <c r="H770" t="s">
        <v>21</v>
      </c>
      <c r="I770" t="s">
        <v>87</v>
      </c>
      <c r="J770">
        <v>164</v>
      </c>
      <c r="K770" t="s">
        <v>23</v>
      </c>
    </row>
    <row r="771" spans="1:11" x14ac:dyDescent="0.35">
      <c r="A771" t="s">
        <v>14</v>
      </c>
      <c r="B771" t="s">
        <v>32</v>
      </c>
      <c r="C771" t="s">
        <v>612</v>
      </c>
      <c r="D771" t="s">
        <v>17</v>
      </c>
      <c r="E771" t="s">
        <v>460</v>
      </c>
      <c r="F771" t="s">
        <v>19</v>
      </c>
      <c r="G771" t="s">
        <v>35</v>
      </c>
      <c r="H771" t="s">
        <v>21</v>
      </c>
      <c r="I771" t="s">
        <v>87</v>
      </c>
      <c r="J771">
        <v>164</v>
      </c>
      <c r="K771" t="s">
        <v>23</v>
      </c>
    </row>
    <row r="772" spans="1:11" x14ac:dyDescent="0.35">
      <c r="A772" t="s">
        <v>14</v>
      </c>
      <c r="B772" t="s">
        <v>32</v>
      </c>
      <c r="C772" t="s">
        <v>815</v>
      </c>
      <c r="D772" t="s">
        <v>17</v>
      </c>
      <c r="E772" t="s">
        <v>460</v>
      </c>
      <c r="F772" t="s">
        <v>19</v>
      </c>
      <c r="G772" t="s">
        <v>35</v>
      </c>
      <c r="H772" t="s">
        <v>21</v>
      </c>
      <c r="I772" t="s">
        <v>87</v>
      </c>
      <c r="J772">
        <v>164</v>
      </c>
      <c r="K772" t="s">
        <v>23</v>
      </c>
    </row>
    <row r="773" spans="1:11" x14ac:dyDescent="0.35">
      <c r="A773" t="s">
        <v>14</v>
      </c>
      <c r="B773" t="s">
        <v>32</v>
      </c>
      <c r="C773" t="s">
        <v>1561</v>
      </c>
      <c r="D773" t="s">
        <v>17</v>
      </c>
      <c r="E773" t="s">
        <v>460</v>
      </c>
      <c r="F773" t="s">
        <v>19</v>
      </c>
      <c r="G773" t="s">
        <v>35</v>
      </c>
      <c r="H773" t="s">
        <v>21</v>
      </c>
      <c r="I773" t="s">
        <v>87</v>
      </c>
      <c r="J773">
        <v>164</v>
      </c>
      <c r="K773" t="s">
        <v>23</v>
      </c>
    </row>
    <row r="774" spans="1:11" x14ac:dyDescent="0.35">
      <c r="A774" t="s">
        <v>317</v>
      </c>
      <c r="B774" t="s">
        <v>32</v>
      </c>
      <c r="C774" t="s">
        <v>1610</v>
      </c>
      <c r="D774" t="s">
        <v>319</v>
      </c>
      <c r="E774" t="s">
        <v>460</v>
      </c>
      <c r="F774" t="s">
        <v>19</v>
      </c>
      <c r="G774" t="s">
        <v>35</v>
      </c>
      <c r="H774" t="s">
        <v>21</v>
      </c>
      <c r="I774" t="s">
        <v>87</v>
      </c>
      <c r="J774">
        <v>164</v>
      </c>
      <c r="K774" t="s">
        <v>673</v>
      </c>
    </row>
    <row r="775" spans="1:11" x14ac:dyDescent="0.35">
      <c r="A775" t="s">
        <v>317</v>
      </c>
      <c r="B775" t="s">
        <v>32</v>
      </c>
      <c r="C775" t="s">
        <v>1860</v>
      </c>
      <c r="D775" t="s">
        <v>319</v>
      </c>
      <c r="E775" t="s">
        <v>460</v>
      </c>
      <c r="F775" t="s">
        <v>19</v>
      </c>
      <c r="G775" t="s">
        <v>35</v>
      </c>
      <c r="H775" t="s">
        <v>21</v>
      </c>
      <c r="I775" t="s">
        <v>87</v>
      </c>
      <c r="J775">
        <v>164</v>
      </c>
      <c r="K775" t="s">
        <v>673</v>
      </c>
    </row>
    <row r="776" spans="1:11" x14ac:dyDescent="0.35">
      <c r="A776" t="s">
        <v>317</v>
      </c>
      <c r="B776" t="s">
        <v>32</v>
      </c>
      <c r="C776" t="s">
        <v>1916</v>
      </c>
      <c r="D776" t="s">
        <v>319</v>
      </c>
      <c r="E776" t="s">
        <v>460</v>
      </c>
      <c r="F776" t="s">
        <v>19</v>
      </c>
      <c r="G776" t="s">
        <v>35</v>
      </c>
      <c r="H776" t="s">
        <v>21</v>
      </c>
      <c r="I776" t="s">
        <v>87</v>
      </c>
      <c r="J776">
        <v>164</v>
      </c>
      <c r="K776" t="s">
        <v>673</v>
      </c>
    </row>
    <row r="777" spans="1:11" x14ac:dyDescent="0.35">
      <c r="A777" t="s">
        <v>317</v>
      </c>
      <c r="B777" t="s">
        <v>32</v>
      </c>
      <c r="C777" t="s">
        <v>1919</v>
      </c>
      <c r="D777" t="s">
        <v>319</v>
      </c>
      <c r="E777" t="s">
        <v>460</v>
      </c>
      <c r="F777" t="s">
        <v>19</v>
      </c>
      <c r="G777" t="s">
        <v>35</v>
      </c>
      <c r="H777" t="s">
        <v>21</v>
      </c>
      <c r="I777" t="s">
        <v>87</v>
      </c>
      <c r="J777">
        <v>164</v>
      </c>
      <c r="K777" t="s">
        <v>673</v>
      </c>
    </row>
    <row r="778" spans="1:11" x14ac:dyDescent="0.35">
      <c r="A778" t="s">
        <v>74</v>
      </c>
      <c r="B778" t="s">
        <v>32</v>
      </c>
      <c r="C778" t="s">
        <v>459</v>
      </c>
      <c r="D778" t="s">
        <v>76</v>
      </c>
      <c r="E778" t="s">
        <v>460</v>
      </c>
      <c r="F778" t="s">
        <v>19</v>
      </c>
      <c r="G778" t="s">
        <v>35</v>
      </c>
      <c r="H778" t="s">
        <v>21</v>
      </c>
      <c r="I778" t="s">
        <v>87</v>
      </c>
      <c r="J778">
        <v>164</v>
      </c>
      <c r="K778" t="s">
        <v>23</v>
      </c>
    </row>
    <row r="779" spans="1:11" x14ac:dyDescent="0.35">
      <c r="A779" t="s">
        <v>14</v>
      </c>
      <c r="B779" t="s">
        <v>53</v>
      </c>
      <c r="C779" t="s">
        <v>549</v>
      </c>
      <c r="D779" t="s">
        <v>17</v>
      </c>
      <c r="E779" t="s">
        <v>550</v>
      </c>
      <c r="F779" t="s">
        <v>19</v>
      </c>
      <c r="G779" t="s">
        <v>56</v>
      </c>
      <c r="H779" t="s">
        <v>21</v>
      </c>
      <c r="I779" t="s">
        <v>87</v>
      </c>
      <c r="J779">
        <v>1100</v>
      </c>
      <c r="K779" t="s">
        <v>23</v>
      </c>
    </row>
    <row r="780" spans="1:11" x14ac:dyDescent="0.35">
      <c r="A780" t="s">
        <v>14</v>
      </c>
      <c r="B780" t="s">
        <v>53</v>
      </c>
      <c r="C780" t="s">
        <v>890</v>
      </c>
      <c r="D780" t="s">
        <v>17</v>
      </c>
      <c r="E780" t="s">
        <v>891</v>
      </c>
      <c r="F780" t="s">
        <v>19</v>
      </c>
      <c r="G780" t="s">
        <v>56</v>
      </c>
      <c r="H780" t="s">
        <v>21</v>
      </c>
      <c r="I780" t="s">
        <v>87</v>
      </c>
      <c r="J780">
        <v>670</v>
      </c>
      <c r="K780" t="s">
        <v>23</v>
      </c>
    </row>
    <row r="781" spans="1:11" x14ac:dyDescent="0.35">
      <c r="A781" t="s">
        <v>14</v>
      </c>
      <c r="B781" t="s">
        <v>53</v>
      </c>
      <c r="C781" t="s">
        <v>938</v>
      </c>
      <c r="D781" t="s">
        <v>17</v>
      </c>
      <c r="E781" t="s">
        <v>891</v>
      </c>
      <c r="F781" t="s">
        <v>19</v>
      </c>
      <c r="G781" t="s">
        <v>56</v>
      </c>
      <c r="H781" t="s">
        <v>21</v>
      </c>
      <c r="I781" t="s">
        <v>87</v>
      </c>
      <c r="J781">
        <v>670</v>
      </c>
      <c r="K781" t="s">
        <v>23</v>
      </c>
    </row>
    <row r="782" spans="1:11" x14ac:dyDescent="0.35">
      <c r="A782" t="s">
        <v>14</v>
      </c>
      <c r="B782" t="s">
        <v>53</v>
      </c>
      <c r="C782" t="s">
        <v>1057</v>
      </c>
      <c r="D782" t="s">
        <v>17</v>
      </c>
      <c r="E782" t="s">
        <v>550</v>
      </c>
      <c r="F782" t="s">
        <v>19</v>
      </c>
      <c r="G782" t="s">
        <v>56</v>
      </c>
      <c r="H782" t="s">
        <v>21</v>
      </c>
      <c r="I782" t="s">
        <v>87</v>
      </c>
      <c r="J782">
        <v>1100</v>
      </c>
      <c r="K782" t="s">
        <v>23</v>
      </c>
    </row>
    <row r="783" spans="1:11" x14ac:dyDescent="0.35">
      <c r="A783" t="s">
        <v>317</v>
      </c>
      <c r="B783" t="s">
        <v>53</v>
      </c>
      <c r="C783" t="s">
        <v>1562</v>
      </c>
      <c r="D783" t="s">
        <v>319</v>
      </c>
      <c r="E783" t="s">
        <v>891</v>
      </c>
      <c r="F783" t="s">
        <v>19</v>
      </c>
      <c r="G783" t="s">
        <v>56</v>
      </c>
      <c r="H783" t="s">
        <v>21</v>
      </c>
      <c r="I783" t="s">
        <v>87</v>
      </c>
      <c r="J783">
        <v>670</v>
      </c>
      <c r="K783" t="s">
        <v>673</v>
      </c>
    </row>
    <row r="784" spans="1:11" x14ac:dyDescent="0.35">
      <c r="A784" t="s">
        <v>317</v>
      </c>
      <c r="B784" t="s">
        <v>53</v>
      </c>
      <c r="C784" t="s">
        <v>1605</v>
      </c>
      <c r="D784" t="s">
        <v>319</v>
      </c>
      <c r="E784" t="s">
        <v>550</v>
      </c>
      <c r="F784" t="s">
        <v>19</v>
      </c>
      <c r="G784" t="s">
        <v>56</v>
      </c>
      <c r="H784" t="s">
        <v>21</v>
      </c>
      <c r="I784" t="s">
        <v>87</v>
      </c>
      <c r="J784">
        <v>1100</v>
      </c>
      <c r="K784" t="s">
        <v>673</v>
      </c>
    </row>
    <row r="785" spans="1:11" x14ac:dyDescent="0.35">
      <c r="A785" t="s">
        <v>14</v>
      </c>
      <c r="B785" t="s">
        <v>15</v>
      </c>
      <c r="C785" t="s">
        <v>84</v>
      </c>
      <c r="D785" t="s">
        <v>17</v>
      </c>
      <c r="E785" t="s">
        <v>85</v>
      </c>
      <c r="F785" t="s">
        <v>19</v>
      </c>
      <c r="G785" t="s">
        <v>86</v>
      </c>
      <c r="H785" t="s">
        <v>21</v>
      </c>
      <c r="I785" t="s">
        <v>87</v>
      </c>
      <c r="J785">
        <v>7186</v>
      </c>
      <c r="K785" t="s">
        <v>23</v>
      </c>
    </row>
    <row r="786" spans="1:11" x14ac:dyDescent="0.35">
      <c r="A786" t="s">
        <v>14</v>
      </c>
      <c r="B786" t="s">
        <v>15</v>
      </c>
      <c r="C786" t="s">
        <v>89</v>
      </c>
      <c r="D786" t="s">
        <v>17</v>
      </c>
      <c r="E786" t="s">
        <v>90</v>
      </c>
      <c r="F786" t="s">
        <v>19</v>
      </c>
      <c r="G786" t="s">
        <v>91</v>
      </c>
      <c r="H786" t="s">
        <v>21</v>
      </c>
      <c r="I786" t="s">
        <v>87</v>
      </c>
      <c r="J786">
        <v>5787</v>
      </c>
      <c r="K786" t="s">
        <v>23</v>
      </c>
    </row>
    <row r="787" spans="1:11" x14ac:dyDescent="0.35">
      <c r="A787" t="s">
        <v>14</v>
      </c>
      <c r="B787" t="s">
        <v>15</v>
      </c>
      <c r="C787" t="s">
        <v>261</v>
      </c>
      <c r="D787" t="s">
        <v>17</v>
      </c>
      <c r="E787" t="s">
        <v>262</v>
      </c>
      <c r="F787" t="s">
        <v>19</v>
      </c>
      <c r="G787" t="s">
        <v>263</v>
      </c>
      <c r="H787" t="s">
        <v>21</v>
      </c>
      <c r="I787" t="s">
        <v>87</v>
      </c>
      <c r="J787">
        <v>3558</v>
      </c>
      <c r="K787" t="s">
        <v>23</v>
      </c>
    </row>
    <row r="788" spans="1:11" x14ac:dyDescent="0.35">
      <c r="A788" t="s">
        <v>14</v>
      </c>
      <c r="B788" t="s">
        <v>15</v>
      </c>
      <c r="C788" t="s">
        <v>366</v>
      </c>
      <c r="D788" t="s">
        <v>17</v>
      </c>
      <c r="E788" t="s">
        <v>367</v>
      </c>
      <c r="F788" t="s">
        <v>19</v>
      </c>
      <c r="G788" t="s">
        <v>368</v>
      </c>
      <c r="H788" t="s">
        <v>21</v>
      </c>
      <c r="I788" t="s">
        <v>87</v>
      </c>
      <c r="J788">
        <v>5784</v>
      </c>
      <c r="K788" t="s">
        <v>23</v>
      </c>
    </row>
    <row r="789" spans="1:11" x14ac:dyDescent="0.35">
      <c r="A789" t="s">
        <v>14</v>
      </c>
      <c r="B789" t="s">
        <v>15</v>
      </c>
      <c r="C789" t="s">
        <v>586</v>
      </c>
      <c r="D789" t="s">
        <v>17</v>
      </c>
      <c r="E789" t="s">
        <v>90</v>
      </c>
      <c r="F789" t="s">
        <v>19</v>
      </c>
      <c r="G789" t="s">
        <v>91</v>
      </c>
      <c r="H789" t="s">
        <v>21</v>
      </c>
      <c r="I789" t="s">
        <v>87</v>
      </c>
      <c r="J789">
        <v>5787</v>
      </c>
      <c r="K789" t="s">
        <v>23</v>
      </c>
    </row>
    <row r="790" spans="1:11" x14ac:dyDescent="0.35">
      <c r="A790" t="s">
        <v>14</v>
      </c>
      <c r="B790" t="s">
        <v>15</v>
      </c>
      <c r="C790" t="s">
        <v>588</v>
      </c>
      <c r="D790" t="s">
        <v>17</v>
      </c>
      <c r="E790" t="s">
        <v>85</v>
      </c>
      <c r="F790" t="s">
        <v>19</v>
      </c>
      <c r="G790" t="s">
        <v>86</v>
      </c>
      <c r="H790" t="s">
        <v>21</v>
      </c>
      <c r="I790" t="s">
        <v>87</v>
      </c>
      <c r="J790">
        <v>7186</v>
      </c>
      <c r="K790" t="s">
        <v>23</v>
      </c>
    </row>
    <row r="791" spans="1:11" x14ac:dyDescent="0.35">
      <c r="A791" t="s">
        <v>14</v>
      </c>
      <c r="B791" t="s">
        <v>15</v>
      </c>
      <c r="C791" t="s">
        <v>705</v>
      </c>
      <c r="D791" t="s">
        <v>17</v>
      </c>
      <c r="E791" t="s">
        <v>706</v>
      </c>
      <c r="F791" t="s">
        <v>19</v>
      </c>
      <c r="G791" t="s">
        <v>707</v>
      </c>
      <c r="H791" t="s">
        <v>21</v>
      </c>
      <c r="I791" t="s">
        <v>87</v>
      </c>
      <c r="J791">
        <v>5782</v>
      </c>
      <c r="K791" t="s">
        <v>23</v>
      </c>
    </row>
    <row r="792" spans="1:11" x14ac:dyDescent="0.35">
      <c r="A792" t="s">
        <v>14</v>
      </c>
      <c r="B792" t="s">
        <v>15</v>
      </c>
      <c r="C792" t="s">
        <v>709</v>
      </c>
      <c r="D792" t="s">
        <v>17</v>
      </c>
      <c r="E792" t="s">
        <v>710</v>
      </c>
      <c r="F792" t="s">
        <v>19</v>
      </c>
      <c r="G792" t="s">
        <v>711</v>
      </c>
      <c r="H792" t="s">
        <v>21</v>
      </c>
      <c r="I792" t="s">
        <v>87</v>
      </c>
      <c r="J792">
        <v>5786</v>
      </c>
      <c r="K792" t="s">
        <v>23</v>
      </c>
    </row>
    <row r="793" spans="1:11" x14ac:dyDescent="0.35">
      <c r="A793" t="s">
        <v>14</v>
      </c>
      <c r="B793" t="s">
        <v>15</v>
      </c>
      <c r="C793" t="s">
        <v>729</v>
      </c>
      <c r="D793" t="s">
        <v>17</v>
      </c>
      <c r="E793" t="s">
        <v>730</v>
      </c>
      <c r="F793" t="s">
        <v>19</v>
      </c>
      <c r="G793" t="s">
        <v>731</v>
      </c>
      <c r="H793" t="s">
        <v>21</v>
      </c>
      <c r="I793" t="s">
        <v>87</v>
      </c>
      <c r="J793">
        <v>7196</v>
      </c>
      <c r="K793" t="s">
        <v>23</v>
      </c>
    </row>
    <row r="794" spans="1:11" x14ac:dyDescent="0.35">
      <c r="A794" t="s">
        <v>14</v>
      </c>
      <c r="B794" t="s">
        <v>15</v>
      </c>
      <c r="C794" t="s">
        <v>779</v>
      </c>
      <c r="D794" t="s">
        <v>17</v>
      </c>
      <c r="E794" t="s">
        <v>780</v>
      </c>
      <c r="F794" t="s">
        <v>19</v>
      </c>
      <c r="G794" t="s">
        <v>781</v>
      </c>
      <c r="H794" t="s">
        <v>21</v>
      </c>
      <c r="I794" t="s">
        <v>87</v>
      </c>
      <c r="J794">
        <v>7454</v>
      </c>
      <c r="K794" t="s">
        <v>23</v>
      </c>
    </row>
    <row r="795" spans="1:11" x14ac:dyDescent="0.35">
      <c r="A795" t="s">
        <v>14</v>
      </c>
      <c r="B795" t="s">
        <v>15</v>
      </c>
      <c r="C795" t="s">
        <v>934</v>
      </c>
      <c r="D795" t="s">
        <v>17</v>
      </c>
      <c r="E795" t="s">
        <v>935</v>
      </c>
      <c r="F795" t="s">
        <v>19</v>
      </c>
      <c r="G795" t="s">
        <v>936</v>
      </c>
      <c r="H795" t="s">
        <v>21</v>
      </c>
      <c r="I795" t="s">
        <v>87</v>
      </c>
      <c r="J795">
        <v>5783</v>
      </c>
      <c r="K795" t="s">
        <v>23</v>
      </c>
    </row>
    <row r="796" spans="1:11" x14ac:dyDescent="0.35">
      <c r="A796" t="s">
        <v>14</v>
      </c>
      <c r="B796" t="s">
        <v>15</v>
      </c>
      <c r="C796" t="s">
        <v>1325</v>
      </c>
      <c r="D796" t="s">
        <v>17</v>
      </c>
      <c r="E796" t="s">
        <v>1326</v>
      </c>
      <c r="F796" t="s">
        <v>19</v>
      </c>
      <c r="G796" t="s">
        <v>1327</v>
      </c>
      <c r="H796" t="s">
        <v>21</v>
      </c>
      <c r="I796" t="s">
        <v>87</v>
      </c>
      <c r="J796">
        <v>5785</v>
      </c>
      <c r="K796" t="s">
        <v>23</v>
      </c>
    </row>
    <row r="797" spans="1:11" x14ac:dyDescent="0.35">
      <c r="A797" t="s">
        <v>14</v>
      </c>
      <c r="B797" t="s">
        <v>15</v>
      </c>
      <c r="C797" t="s">
        <v>1376</v>
      </c>
      <c r="D797" t="s">
        <v>17</v>
      </c>
      <c r="E797" t="s">
        <v>935</v>
      </c>
      <c r="F797" t="s">
        <v>19</v>
      </c>
      <c r="G797" t="s">
        <v>936</v>
      </c>
      <c r="H797" t="s">
        <v>21</v>
      </c>
      <c r="I797" t="s">
        <v>87</v>
      </c>
      <c r="J797">
        <v>5783</v>
      </c>
      <c r="K797" t="s">
        <v>23</v>
      </c>
    </row>
    <row r="798" spans="1:11" x14ac:dyDescent="0.35">
      <c r="A798" t="s">
        <v>14</v>
      </c>
      <c r="B798" t="s">
        <v>15</v>
      </c>
      <c r="C798" t="s">
        <v>1560</v>
      </c>
      <c r="D798" t="s">
        <v>17</v>
      </c>
      <c r="E798" t="s">
        <v>262</v>
      </c>
      <c r="F798" t="s">
        <v>19</v>
      </c>
      <c r="G798" t="s">
        <v>263</v>
      </c>
      <c r="H798" t="s">
        <v>21</v>
      </c>
      <c r="I798" t="s">
        <v>87</v>
      </c>
      <c r="J798">
        <v>3558</v>
      </c>
      <c r="K798" t="s">
        <v>23</v>
      </c>
    </row>
    <row r="799" spans="1:11" x14ac:dyDescent="0.35">
      <c r="A799" t="s">
        <v>14</v>
      </c>
      <c r="B799" t="s">
        <v>15</v>
      </c>
      <c r="C799" t="s">
        <v>1749</v>
      </c>
      <c r="D799" t="s">
        <v>17</v>
      </c>
      <c r="E799" t="s">
        <v>780</v>
      </c>
      <c r="F799" t="s">
        <v>19</v>
      </c>
      <c r="G799" t="s">
        <v>781</v>
      </c>
      <c r="H799" t="s">
        <v>21</v>
      </c>
      <c r="I799" t="s">
        <v>87</v>
      </c>
      <c r="J799">
        <v>7454</v>
      </c>
      <c r="K799" t="s">
        <v>23</v>
      </c>
    </row>
    <row r="800" spans="1:11" x14ac:dyDescent="0.35">
      <c r="A800" t="s">
        <v>14</v>
      </c>
      <c r="B800" t="s">
        <v>15</v>
      </c>
      <c r="C800" t="s">
        <v>1794</v>
      </c>
      <c r="D800" t="s">
        <v>17</v>
      </c>
      <c r="E800" t="s">
        <v>1060</v>
      </c>
      <c r="F800" t="s">
        <v>19</v>
      </c>
      <c r="G800" t="s">
        <v>1061</v>
      </c>
      <c r="H800" t="s">
        <v>21</v>
      </c>
      <c r="I800" t="s">
        <v>87</v>
      </c>
      <c r="J800">
        <v>7671</v>
      </c>
      <c r="K800" t="s">
        <v>23</v>
      </c>
    </row>
    <row r="801" spans="1:11" x14ac:dyDescent="0.35">
      <c r="A801" t="s">
        <v>14</v>
      </c>
      <c r="B801" t="s">
        <v>15</v>
      </c>
      <c r="C801" t="s">
        <v>1795</v>
      </c>
      <c r="D801" t="s">
        <v>17</v>
      </c>
      <c r="E801" t="s">
        <v>1326</v>
      </c>
      <c r="F801" t="s">
        <v>19</v>
      </c>
      <c r="G801" t="s">
        <v>1327</v>
      </c>
      <c r="H801" t="s">
        <v>21</v>
      </c>
      <c r="I801" t="s">
        <v>87</v>
      </c>
      <c r="J801">
        <v>5785</v>
      </c>
      <c r="K801" t="s">
        <v>23</v>
      </c>
    </row>
    <row r="802" spans="1:11" x14ac:dyDescent="0.35">
      <c r="A802" t="s">
        <v>14</v>
      </c>
      <c r="B802" t="s">
        <v>15</v>
      </c>
      <c r="C802" t="s">
        <v>1804</v>
      </c>
      <c r="D802" t="s">
        <v>17</v>
      </c>
      <c r="E802" t="s">
        <v>706</v>
      </c>
      <c r="F802" t="s">
        <v>19</v>
      </c>
      <c r="G802" t="s">
        <v>707</v>
      </c>
      <c r="H802" t="s">
        <v>21</v>
      </c>
      <c r="I802" t="s">
        <v>87</v>
      </c>
      <c r="J802">
        <v>5782</v>
      </c>
      <c r="K802" t="s">
        <v>23</v>
      </c>
    </row>
    <row r="803" spans="1:11" x14ac:dyDescent="0.35">
      <c r="A803" t="s">
        <v>14</v>
      </c>
      <c r="B803" t="s">
        <v>15</v>
      </c>
      <c r="C803" t="s">
        <v>1805</v>
      </c>
      <c r="D803" t="s">
        <v>17</v>
      </c>
      <c r="E803" t="s">
        <v>367</v>
      </c>
      <c r="F803" t="s">
        <v>19</v>
      </c>
      <c r="G803" t="s">
        <v>368</v>
      </c>
      <c r="H803" t="s">
        <v>21</v>
      </c>
      <c r="I803" t="s">
        <v>87</v>
      </c>
      <c r="J803">
        <v>5784</v>
      </c>
      <c r="K803" t="s">
        <v>23</v>
      </c>
    </row>
    <row r="804" spans="1:11" x14ac:dyDescent="0.35">
      <c r="A804" t="s">
        <v>14</v>
      </c>
      <c r="B804" t="s">
        <v>15</v>
      </c>
      <c r="C804" t="s">
        <v>1856</v>
      </c>
      <c r="D804" t="s">
        <v>17</v>
      </c>
      <c r="E804" t="s">
        <v>1711</v>
      </c>
      <c r="F804" t="s">
        <v>19</v>
      </c>
      <c r="G804" t="s">
        <v>1712</v>
      </c>
      <c r="H804" t="s">
        <v>21</v>
      </c>
      <c r="I804" t="s">
        <v>87</v>
      </c>
      <c r="J804">
        <v>7219</v>
      </c>
      <c r="K804" t="s">
        <v>23</v>
      </c>
    </row>
    <row r="805" spans="1:11" x14ac:dyDescent="0.35">
      <c r="A805" t="s">
        <v>317</v>
      </c>
      <c r="B805" t="s">
        <v>15</v>
      </c>
      <c r="C805" t="s">
        <v>932</v>
      </c>
      <c r="D805" t="s">
        <v>319</v>
      </c>
      <c r="E805" t="s">
        <v>85</v>
      </c>
      <c r="F805" t="s">
        <v>19</v>
      </c>
      <c r="G805" t="s">
        <v>86</v>
      </c>
      <c r="H805" t="s">
        <v>21</v>
      </c>
      <c r="I805" t="s">
        <v>87</v>
      </c>
      <c r="J805">
        <v>7186</v>
      </c>
      <c r="K805" t="s">
        <v>673</v>
      </c>
    </row>
    <row r="806" spans="1:11" x14ac:dyDescent="0.35">
      <c r="A806" t="s">
        <v>317</v>
      </c>
      <c r="B806" t="s">
        <v>15</v>
      </c>
      <c r="C806" t="s">
        <v>1059</v>
      </c>
      <c r="D806" t="s">
        <v>319</v>
      </c>
      <c r="E806" t="s">
        <v>1060</v>
      </c>
      <c r="F806" t="s">
        <v>19</v>
      </c>
      <c r="G806" t="s">
        <v>1061</v>
      </c>
      <c r="H806" t="s">
        <v>21</v>
      </c>
      <c r="I806" t="s">
        <v>87</v>
      </c>
      <c r="J806">
        <v>7671</v>
      </c>
      <c r="K806" t="s">
        <v>673</v>
      </c>
    </row>
    <row r="807" spans="1:11" x14ac:dyDescent="0.35">
      <c r="A807" t="s">
        <v>317</v>
      </c>
      <c r="B807" t="s">
        <v>15</v>
      </c>
      <c r="C807" t="s">
        <v>1329</v>
      </c>
      <c r="D807" t="s">
        <v>319</v>
      </c>
      <c r="E807" t="s">
        <v>730</v>
      </c>
      <c r="F807" t="s">
        <v>19</v>
      </c>
      <c r="G807" t="s">
        <v>731</v>
      </c>
      <c r="H807" t="s">
        <v>21</v>
      </c>
      <c r="I807" t="s">
        <v>87</v>
      </c>
      <c r="J807">
        <v>7196</v>
      </c>
      <c r="K807" t="s">
        <v>673</v>
      </c>
    </row>
    <row r="808" spans="1:11" x14ac:dyDescent="0.35">
      <c r="A808" t="s">
        <v>317</v>
      </c>
      <c r="B808" t="s">
        <v>15</v>
      </c>
      <c r="C808" t="s">
        <v>1563</v>
      </c>
      <c r="D808" t="s">
        <v>319</v>
      </c>
      <c r="E808" t="s">
        <v>935</v>
      </c>
      <c r="F808" t="s">
        <v>19</v>
      </c>
      <c r="G808" t="s">
        <v>936</v>
      </c>
      <c r="H808" t="s">
        <v>21</v>
      </c>
      <c r="I808" t="s">
        <v>87</v>
      </c>
      <c r="J808">
        <v>5783</v>
      </c>
      <c r="K808" t="s">
        <v>673</v>
      </c>
    </row>
    <row r="809" spans="1:11" x14ac:dyDescent="0.35">
      <c r="A809" t="s">
        <v>317</v>
      </c>
      <c r="B809" t="s">
        <v>15</v>
      </c>
      <c r="C809" t="s">
        <v>1564</v>
      </c>
      <c r="D809" t="s">
        <v>319</v>
      </c>
      <c r="E809" t="s">
        <v>367</v>
      </c>
      <c r="F809" t="s">
        <v>19</v>
      </c>
      <c r="G809" t="s">
        <v>368</v>
      </c>
      <c r="H809" t="s">
        <v>21</v>
      </c>
      <c r="I809" t="s">
        <v>87</v>
      </c>
      <c r="J809">
        <v>5784</v>
      </c>
      <c r="K809" t="s">
        <v>673</v>
      </c>
    </row>
    <row r="810" spans="1:11" x14ac:dyDescent="0.35">
      <c r="A810" t="s">
        <v>317</v>
      </c>
      <c r="B810" t="s">
        <v>15</v>
      </c>
      <c r="C810" t="s">
        <v>1567</v>
      </c>
      <c r="D810" t="s">
        <v>319</v>
      </c>
      <c r="E810" t="s">
        <v>706</v>
      </c>
      <c r="F810" t="s">
        <v>19</v>
      </c>
      <c r="G810" t="s">
        <v>707</v>
      </c>
      <c r="H810" t="s">
        <v>21</v>
      </c>
      <c r="I810" t="s">
        <v>87</v>
      </c>
      <c r="J810">
        <v>5782</v>
      </c>
      <c r="K810" t="s">
        <v>673</v>
      </c>
    </row>
    <row r="811" spans="1:11" x14ac:dyDescent="0.35">
      <c r="A811" t="s">
        <v>317</v>
      </c>
      <c r="B811" t="s">
        <v>15</v>
      </c>
      <c r="C811" t="s">
        <v>1609</v>
      </c>
      <c r="D811" t="s">
        <v>319</v>
      </c>
      <c r="E811" t="s">
        <v>90</v>
      </c>
      <c r="F811" t="s">
        <v>19</v>
      </c>
      <c r="G811" t="s">
        <v>91</v>
      </c>
      <c r="H811" t="s">
        <v>21</v>
      </c>
      <c r="I811" t="s">
        <v>87</v>
      </c>
      <c r="J811">
        <v>5787</v>
      </c>
      <c r="K811" t="s">
        <v>673</v>
      </c>
    </row>
    <row r="812" spans="1:11" x14ac:dyDescent="0.35">
      <c r="A812" t="s">
        <v>317</v>
      </c>
      <c r="B812" t="s">
        <v>15</v>
      </c>
      <c r="C812" t="s">
        <v>1611</v>
      </c>
      <c r="D812" t="s">
        <v>319</v>
      </c>
      <c r="E812" t="s">
        <v>262</v>
      </c>
      <c r="F812" t="s">
        <v>19</v>
      </c>
      <c r="G812" t="s">
        <v>263</v>
      </c>
      <c r="H812" t="s">
        <v>21</v>
      </c>
      <c r="I812" t="s">
        <v>87</v>
      </c>
      <c r="J812">
        <v>3558</v>
      </c>
      <c r="K812" t="s">
        <v>673</v>
      </c>
    </row>
    <row r="813" spans="1:11" x14ac:dyDescent="0.35">
      <c r="A813" t="s">
        <v>317</v>
      </c>
      <c r="B813" t="s">
        <v>15</v>
      </c>
      <c r="C813" t="s">
        <v>1705</v>
      </c>
      <c r="D813" t="s">
        <v>319</v>
      </c>
      <c r="E813" t="s">
        <v>780</v>
      </c>
      <c r="F813" t="s">
        <v>19</v>
      </c>
      <c r="G813" t="s">
        <v>781</v>
      </c>
      <c r="H813" t="s">
        <v>21</v>
      </c>
      <c r="I813" t="s">
        <v>87</v>
      </c>
      <c r="J813">
        <v>7454</v>
      </c>
      <c r="K813" t="s">
        <v>673</v>
      </c>
    </row>
    <row r="814" spans="1:11" x14ac:dyDescent="0.35">
      <c r="A814" t="s">
        <v>317</v>
      </c>
      <c r="B814" t="s">
        <v>15</v>
      </c>
      <c r="C814" t="s">
        <v>1710</v>
      </c>
      <c r="D814" t="s">
        <v>319</v>
      </c>
      <c r="E814" t="s">
        <v>1711</v>
      </c>
      <c r="F814" t="s">
        <v>19</v>
      </c>
      <c r="G814" t="s">
        <v>1712</v>
      </c>
      <c r="H814" t="s">
        <v>21</v>
      </c>
      <c r="I814" t="s">
        <v>87</v>
      </c>
      <c r="J814">
        <v>7219</v>
      </c>
      <c r="K814" t="s">
        <v>673</v>
      </c>
    </row>
    <row r="815" spans="1:11" x14ac:dyDescent="0.35">
      <c r="A815" t="s">
        <v>317</v>
      </c>
      <c r="B815" t="s">
        <v>15</v>
      </c>
      <c r="C815" t="s">
        <v>1779</v>
      </c>
      <c r="D815" t="s">
        <v>319</v>
      </c>
      <c r="E815" t="s">
        <v>710</v>
      </c>
      <c r="F815" t="s">
        <v>19</v>
      </c>
      <c r="G815" t="s">
        <v>711</v>
      </c>
      <c r="H815" t="s">
        <v>21</v>
      </c>
      <c r="I815" t="s">
        <v>87</v>
      </c>
      <c r="J815">
        <v>5786</v>
      </c>
      <c r="K815" t="s">
        <v>673</v>
      </c>
    </row>
    <row r="816" spans="1:11" x14ac:dyDescent="0.35">
      <c r="A816" t="s">
        <v>317</v>
      </c>
      <c r="B816" t="s">
        <v>15</v>
      </c>
      <c r="C816" t="s">
        <v>1781</v>
      </c>
      <c r="D816" t="s">
        <v>319</v>
      </c>
      <c r="E816" t="s">
        <v>367</v>
      </c>
      <c r="F816" t="s">
        <v>19</v>
      </c>
      <c r="G816" t="s">
        <v>368</v>
      </c>
      <c r="H816" t="s">
        <v>21</v>
      </c>
      <c r="I816" t="s">
        <v>87</v>
      </c>
      <c r="J816">
        <v>5784</v>
      </c>
      <c r="K816" t="s">
        <v>673</v>
      </c>
    </row>
    <row r="817" spans="1:11" x14ac:dyDescent="0.35">
      <c r="A817" t="s">
        <v>317</v>
      </c>
      <c r="B817" t="s">
        <v>15</v>
      </c>
      <c r="C817" t="s">
        <v>1796</v>
      </c>
      <c r="D817" t="s">
        <v>319</v>
      </c>
      <c r="E817" t="s">
        <v>706</v>
      </c>
      <c r="F817" t="s">
        <v>19</v>
      </c>
      <c r="G817" t="s">
        <v>707</v>
      </c>
      <c r="H817" t="s">
        <v>21</v>
      </c>
      <c r="I817" t="s">
        <v>87</v>
      </c>
      <c r="J817">
        <v>5782</v>
      </c>
      <c r="K817" t="s">
        <v>673</v>
      </c>
    </row>
    <row r="818" spans="1:11" x14ac:dyDescent="0.35">
      <c r="A818" t="s">
        <v>317</v>
      </c>
      <c r="B818" t="s">
        <v>15</v>
      </c>
      <c r="C818" t="s">
        <v>1797</v>
      </c>
      <c r="D818" t="s">
        <v>319</v>
      </c>
      <c r="E818" t="s">
        <v>262</v>
      </c>
      <c r="F818" t="s">
        <v>19</v>
      </c>
      <c r="G818" t="s">
        <v>263</v>
      </c>
      <c r="H818" t="s">
        <v>21</v>
      </c>
      <c r="I818" t="s">
        <v>87</v>
      </c>
      <c r="J818">
        <v>3558</v>
      </c>
      <c r="K818" t="s">
        <v>673</v>
      </c>
    </row>
    <row r="819" spans="1:11" x14ac:dyDescent="0.35">
      <c r="A819" t="s">
        <v>317</v>
      </c>
      <c r="B819" t="s">
        <v>15</v>
      </c>
      <c r="C819" t="s">
        <v>1843</v>
      </c>
      <c r="D819" t="s">
        <v>319</v>
      </c>
      <c r="E819" t="s">
        <v>935</v>
      </c>
      <c r="F819" t="s">
        <v>19</v>
      </c>
      <c r="G819" t="s">
        <v>936</v>
      </c>
      <c r="H819" t="s">
        <v>21</v>
      </c>
      <c r="I819" t="s">
        <v>87</v>
      </c>
      <c r="J819">
        <v>5783</v>
      </c>
      <c r="K819" t="s">
        <v>673</v>
      </c>
    </row>
    <row r="820" spans="1:11" x14ac:dyDescent="0.35">
      <c r="A820" t="s">
        <v>317</v>
      </c>
      <c r="B820" t="s">
        <v>15</v>
      </c>
      <c r="C820" t="s">
        <v>1864</v>
      </c>
      <c r="D820" t="s">
        <v>319</v>
      </c>
      <c r="E820" t="s">
        <v>1326</v>
      </c>
      <c r="F820" t="s">
        <v>19</v>
      </c>
      <c r="G820" t="s">
        <v>1327</v>
      </c>
      <c r="H820" t="s">
        <v>21</v>
      </c>
      <c r="I820" t="s">
        <v>87</v>
      </c>
      <c r="J820">
        <v>5785</v>
      </c>
      <c r="K820" t="s">
        <v>673</v>
      </c>
    </row>
    <row r="821" spans="1:11" x14ac:dyDescent="0.35">
      <c r="A821" t="s">
        <v>14</v>
      </c>
      <c r="B821" t="s">
        <v>32</v>
      </c>
      <c r="C821" t="s">
        <v>1026</v>
      </c>
      <c r="D821" t="s">
        <v>17</v>
      </c>
      <c r="E821" t="s">
        <v>371</v>
      </c>
      <c r="F821" t="s">
        <v>19</v>
      </c>
      <c r="G821" t="s">
        <v>35</v>
      </c>
      <c r="H821" t="s">
        <v>21</v>
      </c>
      <c r="I821" t="s">
        <v>51</v>
      </c>
      <c r="J821">
        <v>324</v>
      </c>
      <c r="K821" t="s">
        <v>23</v>
      </c>
    </row>
    <row r="822" spans="1:11" x14ac:dyDescent="0.35">
      <c r="A822" t="s">
        <v>14</v>
      </c>
      <c r="B822" t="s">
        <v>32</v>
      </c>
      <c r="C822" t="s">
        <v>1854</v>
      </c>
      <c r="D822" t="s">
        <v>17</v>
      </c>
      <c r="E822" t="s">
        <v>371</v>
      </c>
      <c r="F822" t="s">
        <v>19</v>
      </c>
      <c r="G822" t="s">
        <v>35</v>
      </c>
      <c r="H822" t="s">
        <v>21</v>
      </c>
      <c r="I822" t="s">
        <v>51</v>
      </c>
      <c r="J822">
        <v>324</v>
      </c>
      <c r="K822" t="s">
        <v>23</v>
      </c>
    </row>
    <row r="823" spans="1:11" x14ac:dyDescent="0.35">
      <c r="A823" t="s">
        <v>317</v>
      </c>
      <c r="B823" t="s">
        <v>32</v>
      </c>
      <c r="C823" t="s">
        <v>1427</v>
      </c>
      <c r="D823" t="s">
        <v>319</v>
      </c>
      <c r="E823" t="s">
        <v>371</v>
      </c>
      <c r="F823" t="s">
        <v>19</v>
      </c>
      <c r="G823" t="s">
        <v>35</v>
      </c>
      <c r="H823" t="s">
        <v>21</v>
      </c>
      <c r="I823" t="s">
        <v>51</v>
      </c>
      <c r="J823">
        <v>324</v>
      </c>
      <c r="K823" t="s">
        <v>673</v>
      </c>
    </row>
    <row r="824" spans="1:11" x14ac:dyDescent="0.35">
      <c r="A824" t="s">
        <v>317</v>
      </c>
      <c r="B824" t="s">
        <v>32</v>
      </c>
      <c r="C824" t="s">
        <v>1495</v>
      </c>
      <c r="D824" t="s">
        <v>319</v>
      </c>
      <c r="E824" t="s">
        <v>371</v>
      </c>
      <c r="F824" t="s">
        <v>19</v>
      </c>
      <c r="G824" t="s">
        <v>35</v>
      </c>
      <c r="H824" t="s">
        <v>21</v>
      </c>
      <c r="I824" t="s">
        <v>51</v>
      </c>
      <c r="J824">
        <v>324</v>
      </c>
      <c r="K824" t="s">
        <v>673</v>
      </c>
    </row>
    <row r="825" spans="1:11" x14ac:dyDescent="0.35">
      <c r="A825" t="s">
        <v>317</v>
      </c>
      <c r="B825" t="s">
        <v>32</v>
      </c>
      <c r="C825" t="s">
        <v>1751</v>
      </c>
      <c r="D825" t="s">
        <v>319</v>
      </c>
      <c r="E825" t="s">
        <v>371</v>
      </c>
      <c r="F825" t="s">
        <v>19</v>
      </c>
      <c r="G825" t="s">
        <v>35</v>
      </c>
      <c r="H825" t="s">
        <v>21</v>
      </c>
      <c r="I825" t="s">
        <v>51</v>
      </c>
      <c r="J825">
        <v>324</v>
      </c>
      <c r="K825" t="s">
        <v>673</v>
      </c>
    </row>
    <row r="826" spans="1:11" x14ac:dyDescent="0.35">
      <c r="A826" t="s">
        <v>74</v>
      </c>
      <c r="B826" t="s">
        <v>32</v>
      </c>
      <c r="C826" t="s">
        <v>370</v>
      </c>
      <c r="D826" t="s">
        <v>76</v>
      </c>
      <c r="E826" t="s">
        <v>371</v>
      </c>
      <c r="F826" t="s">
        <v>19</v>
      </c>
      <c r="G826" t="s">
        <v>35</v>
      </c>
      <c r="H826" t="s">
        <v>21</v>
      </c>
      <c r="I826" t="s">
        <v>51</v>
      </c>
      <c r="J826">
        <v>324</v>
      </c>
      <c r="K826" t="s">
        <v>23</v>
      </c>
    </row>
    <row r="827" spans="1:11" x14ac:dyDescent="0.35">
      <c r="A827" t="s">
        <v>14</v>
      </c>
      <c r="B827" t="s">
        <v>53</v>
      </c>
      <c r="C827" t="s">
        <v>826</v>
      </c>
      <c r="D827" t="s">
        <v>17</v>
      </c>
      <c r="E827" t="s">
        <v>827</v>
      </c>
      <c r="F827" t="s">
        <v>19</v>
      </c>
      <c r="G827" t="s">
        <v>56</v>
      </c>
      <c r="H827" t="s">
        <v>21</v>
      </c>
      <c r="I827" t="s">
        <v>51</v>
      </c>
      <c r="J827">
        <v>2090</v>
      </c>
      <c r="K827" t="s">
        <v>23</v>
      </c>
    </row>
    <row r="828" spans="1:11" x14ac:dyDescent="0.35">
      <c r="A828" t="s">
        <v>14</v>
      </c>
      <c r="B828" t="s">
        <v>53</v>
      </c>
      <c r="C828" t="s">
        <v>1005</v>
      </c>
      <c r="D828" t="s">
        <v>17</v>
      </c>
      <c r="E828" t="s">
        <v>1006</v>
      </c>
      <c r="F828" t="s">
        <v>19</v>
      </c>
      <c r="G828" t="s">
        <v>56</v>
      </c>
      <c r="H828" t="s">
        <v>21</v>
      </c>
      <c r="I828" t="s">
        <v>51</v>
      </c>
      <c r="J828">
        <v>2145</v>
      </c>
      <c r="K828" t="s">
        <v>23</v>
      </c>
    </row>
    <row r="829" spans="1:11" x14ac:dyDescent="0.35">
      <c r="A829" t="s">
        <v>317</v>
      </c>
      <c r="B829" t="s">
        <v>53</v>
      </c>
      <c r="C829" t="s">
        <v>1193</v>
      </c>
      <c r="D829" t="s">
        <v>319</v>
      </c>
      <c r="E829" t="s">
        <v>1006</v>
      </c>
      <c r="F829" t="s">
        <v>19</v>
      </c>
      <c r="G829" t="s">
        <v>56</v>
      </c>
      <c r="H829" t="s">
        <v>21</v>
      </c>
      <c r="I829" t="s">
        <v>51</v>
      </c>
      <c r="J829">
        <v>2145</v>
      </c>
      <c r="K829" t="s">
        <v>673</v>
      </c>
    </row>
    <row r="830" spans="1:11" x14ac:dyDescent="0.35">
      <c r="A830" t="s">
        <v>317</v>
      </c>
      <c r="B830" t="s">
        <v>53</v>
      </c>
      <c r="C830" t="s">
        <v>1431</v>
      </c>
      <c r="D830" t="s">
        <v>319</v>
      </c>
      <c r="E830" t="s">
        <v>827</v>
      </c>
      <c r="F830" t="s">
        <v>19</v>
      </c>
      <c r="G830" t="s">
        <v>56</v>
      </c>
      <c r="H830" t="s">
        <v>21</v>
      </c>
      <c r="I830" t="s">
        <v>51</v>
      </c>
      <c r="J830">
        <v>2090</v>
      </c>
      <c r="K830" t="s">
        <v>673</v>
      </c>
    </row>
    <row r="831" spans="1:11" x14ac:dyDescent="0.35">
      <c r="A831" t="s">
        <v>14</v>
      </c>
      <c r="B831" t="s">
        <v>15</v>
      </c>
      <c r="C831" t="s">
        <v>48</v>
      </c>
      <c r="D831" t="s">
        <v>17</v>
      </c>
      <c r="E831" t="s">
        <v>49</v>
      </c>
      <c r="F831" t="s">
        <v>19</v>
      </c>
      <c r="G831" t="s">
        <v>50</v>
      </c>
      <c r="H831" t="s">
        <v>21</v>
      </c>
      <c r="I831" t="s">
        <v>51</v>
      </c>
      <c r="J831">
        <v>5791</v>
      </c>
      <c r="K831" t="s">
        <v>23</v>
      </c>
    </row>
    <row r="832" spans="1:11" x14ac:dyDescent="0.35">
      <c r="A832" t="s">
        <v>14</v>
      </c>
      <c r="B832" t="s">
        <v>15</v>
      </c>
      <c r="C832" t="s">
        <v>203</v>
      </c>
      <c r="D832" t="s">
        <v>17</v>
      </c>
      <c r="E832" t="s">
        <v>204</v>
      </c>
      <c r="F832" t="s">
        <v>19</v>
      </c>
      <c r="G832" t="s">
        <v>205</v>
      </c>
      <c r="H832" t="s">
        <v>21</v>
      </c>
      <c r="I832" t="s">
        <v>51</v>
      </c>
      <c r="J832">
        <v>5789</v>
      </c>
      <c r="K832" t="s">
        <v>23</v>
      </c>
    </row>
    <row r="833" spans="1:11" x14ac:dyDescent="0.35">
      <c r="A833" t="s">
        <v>14</v>
      </c>
      <c r="B833" t="s">
        <v>15</v>
      </c>
      <c r="C833" t="s">
        <v>213</v>
      </c>
      <c r="D833" t="s">
        <v>17</v>
      </c>
      <c r="E833" t="s">
        <v>214</v>
      </c>
      <c r="F833" t="s">
        <v>19</v>
      </c>
      <c r="G833" t="s">
        <v>215</v>
      </c>
      <c r="H833" t="s">
        <v>21</v>
      </c>
      <c r="I833" t="s">
        <v>51</v>
      </c>
      <c r="J833">
        <v>7889</v>
      </c>
      <c r="K833" t="s">
        <v>23</v>
      </c>
    </row>
    <row r="834" spans="1:11" x14ac:dyDescent="0.35">
      <c r="A834" t="s">
        <v>14</v>
      </c>
      <c r="B834" t="s">
        <v>15</v>
      </c>
      <c r="C834" t="s">
        <v>237</v>
      </c>
      <c r="D834" t="s">
        <v>17</v>
      </c>
      <c r="E834" t="s">
        <v>238</v>
      </c>
      <c r="F834" t="s">
        <v>19</v>
      </c>
      <c r="G834" t="s">
        <v>239</v>
      </c>
      <c r="H834" t="s">
        <v>21</v>
      </c>
      <c r="I834" t="s">
        <v>51</v>
      </c>
      <c r="J834">
        <v>5793</v>
      </c>
      <c r="K834" t="s">
        <v>23</v>
      </c>
    </row>
    <row r="835" spans="1:11" x14ac:dyDescent="0.35">
      <c r="A835" t="s">
        <v>14</v>
      </c>
      <c r="B835" t="s">
        <v>15</v>
      </c>
      <c r="C835" t="s">
        <v>339</v>
      </c>
      <c r="D835" t="s">
        <v>17</v>
      </c>
      <c r="E835" t="s">
        <v>340</v>
      </c>
      <c r="F835" t="s">
        <v>19</v>
      </c>
      <c r="G835" t="s">
        <v>341</v>
      </c>
      <c r="H835" t="s">
        <v>21</v>
      </c>
      <c r="I835" t="s">
        <v>51</v>
      </c>
      <c r="J835">
        <v>7050</v>
      </c>
      <c r="K835" t="s">
        <v>23</v>
      </c>
    </row>
    <row r="836" spans="1:11" x14ac:dyDescent="0.35">
      <c r="A836" t="s">
        <v>14</v>
      </c>
      <c r="B836" t="s">
        <v>15</v>
      </c>
      <c r="C836" t="s">
        <v>373</v>
      </c>
      <c r="D836" t="s">
        <v>17</v>
      </c>
      <c r="E836" t="s">
        <v>374</v>
      </c>
      <c r="F836" t="s">
        <v>19</v>
      </c>
      <c r="G836" t="s">
        <v>375</v>
      </c>
      <c r="H836" t="s">
        <v>21</v>
      </c>
      <c r="I836" t="s">
        <v>51</v>
      </c>
      <c r="J836">
        <v>7051</v>
      </c>
      <c r="K836" t="s">
        <v>23</v>
      </c>
    </row>
    <row r="837" spans="1:11" x14ac:dyDescent="0.35">
      <c r="A837" t="s">
        <v>14</v>
      </c>
      <c r="B837" t="s">
        <v>15</v>
      </c>
      <c r="C837" t="s">
        <v>437</v>
      </c>
      <c r="D837" t="s">
        <v>17</v>
      </c>
      <c r="E837" t="s">
        <v>438</v>
      </c>
      <c r="F837" t="s">
        <v>19</v>
      </c>
      <c r="G837" t="s">
        <v>439</v>
      </c>
      <c r="H837" t="s">
        <v>21</v>
      </c>
      <c r="I837" t="s">
        <v>51</v>
      </c>
      <c r="J837">
        <v>5792</v>
      </c>
      <c r="K837" t="s">
        <v>23</v>
      </c>
    </row>
    <row r="838" spans="1:11" x14ac:dyDescent="0.35">
      <c r="A838" t="s">
        <v>14</v>
      </c>
      <c r="B838" t="s">
        <v>15</v>
      </c>
      <c r="C838" t="s">
        <v>473</v>
      </c>
      <c r="D838" t="s">
        <v>17</v>
      </c>
      <c r="E838" t="s">
        <v>474</v>
      </c>
      <c r="F838" t="s">
        <v>19</v>
      </c>
      <c r="G838" t="s">
        <v>475</v>
      </c>
      <c r="H838" t="s">
        <v>21</v>
      </c>
      <c r="I838" t="s">
        <v>51</v>
      </c>
      <c r="J838">
        <v>3555</v>
      </c>
      <c r="K838" t="s">
        <v>23</v>
      </c>
    </row>
    <row r="839" spans="1:11" x14ac:dyDescent="0.35">
      <c r="A839" t="s">
        <v>14</v>
      </c>
      <c r="B839" t="s">
        <v>15</v>
      </c>
      <c r="C839" t="s">
        <v>486</v>
      </c>
      <c r="D839" t="s">
        <v>17</v>
      </c>
      <c r="E839" t="s">
        <v>487</v>
      </c>
      <c r="F839" t="s">
        <v>19</v>
      </c>
      <c r="G839" t="s">
        <v>488</v>
      </c>
      <c r="H839" t="s">
        <v>21</v>
      </c>
      <c r="I839" t="s">
        <v>51</v>
      </c>
      <c r="J839">
        <v>8100</v>
      </c>
      <c r="K839" t="s">
        <v>23</v>
      </c>
    </row>
    <row r="840" spans="1:11" x14ac:dyDescent="0.35">
      <c r="A840" t="s">
        <v>14</v>
      </c>
      <c r="B840" t="s">
        <v>15</v>
      </c>
      <c r="C840" t="s">
        <v>693</v>
      </c>
      <c r="D840" t="s">
        <v>17</v>
      </c>
      <c r="E840" t="s">
        <v>694</v>
      </c>
      <c r="F840" t="s">
        <v>19</v>
      </c>
      <c r="G840" t="s">
        <v>695</v>
      </c>
      <c r="H840" t="s">
        <v>21</v>
      </c>
      <c r="I840" t="s">
        <v>51</v>
      </c>
      <c r="J840">
        <v>7139</v>
      </c>
      <c r="K840" t="s">
        <v>23</v>
      </c>
    </row>
    <row r="841" spans="1:11" x14ac:dyDescent="0.35">
      <c r="A841" t="s">
        <v>14</v>
      </c>
      <c r="B841" t="s">
        <v>15</v>
      </c>
      <c r="C841" t="s">
        <v>1031</v>
      </c>
      <c r="D841" t="s">
        <v>17</v>
      </c>
      <c r="E841" t="s">
        <v>340</v>
      </c>
      <c r="F841" t="s">
        <v>19</v>
      </c>
      <c r="G841" t="s">
        <v>341</v>
      </c>
      <c r="H841" t="s">
        <v>21</v>
      </c>
      <c r="I841" t="s">
        <v>51</v>
      </c>
      <c r="J841">
        <v>7050</v>
      </c>
      <c r="K841" t="s">
        <v>23</v>
      </c>
    </row>
    <row r="842" spans="1:11" x14ac:dyDescent="0.35">
      <c r="A842" t="s">
        <v>14</v>
      </c>
      <c r="B842" t="s">
        <v>15</v>
      </c>
      <c r="C842" t="s">
        <v>1141</v>
      </c>
      <c r="D842" t="s">
        <v>17</v>
      </c>
      <c r="E842" t="s">
        <v>238</v>
      </c>
      <c r="F842" t="s">
        <v>19</v>
      </c>
      <c r="G842" t="s">
        <v>239</v>
      </c>
      <c r="H842" t="s">
        <v>21</v>
      </c>
      <c r="I842" t="s">
        <v>51</v>
      </c>
      <c r="J842">
        <v>5793</v>
      </c>
      <c r="K842" t="s">
        <v>23</v>
      </c>
    </row>
    <row r="843" spans="1:11" x14ac:dyDescent="0.35">
      <c r="A843" t="s">
        <v>14</v>
      </c>
      <c r="B843" t="s">
        <v>15</v>
      </c>
      <c r="C843" t="s">
        <v>1145</v>
      </c>
      <c r="D843" t="s">
        <v>17</v>
      </c>
      <c r="E843" t="s">
        <v>1146</v>
      </c>
      <c r="F843" t="s">
        <v>19</v>
      </c>
      <c r="G843" t="s">
        <v>1147</v>
      </c>
      <c r="H843" t="s">
        <v>21</v>
      </c>
      <c r="I843" t="s">
        <v>51</v>
      </c>
      <c r="J843">
        <v>7052</v>
      </c>
      <c r="K843" t="s">
        <v>23</v>
      </c>
    </row>
    <row r="844" spans="1:11" x14ac:dyDescent="0.35">
      <c r="A844" t="s">
        <v>14</v>
      </c>
      <c r="B844" t="s">
        <v>15</v>
      </c>
      <c r="C844" t="s">
        <v>1204</v>
      </c>
      <c r="D844" t="s">
        <v>17</v>
      </c>
      <c r="E844" t="s">
        <v>1205</v>
      </c>
      <c r="F844" t="s">
        <v>19</v>
      </c>
      <c r="G844" t="s">
        <v>1206</v>
      </c>
      <c r="H844" t="s">
        <v>21</v>
      </c>
      <c r="I844" t="s">
        <v>51</v>
      </c>
      <c r="J844">
        <v>7527</v>
      </c>
      <c r="K844" t="s">
        <v>23</v>
      </c>
    </row>
    <row r="845" spans="1:11" x14ac:dyDescent="0.35">
      <c r="A845" t="s">
        <v>14</v>
      </c>
      <c r="B845" t="s">
        <v>15</v>
      </c>
      <c r="C845" t="s">
        <v>1208</v>
      </c>
      <c r="D845" t="s">
        <v>17</v>
      </c>
      <c r="E845" t="s">
        <v>1209</v>
      </c>
      <c r="F845" t="s">
        <v>19</v>
      </c>
      <c r="G845" t="s">
        <v>1210</v>
      </c>
      <c r="H845" t="s">
        <v>21</v>
      </c>
      <c r="I845" t="s">
        <v>51</v>
      </c>
      <c r="J845">
        <v>5790</v>
      </c>
      <c r="K845" t="s">
        <v>23</v>
      </c>
    </row>
    <row r="846" spans="1:11" x14ac:dyDescent="0.35">
      <c r="A846" t="s">
        <v>14</v>
      </c>
      <c r="B846" t="s">
        <v>15</v>
      </c>
      <c r="C846" t="s">
        <v>1212</v>
      </c>
      <c r="D846" t="s">
        <v>17</v>
      </c>
      <c r="E846" t="s">
        <v>49</v>
      </c>
      <c r="F846" t="s">
        <v>19</v>
      </c>
      <c r="G846" t="s">
        <v>50</v>
      </c>
      <c r="H846" t="s">
        <v>21</v>
      </c>
      <c r="I846" t="s">
        <v>51</v>
      </c>
      <c r="J846">
        <v>5791</v>
      </c>
      <c r="K846" t="s">
        <v>23</v>
      </c>
    </row>
    <row r="847" spans="1:11" x14ac:dyDescent="0.35">
      <c r="A847" t="s">
        <v>14</v>
      </c>
      <c r="B847" t="s">
        <v>15</v>
      </c>
      <c r="C847" t="s">
        <v>1214</v>
      </c>
      <c r="D847" t="s">
        <v>17</v>
      </c>
      <c r="E847" t="s">
        <v>1215</v>
      </c>
      <c r="F847" t="s">
        <v>19</v>
      </c>
      <c r="G847" t="s">
        <v>1216</v>
      </c>
      <c r="H847" t="s">
        <v>21</v>
      </c>
      <c r="I847" t="s">
        <v>51</v>
      </c>
      <c r="J847">
        <v>3559</v>
      </c>
      <c r="K847" t="s">
        <v>23</v>
      </c>
    </row>
    <row r="848" spans="1:11" x14ac:dyDescent="0.35">
      <c r="A848" t="s">
        <v>14</v>
      </c>
      <c r="B848" t="s">
        <v>15</v>
      </c>
      <c r="C848" t="s">
        <v>1803</v>
      </c>
      <c r="D848" t="s">
        <v>17</v>
      </c>
      <c r="E848" t="s">
        <v>1215</v>
      </c>
      <c r="F848" t="s">
        <v>19</v>
      </c>
      <c r="G848" t="s">
        <v>1216</v>
      </c>
      <c r="H848" t="s">
        <v>21</v>
      </c>
      <c r="I848" t="s">
        <v>51</v>
      </c>
      <c r="J848">
        <v>3559</v>
      </c>
      <c r="K848" t="s">
        <v>23</v>
      </c>
    </row>
    <row r="849" spans="1:11" x14ac:dyDescent="0.35">
      <c r="A849" t="s">
        <v>317</v>
      </c>
      <c r="B849" t="s">
        <v>15</v>
      </c>
      <c r="C849" t="s">
        <v>1202</v>
      </c>
      <c r="D849" t="s">
        <v>319</v>
      </c>
      <c r="E849" t="s">
        <v>438</v>
      </c>
      <c r="F849" t="s">
        <v>19</v>
      </c>
      <c r="G849" t="s">
        <v>439</v>
      </c>
      <c r="H849" t="s">
        <v>21</v>
      </c>
      <c r="I849" t="s">
        <v>51</v>
      </c>
      <c r="J849">
        <v>5792</v>
      </c>
      <c r="K849" t="s">
        <v>673</v>
      </c>
    </row>
    <row r="850" spans="1:11" x14ac:dyDescent="0.35">
      <c r="A850" t="s">
        <v>317</v>
      </c>
      <c r="B850" t="s">
        <v>15</v>
      </c>
      <c r="C850" t="s">
        <v>1218</v>
      </c>
      <c r="D850" t="s">
        <v>319</v>
      </c>
      <c r="E850" t="s">
        <v>694</v>
      </c>
      <c r="F850" t="s">
        <v>19</v>
      </c>
      <c r="G850" t="s">
        <v>695</v>
      </c>
      <c r="H850" t="s">
        <v>21</v>
      </c>
      <c r="I850" t="s">
        <v>51</v>
      </c>
      <c r="J850">
        <v>7139</v>
      </c>
      <c r="K850" t="s">
        <v>673</v>
      </c>
    </row>
    <row r="851" spans="1:11" x14ac:dyDescent="0.35">
      <c r="A851" t="s">
        <v>317</v>
      </c>
      <c r="B851" t="s">
        <v>15</v>
      </c>
      <c r="C851" t="s">
        <v>1307</v>
      </c>
      <c r="D851" t="s">
        <v>319</v>
      </c>
      <c r="E851" t="s">
        <v>49</v>
      </c>
      <c r="F851" t="s">
        <v>19</v>
      </c>
      <c r="G851" t="s">
        <v>50</v>
      </c>
      <c r="H851" t="s">
        <v>21</v>
      </c>
      <c r="I851" t="s">
        <v>51</v>
      </c>
      <c r="J851">
        <v>5791</v>
      </c>
      <c r="K851" t="s">
        <v>673</v>
      </c>
    </row>
    <row r="852" spans="1:11" x14ac:dyDescent="0.35">
      <c r="A852" t="s">
        <v>317</v>
      </c>
      <c r="B852" t="s">
        <v>15</v>
      </c>
      <c r="C852" t="s">
        <v>1309</v>
      </c>
      <c r="D852" t="s">
        <v>319</v>
      </c>
      <c r="E852" t="s">
        <v>487</v>
      </c>
      <c r="F852" t="s">
        <v>19</v>
      </c>
      <c r="G852" t="s">
        <v>488</v>
      </c>
      <c r="H852" t="s">
        <v>21</v>
      </c>
      <c r="I852" t="s">
        <v>51</v>
      </c>
      <c r="J852">
        <v>8100</v>
      </c>
      <c r="K852" t="s">
        <v>673</v>
      </c>
    </row>
    <row r="853" spans="1:11" x14ac:dyDescent="0.35">
      <c r="A853" t="s">
        <v>317</v>
      </c>
      <c r="B853" t="s">
        <v>15</v>
      </c>
      <c r="C853" t="s">
        <v>1429</v>
      </c>
      <c r="D853" t="s">
        <v>319</v>
      </c>
      <c r="E853" t="s">
        <v>1146</v>
      </c>
      <c r="F853" t="s">
        <v>19</v>
      </c>
      <c r="G853" t="s">
        <v>1147</v>
      </c>
      <c r="H853" t="s">
        <v>21</v>
      </c>
      <c r="I853" t="s">
        <v>51</v>
      </c>
      <c r="J853">
        <v>7052</v>
      </c>
      <c r="K853" t="s">
        <v>673</v>
      </c>
    </row>
    <row r="854" spans="1:11" x14ac:dyDescent="0.35">
      <c r="A854" t="s">
        <v>317</v>
      </c>
      <c r="B854" t="s">
        <v>15</v>
      </c>
      <c r="C854" t="s">
        <v>1508</v>
      </c>
      <c r="D854" t="s">
        <v>319</v>
      </c>
      <c r="E854" t="s">
        <v>238</v>
      </c>
      <c r="F854" t="s">
        <v>19</v>
      </c>
      <c r="G854" t="s">
        <v>239</v>
      </c>
      <c r="H854" t="s">
        <v>21</v>
      </c>
      <c r="I854" t="s">
        <v>51</v>
      </c>
      <c r="J854">
        <v>5793</v>
      </c>
      <c r="K854" t="s">
        <v>23</v>
      </c>
    </row>
    <row r="855" spans="1:11" x14ac:dyDescent="0.35">
      <c r="A855" t="s">
        <v>317</v>
      </c>
      <c r="B855" t="s">
        <v>15</v>
      </c>
      <c r="C855" t="s">
        <v>1541</v>
      </c>
      <c r="D855" t="s">
        <v>319</v>
      </c>
      <c r="E855" t="s">
        <v>1209</v>
      </c>
      <c r="F855" t="s">
        <v>19</v>
      </c>
      <c r="G855" t="s">
        <v>1210</v>
      </c>
      <c r="H855" t="s">
        <v>21</v>
      </c>
      <c r="I855" t="s">
        <v>51</v>
      </c>
      <c r="J855">
        <v>5790</v>
      </c>
      <c r="K855" t="s">
        <v>673</v>
      </c>
    </row>
    <row r="856" spans="1:11" x14ac:dyDescent="0.35">
      <c r="A856" t="s">
        <v>317</v>
      </c>
      <c r="B856" t="s">
        <v>15</v>
      </c>
      <c r="C856" t="s">
        <v>1559</v>
      </c>
      <c r="D856" t="s">
        <v>319</v>
      </c>
      <c r="E856" t="s">
        <v>340</v>
      </c>
      <c r="F856" t="s">
        <v>19</v>
      </c>
      <c r="G856" t="s">
        <v>341</v>
      </c>
      <c r="H856" t="s">
        <v>21</v>
      </c>
      <c r="I856" t="s">
        <v>51</v>
      </c>
      <c r="J856">
        <v>7050</v>
      </c>
      <c r="K856" t="s">
        <v>673</v>
      </c>
    </row>
    <row r="857" spans="1:11" x14ac:dyDescent="0.35">
      <c r="A857" t="s">
        <v>317</v>
      </c>
      <c r="B857" t="s">
        <v>15</v>
      </c>
      <c r="C857" t="s">
        <v>1612</v>
      </c>
      <c r="D857" t="s">
        <v>319</v>
      </c>
      <c r="E857" t="s">
        <v>204</v>
      </c>
      <c r="F857" t="s">
        <v>19</v>
      </c>
      <c r="G857" t="s">
        <v>205</v>
      </c>
      <c r="H857" t="s">
        <v>21</v>
      </c>
      <c r="I857" t="s">
        <v>51</v>
      </c>
      <c r="J857">
        <v>5789</v>
      </c>
      <c r="K857" t="s">
        <v>673</v>
      </c>
    </row>
    <row r="858" spans="1:11" x14ac:dyDescent="0.35">
      <c r="A858" t="s">
        <v>317</v>
      </c>
      <c r="B858" t="s">
        <v>15</v>
      </c>
      <c r="C858" t="s">
        <v>1653</v>
      </c>
      <c r="D858" t="s">
        <v>319</v>
      </c>
      <c r="E858" t="s">
        <v>1215</v>
      </c>
      <c r="F858" t="s">
        <v>19</v>
      </c>
      <c r="G858" t="s">
        <v>1216</v>
      </c>
      <c r="H858" t="s">
        <v>21</v>
      </c>
      <c r="I858" t="s">
        <v>51</v>
      </c>
      <c r="J858">
        <v>3559</v>
      </c>
      <c r="K858" t="s">
        <v>23</v>
      </c>
    </row>
    <row r="859" spans="1:11" x14ac:dyDescent="0.35">
      <c r="A859" t="s">
        <v>317</v>
      </c>
      <c r="B859" t="s">
        <v>15</v>
      </c>
      <c r="C859" t="s">
        <v>1654</v>
      </c>
      <c r="D859" t="s">
        <v>319</v>
      </c>
      <c r="E859" t="s">
        <v>214</v>
      </c>
      <c r="F859" t="s">
        <v>19</v>
      </c>
      <c r="G859" t="s">
        <v>215</v>
      </c>
      <c r="H859" t="s">
        <v>21</v>
      </c>
      <c r="I859" t="s">
        <v>51</v>
      </c>
      <c r="J859">
        <v>7889</v>
      </c>
      <c r="K859" t="s">
        <v>23</v>
      </c>
    </row>
    <row r="860" spans="1:11" x14ac:dyDescent="0.35">
      <c r="A860" t="s">
        <v>317</v>
      </c>
      <c r="B860" t="s">
        <v>15</v>
      </c>
      <c r="C860" t="s">
        <v>1673</v>
      </c>
      <c r="D860" t="s">
        <v>319</v>
      </c>
      <c r="E860" t="s">
        <v>1205</v>
      </c>
      <c r="F860" t="s">
        <v>19</v>
      </c>
      <c r="G860" t="s">
        <v>1206</v>
      </c>
      <c r="H860" t="s">
        <v>21</v>
      </c>
      <c r="I860" t="s">
        <v>51</v>
      </c>
      <c r="J860">
        <v>7527</v>
      </c>
      <c r="K860" t="s">
        <v>673</v>
      </c>
    </row>
    <row r="861" spans="1:11" x14ac:dyDescent="0.35">
      <c r="A861" t="s">
        <v>317</v>
      </c>
      <c r="B861" t="s">
        <v>15</v>
      </c>
      <c r="C861" t="s">
        <v>1855</v>
      </c>
      <c r="D861" t="s">
        <v>319</v>
      </c>
      <c r="E861" t="s">
        <v>474</v>
      </c>
      <c r="F861" t="s">
        <v>19</v>
      </c>
      <c r="G861" t="s">
        <v>475</v>
      </c>
      <c r="H861" t="s">
        <v>21</v>
      </c>
      <c r="I861" t="s">
        <v>51</v>
      </c>
      <c r="J861">
        <v>3555</v>
      </c>
      <c r="K861" t="s">
        <v>23</v>
      </c>
    </row>
    <row r="862" spans="1:11" x14ac:dyDescent="0.35">
      <c r="A862" t="s">
        <v>317</v>
      </c>
      <c r="B862" t="s">
        <v>15</v>
      </c>
      <c r="C862" t="s">
        <v>1861</v>
      </c>
      <c r="D862" t="s">
        <v>319</v>
      </c>
      <c r="E862" t="s">
        <v>374</v>
      </c>
      <c r="F862" t="s">
        <v>19</v>
      </c>
      <c r="G862" t="s">
        <v>375</v>
      </c>
      <c r="H862" t="s">
        <v>21</v>
      </c>
      <c r="I862" t="s">
        <v>51</v>
      </c>
      <c r="J862">
        <v>7051</v>
      </c>
      <c r="K862" t="s">
        <v>673</v>
      </c>
    </row>
    <row r="863" spans="1:11" x14ac:dyDescent="0.35">
      <c r="A863" t="s">
        <v>14</v>
      </c>
      <c r="B863" t="s">
        <v>32</v>
      </c>
      <c r="C863" t="s">
        <v>137</v>
      </c>
      <c r="D863" t="s">
        <v>17</v>
      </c>
      <c r="E863" t="s">
        <v>138</v>
      </c>
      <c r="F863" t="s">
        <v>19</v>
      </c>
      <c r="G863" t="s">
        <v>35</v>
      </c>
      <c r="H863" t="s">
        <v>21</v>
      </c>
      <c r="I863" t="s">
        <v>128</v>
      </c>
      <c r="J863">
        <v>131</v>
      </c>
      <c r="K863" t="s">
        <v>23</v>
      </c>
    </row>
    <row r="864" spans="1:11" x14ac:dyDescent="0.35">
      <c r="A864" t="s">
        <v>14</v>
      </c>
      <c r="B864" t="s">
        <v>32</v>
      </c>
      <c r="C864" t="s">
        <v>292</v>
      </c>
      <c r="D864" t="s">
        <v>17</v>
      </c>
      <c r="E864" t="s">
        <v>138</v>
      </c>
      <c r="F864" t="s">
        <v>19</v>
      </c>
      <c r="G864" t="s">
        <v>35</v>
      </c>
      <c r="H864" t="s">
        <v>21</v>
      </c>
      <c r="I864" t="s">
        <v>128</v>
      </c>
      <c r="J864">
        <v>131</v>
      </c>
      <c r="K864" t="s">
        <v>23</v>
      </c>
    </row>
    <row r="865" spans="1:11" x14ac:dyDescent="0.35">
      <c r="A865" t="s">
        <v>14</v>
      </c>
      <c r="B865" t="s">
        <v>32</v>
      </c>
      <c r="C865" t="s">
        <v>1034</v>
      </c>
      <c r="D865" t="s">
        <v>17</v>
      </c>
      <c r="E865" t="s">
        <v>138</v>
      </c>
      <c r="F865" t="s">
        <v>19</v>
      </c>
      <c r="G865" t="s">
        <v>35</v>
      </c>
      <c r="H865" t="s">
        <v>21</v>
      </c>
      <c r="I865" t="s">
        <v>128</v>
      </c>
      <c r="J865">
        <v>131</v>
      </c>
      <c r="K865" t="s">
        <v>23</v>
      </c>
    </row>
    <row r="866" spans="1:11" x14ac:dyDescent="0.35">
      <c r="A866" t="s">
        <v>317</v>
      </c>
      <c r="B866" t="s">
        <v>32</v>
      </c>
      <c r="C866" t="s">
        <v>798</v>
      </c>
      <c r="D866" t="s">
        <v>319</v>
      </c>
      <c r="E866" t="s">
        <v>138</v>
      </c>
      <c r="F866" t="s">
        <v>19</v>
      </c>
      <c r="G866" t="s">
        <v>35</v>
      </c>
      <c r="H866" t="s">
        <v>21</v>
      </c>
      <c r="I866" t="s">
        <v>128</v>
      </c>
      <c r="J866">
        <v>131</v>
      </c>
      <c r="K866" t="s">
        <v>673</v>
      </c>
    </row>
    <row r="867" spans="1:11" x14ac:dyDescent="0.35">
      <c r="A867" t="s">
        <v>317</v>
      </c>
      <c r="B867" t="s">
        <v>32</v>
      </c>
      <c r="C867" t="s">
        <v>858</v>
      </c>
      <c r="D867" t="s">
        <v>319</v>
      </c>
      <c r="E867" t="s">
        <v>138</v>
      </c>
      <c r="F867" t="s">
        <v>19</v>
      </c>
      <c r="G867" t="s">
        <v>35</v>
      </c>
      <c r="H867" t="s">
        <v>21</v>
      </c>
      <c r="I867" t="s">
        <v>128</v>
      </c>
      <c r="J867">
        <v>131</v>
      </c>
      <c r="K867" t="s">
        <v>23</v>
      </c>
    </row>
    <row r="868" spans="1:11" x14ac:dyDescent="0.35">
      <c r="A868" t="s">
        <v>317</v>
      </c>
      <c r="B868" t="s">
        <v>32</v>
      </c>
      <c r="C868" t="s">
        <v>947</v>
      </c>
      <c r="D868" t="s">
        <v>319</v>
      </c>
      <c r="E868" t="s">
        <v>138</v>
      </c>
      <c r="F868" t="s">
        <v>19</v>
      </c>
      <c r="G868" t="s">
        <v>35</v>
      </c>
      <c r="H868" t="s">
        <v>21</v>
      </c>
      <c r="I868" t="s">
        <v>128</v>
      </c>
      <c r="J868">
        <v>131</v>
      </c>
      <c r="K868" t="s">
        <v>673</v>
      </c>
    </row>
    <row r="869" spans="1:11" x14ac:dyDescent="0.35">
      <c r="A869" t="s">
        <v>317</v>
      </c>
      <c r="B869" t="s">
        <v>32</v>
      </c>
      <c r="C869" t="s">
        <v>1666</v>
      </c>
      <c r="D869" t="s">
        <v>319</v>
      </c>
      <c r="E869" t="s">
        <v>138</v>
      </c>
      <c r="F869" t="s">
        <v>19</v>
      </c>
      <c r="G869" t="s">
        <v>35</v>
      </c>
      <c r="H869" t="s">
        <v>21</v>
      </c>
      <c r="I869" t="s">
        <v>128</v>
      </c>
      <c r="J869">
        <v>131</v>
      </c>
      <c r="K869" t="s">
        <v>673</v>
      </c>
    </row>
    <row r="870" spans="1:11" x14ac:dyDescent="0.35">
      <c r="A870" t="s">
        <v>74</v>
      </c>
      <c r="B870" t="s">
        <v>32</v>
      </c>
      <c r="C870" t="s">
        <v>304</v>
      </c>
      <c r="D870" t="s">
        <v>76</v>
      </c>
      <c r="E870" t="s">
        <v>138</v>
      </c>
      <c r="F870" t="s">
        <v>19</v>
      </c>
      <c r="G870" t="s">
        <v>35</v>
      </c>
      <c r="H870" t="s">
        <v>21</v>
      </c>
      <c r="I870" t="s">
        <v>128</v>
      </c>
      <c r="J870">
        <v>131</v>
      </c>
      <c r="K870" t="s">
        <v>23</v>
      </c>
    </row>
    <row r="871" spans="1:11" x14ac:dyDescent="0.35">
      <c r="A871" t="s">
        <v>14</v>
      </c>
      <c r="B871" t="s">
        <v>53</v>
      </c>
      <c r="C871" t="s">
        <v>801</v>
      </c>
      <c r="D871" t="s">
        <v>17</v>
      </c>
      <c r="E871" t="s">
        <v>802</v>
      </c>
      <c r="F871" t="s">
        <v>19</v>
      </c>
      <c r="G871" t="s">
        <v>56</v>
      </c>
      <c r="H871" t="s">
        <v>21</v>
      </c>
      <c r="I871" t="s">
        <v>128</v>
      </c>
      <c r="J871">
        <v>2093</v>
      </c>
      <c r="K871" t="s">
        <v>23</v>
      </c>
    </row>
    <row r="872" spans="1:11" x14ac:dyDescent="0.35">
      <c r="A872" t="s">
        <v>317</v>
      </c>
      <c r="B872" t="s">
        <v>53</v>
      </c>
      <c r="C872" t="s">
        <v>1241</v>
      </c>
      <c r="D872" t="s">
        <v>319</v>
      </c>
      <c r="E872" t="s">
        <v>802</v>
      </c>
      <c r="F872" t="s">
        <v>19</v>
      </c>
      <c r="G872" t="s">
        <v>56</v>
      </c>
      <c r="H872" t="s">
        <v>21</v>
      </c>
      <c r="I872" t="s">
        <v>128</v>
      </c>
      <c r="J872">
        <v>2093</v>
      </c>
      <c r="K872" t="s">
        <v>673</v>
      </c>
    </row>
    <row r="873" spans="1:11" x14ac:dyDescent="0.35">
      <c r="A873" t="s">
        <v>317</v>
      </c>
      <c r="B873" t="s">
        <v>53</v>
      </c>
      <c r="C873" t="s">
        <v>1723</v>
      </c>
      <c r="D873" t="s">
        <v>319</v>
      </c>
      <c r="E873" t="s">
        <v>802</v>
      </c>
      <c r="F873" t="s">
        <v>19</v>
      </c>
      <c r="G873" t="s">
        <v>56</v>
      </c>
      <c r="H873" t="s">
        <v>21</v>
      </c>
      <c r="I873" t="s">
        <v>128</v>
      </c>
      <c r="J873">
        <v>2093</v>
      </c>
      <c r="K873" t="s">
        <v>673</v>
      </c>
    </row>
    <row r="874" spans="1:11" x14ac:dyDescent="0.35">
      <c r="A874" t="s">
        <v>14</v>
      </c>
      <c r="B874" t="s">
        <v>15</v>
      </c>
      <c r="C874" t="s">
        <v>125</v>
      </c>
      <c r="D874" t="s">
        <v>17</v>
      </c>
      <c r="E874" t="s">
        <v>126</v>
      </c>
      <c r="F874" t="s">
        <v>19</v>
      </c>
      <c r="G874" t="s">
        <v>127</v>
      </c>
      <c r="H874" t="s">
        <v>21</v>
      </c>
      <c r="I874" t="s">
        <v>128</v>
      </c>
      <c r="J874">
        <v>3560</v>
      </c>
      <c r="K874" t="s">
        <v>23</v>
      </c>
    </row>
    <row r="875" spans="1:11" x14ac:dyDescent="0.35">
      <c r="A875" t="s">
        <v>14</v>
      </c>
      <c r="B875" t="s">
        <v>15</v>
      </c>
      <c r="C875" t="s">
        <v>134</v>
      </c>
      <c r="D875" t="s">
        <v>17</v>
      </c>
      <c r="E875" t="s">
        <v>135</v>
      </c>
      <c r="F875" t="s">
        <v>19</v>
      </c>
      <c r="G875" t="s">
        <v>136</v>
      </c>
      <c r="H875" t="s">
        <v>21</v>
      </c>
      <c r="I875" t="s">
        <v>128</v>
      </c>
      <c r="J875">
        <v>5805</v>
      </c>
      <c r="K875" t="s">
        <v>23</v>
      </c>
    </row>
    <row r="876" spans="1:11" x14ac:dyDescent="0.35">
      <c r="A876" t="s">
        <v>14</v>
      </c>
      <c r="B876" t="s">
        <v>15</v>
      </c>
      <c r="C876" t="s">
        <v>227</v>
      </c>
      <c r="D876" t="s">
        <v>17</v>
      </c>
      <c r="E876" t="s">
        <v>228</v>
      </c>
      <c r="F876" t="s">
        <v>19</v>
      </c>
      <c r="G876" t="s">
        <v>229</v>
      </c>
      <c r="H876" t="s">
        <v>21</v>
      </c>
      <c r="I876" t="s">
        <v>128</v>
      </c>
      <c r="J876">
        <v>7520</v>
      </c>
      <c r="K876" t="s">
        <v>23</v>
      </c>
    </row>
    <row r="877" spans="1:11" x14ac:dyDescent="0.35">
      <c r="A877" t="s">
        <v>14</v>
      </c>
      <c r="B877" t="s">
        <v>15</v>
      </c>
      <c r="C877" t="s">
        <v>280</v>
      </c>
      <c r="D877" t="s">
        <v>17</v>
      </c>
      <c r="E877" t="s">
        <v>281</v>
      </c>
      <c r="F877" t="s">
        <v>19</v>
      </c>
      <c r="G877" t="s">
        <v>282</v>
      </c>
      <c r="H877" t="s">
        <v>21</v>
      </c>
      <c r="I877" t="s">
        <v>128</v>
      </c>
      <c r="J877">
        <v>5803</v>
      </c>
      <c r="K877" t="s">
        <v>23</v>
      </c>
    </row>
    <row r="878" spans="1:11" x14ac:dyDescent="0.35">
      <c r="A878" t="s">
        <v>14</v>
      </c>
      <c r="B878" t="s">
        <v>15</v>
      </c>
      <c r="C878" t="s">
        <v>390</v>
      </c>
      <c r="D878" t="s">
        <v>17</v>
      </c>
      <c r="E878" t="s">
        <v>391</v>
      </c>
      <c r="F878" t="s">
        <v>19</v>
      </c>
      <c r="G878" t="s">
        <v>392</v>
      </c>
      <c r="H878" t="s">
        <v>21</v>
      </c>
      <c r="I878" t="s">
        <v>128</v>
      </c>
      <c r="J878">
        <v>5804</v>
      </c>
      <c r="K878" t="s">
        <v>23</v>
      </c>
    </row>
    <row r="879" spans="1:11" x14ac:dyDescent="0.35">
      <c r="A879" t="s">
        <v>14</v>
      </c>
      <c r="B879" t="s">
        <v>15</v>
      </c>
      <c r="C879" t="s">
        <v>787</v>
      </c>
      <c r="D879" t="s">
        <v>17</v>
      </c>
      <c r="E879" t="s">
        <v>788</v>
      </c>
      <c r="F879" t="s">
        <v>19</v>
      </c>
      <c r="G879" t="s">
        <v>789</v>
      </c>
      <c r="H879" t="s">
        <v>21</v>
      </c>
      <c r="I879" t="s">
        <v>128</v>
      </c>
      <c r="J879">
        <v>7140</v>
      </c>
      <c r="K879" t="s">
        <v>23</v>
      </c>
    </row>
    <row r="880" spans="1:11" x14ac:dyDescent="0.35">
      <c r="A880" t="s">
        <v>14</v>
      </c>
      <c r="B880" t="s">
        <v>15</v>
      </c>
      <c r="C880" t="s">
        <v>851</v>
      </c>
      <c r="D880" t="s">
        <v>17</v>
      </c>
      <c r="E880" t="s">
        <v>852</v>
      </c>
      <c r="F880" t="s">
        <v>19</v>
      </c>
      <c r="G880" t="s">
        <v>853</v>
      </c>
      <c r="H880" t="s">
        <v>21</v>
      </c>
      <c r="I880" t="s">
        <v>128</v>
      </c>
      <c r="J880">
        <v>7916</v>
      </c>
      <c r="K880" t="s">
        <v>23</v>
      </c>
    </row>
    <row r="881" spans="1:11" x14ac:dyDescent="0.35">
      <c r="A881" t="s">
        <v>14</v>
      </c>
      <c r="B881" t="s">
        <v>15</v>
      </c>
      <c r="C881" t="s">
        <v>1033</v>
      </c>
      <c r="D881" t="s">
        <v>17</v>
      </c>
      <c r="E881" t="s">
        <v>135</v>
      </c>
      <c r="F881" t="s">
        <v>19</v>
      </c>
      <c r="G881" t="s">
        <v>136</v>
      </c>
      <c r="H881" t="s">
        <v>21</v>
      </c>
      <c r="I881" t="s">
        <v>128</v>
      </c>
      <c r="J881">
        <v>5805</v>
      </c>
      <c r="K881" t="s">
        <v>23</v>
      </c>
    </row>
    <row r="882" spans="1:11" x14ac:dyDescent="0.35">
      <c r="A882" t="s">
        <v>14</v>
      </c>
      <c r="B882" t="s">
        <v>15</v>
      </c>
      <c r="C882" t="s">
        <v>180</v>
      </c>
      <c r="D882" t="s">
        <v>17</v>
      </c>
      <c r="E882" t="s">
        <v>784</v>
      </c>
      <c r="F882" t="s">
        <v>19</v>
      </c>
      <c r="G882" t="s">
        <v>785</v>
      </c>
      <c r="H882" t="s">
        <v>21</v>
      </c>
      <c r="I882" t="s">
        <v>128</v>
      </c>
      <c r="J882">
        <v>5806</v>
      </c>
      <c r="K882" t="s">
        <v>23</v>
      </c>
    </row>
    <row r="883" spans="1:11" x14ac:dyDescent="0.35">
      <c r="A883" t="s">
        <v>14</v>
      </c>
      <c r="B883" t="s">
        <v>15</v>
      </c>
      <c r="C883" t="s">
        <v>1230</v>
      </c>
      <c r="D883" t="s">
        <v>17</v>
      </c>
      <c r="E883" t="s">
        <v>784</v>
      </c>
      <c r="F883" t="s">
        <v>19</v>
      </c>
      <c r="G883" t="s">
        <v>785</v>
      </c>
      <c r="H883" t="s">
        <v>21</v>
      </c>
      <c r="I883" t="s">
        <v>128</v>
      </c>
      <c r="J883">
        <v>5806</v>
      </c>
      <c r="K883" t="s">
        <v>23</v>
      </c>
    </row>
    <row r="884" spans="1:11" x14ac:dyDescent="0.35">
      <c r="A884" t="s">
        <v>14</v>
      </c>
      <c r="B884" t="s">
        <v>15</v>
      </c>
      <c r="C884" t="s">
        <v>1302</v>
      </c>
      <c r="D884" t="s">
        <v>17</v>
      </c>
      <c r="E884" t="s">
        <v>794</v>
      </c>
      <c r="F884" t="s">
        <v>19</v>
      </c>
      <c r="G884" t="s">
        <v>795</v>
      </c>
      <c r="H884" t="s">
        <v>21</v>
      </c>
      <c r="I884" t="s">
        <v>128</v>
      </c>
      <c r="J884">
        <v>8061</v>
      </c>
      <c r="K884" t="s">
        <v>23</v>
      </c>
    </row>
    <row r="885" spans="1:11" x14ac:dyDescent="0.35">
      <c r="A885" t="s">
        <v>14</v>
      </c>
      <c r="B885" t="s">
        <v>15</v>
      </c>
      <c r="C885" t="s">
        <v>1597</v>
      </c>
      <c r="D885" t="s">
        <v>17</v>
      </c>
      <c r="E885" t="s">
        <v>784</v>
      </c>
      <c r="F885" t="s">
        <v>19</v>
      </c>
      <c r="G885" t="s">
        <v>1598</v>
      </c>
      <c r="H885" t="s">
        <v>21</v>
      </c>
      <c r="I885" t="s">
        <v>128</v>
      </c>
      <c r="J885">
        <v>5806</v>
      </c>
      <c r="K885" t="s">
        <v>23</v>
      </c>
    </row>
    <row r="886" spans="1:11" x14ac:dyDescent="0.35">
      <c r="A886" t="s">
        <v>317</v>
      </c>
      <c r="B886" t="s">
        <v>15</v>
      </c>
      <c r="C886" t="s">
        <v>635</v>
      </c>
      <c r="D886" t="s">
        <v>319</v>
      </c>
      <c r="E886" t="s">
        <v>281</v>
      </c>
      <c r="F886" t="s">
        <v>19</v>
      </c>
      <c r="G886" t="s">
        <v>282</v>
      </c>
      <c r="H886" t="s">
        <v>21</v>
      </c>
      <c r="I886" t="s">
        <v>128</v>
      </c>
      <c r="J886">
        <v>5803</v>
      </c>
      <c r="K886" t="s">
        <v>23</v>
      </c>
    </row>
    <row r="887" spans="1:11" x14ac:dyDescent="0.35">
      <c r="A887" t="s">
        <v>317</v>
      </c>
      <c r="B887" t="s">
        <v>15</v>
      </c>
      <c r="C887" t="s">
        <v>783</v>
      </c>
      <c r="D887" t="s">
        <v>319</v>
      </c>
      <c r="E887" t="s">
        <v>784</v>
      </c>
      <c r="F887" t="s">
        <v>19</v>
      </c>
      <c r="G887" t="s">
        <v>785</v>
      </c>
      <c r="H887" t="s">
        <v>21</v>
      </c>
      <c r="I887" t="s">
        <v>128</v>
      </c>
      <c r="J887">
        <v>5806</v>
      </c>
      <c r="K887" t="s">
        <v>673</v>
      </c>
    </row>
    <row r="888" spans="1:11" x14ac:dyDescent="0.35">
      <c r="A888" t="s">
        <v>317</v>
      </c>
      <c r="B888" t="s">
        <v>15</v>
      </c>
      <c r="C888" t="s">
        <v>791</v>
      </c>
      <c r="D888" t="s">
        <v>319</v>
      </c>
      <c r="E888" t="s">
        <v>391</v>
      </c>
      <c r="F888" t="s">
        <v>19</v>
      </c>
      <c r="G888" t="s">
        <v>392</v>
      </c>
      <c r="H888" t="s">
        <v>21</v>
      </c>
      <c r="I888" t="s">
        <v>128</v>
      </c>
      <c r="J888">
        <v>5804</v>
      </c>
      <c r="K888" t="s">
        <v>673</v>
      </c>
    </row>
    <row r="889" spans="1:11" x14ac:dyDescent="0.35">
      <c r="A889" t="s">
        <v>317</v>
      </c>
      <c r="B889" t="s">
        <v>15</v>
      </c>
      <c r="C889" t="s">
        <v>793</v>
      </c>
      <c r="D889" t="s">
        <v>319</v>
      </c>
      <c r="E889" t="s">
        <v>794</v>
      </c>
      <c r="F889" t="s">
        <v>19</v>
      </c>
      <c r="G889" t="s">
        <v>795</v>
      </c>
      <c r="H889" t="s">
        <v>21</v>
      </c>
      <c r="I889" t="s">
        <v>128</v>
      </c>
      <c r="J889">
        <v>8061</v>
      </c>
      <c r="K889" t="s">
        <v>673</v>
      </c>
    </row>
    <row r="890" spans="1:11" x14ac:dyDescent="0.35">
      <c r="A890" t="s">
        <v>317</v>
      </c>
      <c r="B890" t="s">
        <v>15</v>
      </c>
      <c r="C890" t="s">
        <v>946</v>
      </c>
      <c r="D890" t="s">
        <v>319</v>
      </c>
      <c r="E890" t="s">
        <v>852</v>
      </c>
      <c r="F890" t="s">
        <v>19</v>
      </c>
      <c r="G890" t="s">
        <v>853</v>
      </c>
      <c r="H890" t="s">
        <v>21</v>
      </c>
      <c r="I890" t="s">
        <v>128</v>
      </c>
      <c r="J890">
        <v>7916</v>
      </c>
      <c r="K890" t="s">
        <v>673</v>
      </c>
    </row>
    <row r="891" spans="1:11" x14ac:dyDescent="0.35">
      <c r="A891" t="s">
        <v>317</v>
      </c>
      <c r="B891" t="s">
        <v>15</v>
      </c>
      <c r="C891" t="s">
        <v>1239</v>
      </c>
      <c r="D891" t="s">
        <v>319</v>
      </c>
      <c r="E891" t="s">
        <v>228</v>
      </c>
      <c r="F891" t="s">
        <v>19</v>
      </c>
      <c r="G891" t="s">
        <v>229</v>
      </c>
      <c r="H891" t="s">
        <v>21</v>
      </c>
      <c r="I891" t="s">
        <v>128</v>
      </c>
      <c r="J891">
        <v>7520</v>
      </c>
      <c r="K891" t="s">
        <v>673</v>
      </c>
    </row>
    <row r="892" spans="1:11" x14ac:dyDescent="0.35">
      <c r="A892" t="s">
        <v>317</v>
      </c>
      <c r="B892" t="s">
        <v>15</v>
      </c>
      <c r="C892" t="s">
        <v>1596</v>
      </c>
      <c r="D892" t="s">
        <v>319</v>
      </c>
      <c r="E892" t="s">
        <v>126</v>
      </c>
      <c r="F892" t="s">
        <v>19</v>
      </c>
      <c r="G892" t="s">
        <v>127</v>
      </c>
      <c r="H892" t="s">
        <v>21</v>
      </c>
      <c r="I892" t="s">
        <v>128</v>
      </c>
      <c r="J892">
        <v>3560</v>
      </c>
      <c r="K892" t="s">
        <v>23</v>
      </c>
    </row>
    <row r="893" spans="1:11" x14ac:dyDescent="0.35">
      <c r="A893" t="s">
        <v>317</v>
      </c>
      <c r="B893" t="s">
        <v>15</v>
      </c>
      <c r="C893" t="s">
        <v>1604</v>
      </c>
      <c r="D893" t="s">
        <v>319</v>
      </c>
      <c r="E893" t="s">
        <v>135</v>
      </c>
      <c r="F893" t="s">
        <v>19</v>
      </c>
      <c r="G893" t="s">
        <v>136</v>
      </c>
      <c r="H893" t="s">
        <v>21</v>
      </c>
      <c r="I893" t="s">
        <v>128</v>
      </c>
      <c r="J893">
        <v>5805</v>
      </c>
      <c r="K893" t="s">
        <v>673</v>
      </c>
    </row>
    <row r="894" spans="1:11" x14ac:dyDescent="0.35">
      <c r="A894" t="s">
        <v>317</v>
      </c>
      <c r="B894" t="s">
        <v>15</v>
      </c>
      <c r="C894" t="s">
        <v>1664</v>
      </c>
      <c r="D894" t="s">
        <v>319</v>
      </c>
      <c r="E894" t="s">
        <v>788</v>
      </c>
      <c r="F894" t="s">
        <v>19</v>
      </c>
      <c r="G894" t="s">
        <v>789</v>
      </c>
      <c r="H894" t="s">
        <v>21</v>
      </c>
      <c r="I894" t="s">
        <v>128</v>
      </c>
      <c r="J894">
        <v>7140</v>
      </c>
      <c r="K894" t="s">
        <v>673</v>
      </c>
    </row>
    <row r="895" spans="1:11" x14ac:dyDescent="0.35">
      <c r="A895" t="s">
        <v>317</v>
      </c>
      <c r="B895" t="s">
        <v>15</v>
      </c>
      <c r="C895" t="s">
        <v>1665</v>
      </c>
      <c r="D895" t="s">
        <v>319</v>
      </c>
      <c r="E895" t="s">
        <v>784</v>
      </c>
      <c r="F895" t="s">
        <v>19</v>
      </c>
      <c r="G895" t="s">
        <v>1598</v>
      </c>
      <c r="H895" t="s">
        <v>21</v>
      </c>
      <c r="I895" t="s">
        <v>128</v>
      </c>
      <c r="J895">
        <v>5806</v>
      </c>
      <c r="K895" t="s">
        <v>673</v>
      </c>
    </row>
  </sheetData>
  <autoFilter ref="A1:K895" xr:uid="{D024BE1A-654F-4C52-BE7D-AE59AA50A6B4}">
    <sortState xmlns:xlrd2="http://schemas.microsoft.com/office/spreadsheetml/2017/richdata2" ref="A2:K895">
      <sortCondition ref="I1:I89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1D575-C43F-4573-82EE-35C204D518F6}">
  <dimension ref="A1:Q23"/>
  <sheetViews>
    <sheetView zoomScale="85" zoomScaleNormal="85" workbookViewId="0">
      <selection activeCell="K6" sqref="K6"/>
    </sheetView>
  </sheetViews>
  <sheetFormatPr defaultRowHeight="14.5" x14ac:dyDescent="0.35"/>
  <cols>
    <col min="1" max="1" width="3.1796875" bestFit="1" customWidth="1"/>
    <col min="2" max="2" width="20.54296875" bestFit="1" customWidth="1"/>
    <col min="3" max="3" width="7.453125" bestFit="1" customWidth="1"/>
    <col min="4" max="4" width="11" bestFit="1" customWidth="1"/>
    <col min="5" max="5" width="5.453125" bestFit="1" customWidth="1"/>
    <col min="7" max="7" width="3.1796875" bestFit="1" customWidth="1"/>
    <col min="8" max="8" width="20.54296875" bestFit="1" customWidth="1"/>
    <col min="9" max="9" width="7.453125" bestFit="1" customWidth="1"/>
    <col min="10" max="10" width="11" bestFit="1" customWidth="1"/>
    <col min="11" max="11" width="5.453125" bestFit="1" customWidth="1"/>
    <col min="14" max="14" width="20.7265625" bestFit="1" customWidth="1"/>
    <col min="15" max="15" width="13" bestFit="1" customWidth="1"/>
    <col min="16" max="16" width="11" bestFit="1" customWidth="1"/>
  </cols>
  <sheetData>
    <row r="1" spans="1:17" ht="29" x14ac:dyDescent="0.35">
      <c r="A1" s="30" t="s">
        <v>2218</v>
      </c>
      <c r="B1" s="30" t="s">
        <v>2219</v>
      </c>
      <c r="C1" s="30" t="s">
        <v>2220</v>
      </c>
      <c r="D1" s="30" t="s">
        <v>2221</v>
      </c>
      <c r="E1" s="30" t="s">
        <v>1931</v>
      </c>
      <c r="F1" s="31"/>
      <c r="G1" s="30" t="s">
        <v>2218</v>
      </c>
      <c r="H1" s="30" t="s">
        <v>2219</v>
      </c>
      <c r="I1" s="30" t="s">
        <v>1932</v>
      </c>
      <c r="J1" s="30" t="s">
        <v>2221</v>
      </c>
      <c r="K1" s="30" t="s">
        <v>1931</v>
      </c>
      <c r="M1" s="30" t="s">
        <v>2218</v>
      </c>
      <c r="N1" s="30" t="s">
        <v>2219</v>
      </c>
      <c r="O1" s="30" t="s">
        <v>1933</v>
      </c>
      <c r="P1" s="30" t="s">
        <v>2221</v>
      </c>
      <c r="Q1" s="30" t="s">
        <v>1931</v>
      </c>
    </row>
    <row r="2" spans="1:17" x14ac:dyDescent="0.35">
      <c r="A2" s="32">
        <v>1</v>
      </c>
      <c r="B2" s="32" t="s">
        <v>128</v>
      </c>
      <c r="C2" s="33">
        <f>VLOOKUP(B2,'F KANCA'!$D$4:$H$24,4,FALSE)+(VLOOKUP(B2,'REKAP Unit'!$A$4:$C$24,2,FALSE))+(VLOOKUP(B2,'REKAP KCP'!$A$4:$C$18,2,FALSE))</f>
        <v>16</v>
      </c>
      <c r="D2" s="33">
        <f>(VLOOKUP(B2,'F KANCA'!$D$4:$H$24,5,FALSE))+(VLOOKUP(B2,'REKAP Unit'!$A$4:$C$24,3,FALSE))+(VLOOKUP(B2,'REKAP KCP'!$A$4:$C$18,3,FALSE))</f>
        <v>16</v>
      </c>
      <c r="E2" s="39">
        <f>D2-C2</f>
        <v>0</v>
      </c>
      <c r="F2" s="34"/>
      <c r="G2" s="32">
        <v>1</v>
      </c>
      <c r="H2" s="32" t="s">
        <v>128</v>
      </c>
      <c r="I2" s="33">
        <f>VLOOKUP(H2,'F KANCA'!$D$4:$K$24,7,FALSE)+(VLOOKUP(H2,'REKAP Unit'!$A$4:$F$24,5,FALSE))+(VLOOKUP(H2,'REKAP KCP'!$A$4:$F$18,5,FALSE))</f>
        <v>16</v>
      </c>
      <c r="J2" s="33">
        <f>VLOOKUP(H2,'F KANCA'!$D$4:$K$24,8,FALSE)+(VLOOKUP(H2,'REKAP Unit'!$A$4:$F$24,6,FALSE))+(VLOOKUP(H2,'REKAP KCP'!$A$4:$F$18,6,FALSE))</f>
        <v>16</v>
      </c>
      <c r="K2" s="38">
        <f>J2-I2</f>
        <v>0</v>
      </c>
      <c r="M2" s="32">
        <v>1</v>
      </c>
      <c r="N2" s="32" t="s">
        <v>128</v>
      </c>
      <c r="O2" s="33">
        <f>VLOOKUP(N2,'F KANCA'!$D$4:$N$24,10,FALSE)</f>
        <v>2</v>
      </c>
      <c r="P2" s="33">
        <f>VLOOKUP(N2,'F KANCA'!$D$4:$N$24,11,FALSE)</f>
        <v>1</v>
      </c>
      <c r="Q2" s="38">
        <f t="shared" ref="Q2:Q22" si="0">P2-O2</f>
        <v>-1</v>
      </c>
    </row>
    <row r="3" spans="1:17" x14ac:dyDescent="0.35">
      <c r="A3" s="32">
        <v>2</v>
      </c>
      <c r="B3" s="32" t="s">
        <v>51</v>
      </c>
      <c r="C3" s="33">
        <f>VLOOKUP(B3,'F KANCA'!$D$4:$H$24,4,FALSE)+(VLOOKUP(B3,'REKAP Unit'!$A$4:$C$24,2,FALSE))+(VLOOKUP(B3,'REKAP KCP'!$A$4:$C$18,2,FALSE))</f>
        <v>22</v>
      </c>
      <c r="D3" s="33">
        <f>(VLOOKUP(B3,'F KANCA'!$D$4:$H$24,5,FALSE))+(VLOOKUP(B3,'REKAP Unit'!$A$4:$C$24,3,FALSE))+(VLOOKUP(B3,'REKAP KCP'!$A$4:$C$18,3,FALSE))</f>
        <v>22</v>
      </c>
      <c r="E3" s="38">
        <f t="shared" ref="E3:E22" si="1">D3-C3</f>
        <v>0</v>
      </c>
      <c r="F3" s="34"/>
      <c r="G3" s="32">
        <v>2</v>
      </c>
      <c r="H3" s="32" t="s">
        <v>51</v>
      </c>
      <c r="I3" s="33">
        <f>VLOOKUP(H3,'F KANCA'!$D$4:$K$24,7,FALSE)+(VLOOKUP(H3,'REKAP Unit'!$A$4:$F$24,5,FALSE))+(VLOOKUP(H3,'REKAP KCP'!$A$4:$F$18,5,FALSE))</f>
        <v>22</v>
      </c>
      <c r="J3" s="33">
        <f>VLOOKUP(H3,'F KANCA'!$D$4:$K$24,8,FALSE)+(VLOOKUP(H3,'REKAP Unit'!$A$4:$F$24,6,FALSE))+(VLOOKUP(H3,'REKAP KCP'!$A$4:$F$18,6,FALSE))</f>
        <v>19</v>
      </c>
      <c r="K3" s="39">
        <f t="shared" ref="K3:K22" si="2">J3-I3</f>
        <v>-3</v>
      </c>
      <c r="M3" s="32">
        <v>2</v>
      </c>
      <c r="N3" s="32" t="s">
        <v>51</v>
      </c>
      <c r="O3" s="33">
        <f>VLOOKUP(N3,'F KANCA'!$D$4:$N$24,10,FALSE)</f>
        <v>1</v>
      </c>
      <c r="P3" s="33">
        <f>VLOOKUP(N3,'F KANCA'!$D$4:$N$24,11,FALSE)</f>
        <v>1</v>
      </c>
      <c r="Q3" s="39">
        <f t="shared" si="0"/>
        <v>0</v>
      </c>
    </row>
    <row r="4" spans="1:17" x14ac:dyDescent="0.35">
      <c r="A4" s="32">
        <v>3</v>
      </c>
      <c r="B4" s="32" t="s">
        <v>87</v>
      </c>
      <c r="C4" s="33">
        <f>VLOOKUP(B4,'F KANCA'!$D$4:$H$24,4,FALSE)+(VLOOKUP(B4,'REKAP Unit'!$A$4:$C$24,2,FALSE))+(VLOOKUP(B4,'REKAP KCP'!$A$4:$C$18,2,FALSE))</f>
        <v>29</v>
      </c>
      <c r="D4" s="33">
        <f>(VLOOKUP(B4,'F KANCA'!$D$4:$H$24,5,FALSE))+(VLOOKUP(B4,'REKAP Unit'!$A$4:$C$24,3,FALSE))+(VLOOKUP(B4,'REKAP KCP'!$A$4:$C$18,3,FALSE))</f>
        <v>28</v>
      </c>
      <c r="E4" s="38">
        <f t="shared" si="1"/>
        <v>-1</v>
      </c>
      <c r="F4" s="34"/>
      <c r="G4" s="32">
        <v>3</v>
      </c>
      <c r="H4" s="32" t="s">
        <v>87</v>
      </c>
      <c r="I4" s="33">
        <f>VLOOKUP(H4,'F KANCA'!$D$4:$K$24,7,FALSE)+(VLOOKUP(H4,'REKAP Unit'!$A$4:$F$24,5,FALSE))+(VLOOKUP(H4,'REKAP KCP'!$A$4:$F$18,5,FALSE))</f>
        <v>22</v>
      </c>
      <c r="J4" s="33">
        <f>VLOOKUP(H4,'F KANCA'!$D$4:$K$24,8,FALSE)+(VLOOKUP(H4,'REKAP Unit'!$A$4:$F$24,6,FALSE))+(VLOOKUP(H4,'REKAP KCP'!$A$4:$F$18,6,FALSE))</f>
        <v>22</v>
      </c>
      <c r="K4" s="38">
        <f t="shared" si="2"/>
        <v>0</v>
      </c>
      <c r="M4" s="32">
        <v>3</v>
      </c>
      <c r="N4" s="32" t="s">
        <v>87</v>
      </c>
      <c r="O4" s="33">
        <f>VLOOKUP(N4,'F KANCA'!$D$4:$N$24,10,FALSE)</f>
        <v>2</v>
      </c>
      <c r="P4" s="33">
        <f>VLOOKUP(N4,'F KANCA'!$D$4:$N$24,11,FALSE)</f>
        <v>1</v>
      </c>
      <c r="Q4" s="38">
        <f t="shared" si="0"/>
        <v>-1</v>
      </c>
    </row>
    <row r="5" spans="1:17" x14ac:dyDescent="0.35">
      <c r="A5" s="32">
        <v>4</v>
      </c>
      <c r="B5" s="32" t="s">
        <v>232</v>
      </c>
      <c r="C5" s="33">
        <f>VLOOKUP(B5,'F KANCA'!$D$4:$H$24,4,FALSE)+(VLOOKUP(B5,'REKAP Unit'!$A$4:$C$24,2,FALSE))</f>
        <v>14</v>
      </c>
      <c r="D5" s="33">
        <f>(VLOOKUP(B5,'F KANCA'!$D$4:$H$24,5,FALSE))+(VLOOKUP(B5,'REKAP Unit'!$A$4:$C$24,3,FALSE))</f>
        <v>12</v>
      </c>
      <c r="E5" s="38">
        <f t="shared" si="1"/>
        <v>-2</v>
      </c>
      <c r="F5" s="34"/>
      <c r="G5" s="32">
        <v>4</v>
      </c>
      <c r="H5" s="32" t="s">
        <v>232</v>
      </c>
      <c r="I5" s="33">
        <f>VLOOKUP(H5,'F KANCA'!$D$4:$K$24,7,FALSE)+(VLOOKUP(H5,'REKAP Unit'!$A$4:$F$24,5,FALSE))</f>
        <v>13</v>
      </c>
      <c r="J5" s="33">
        <f>VLOOKUP(H5,'F KANCA'!$D$4:$K$24,8,FALSE)+(VLOOKUP(H5,'REKAP Unit'!$A$4:$F$24,6,FALSE))</f>
        <v>13</v>
      </c>
      <c r="K5" s="39">
        <f t="shared" si="2"/>
        <v>0</v>
      </c>
      <c r="M5" s="32">
        <v>4</v>
      </c>
      <c r="N5" s="32" t="s">
        <v>232</v>
      </c>
      <c r="O5" s="33">
        <f>VLOOKUP(N5,'F KANCA'!$D$4:$N$24,10,FALSE)</f>
        <v>1</v>
      </c>
      <c r="P5" s="33">
        <f>VLOOKUP(N5,'F KANCA'!$D$4:$N$24,11,FALSE)</f>
        <v>0</v>
      </c>
      <c r="Q5" s="39">
        <f t="shared" si="0"/>
        <v>-1</v>
      </c>
    </row>
    <row r="6" spans="1:17" x14ac:dyDescent="0.35">
      <c r="A6" s="32">
        <v>5</v>
      </c>
      <c r="B6" s="32" t="s">
        <v>162</v>
      </c>
      <c r="C6" s="33">
        <f>VLOOKUP(B6,'F KANCA'!$D$4:$H$24,4,FALSE)+(VLOOKUP(B6,'REKAP Unit'!$A$4:$C$24,2,FALSE))+(VLOOKUP(B6,'REKAP KCP'!$A$4:$C$18,2,FALSE))</f>
        <v>18</v>
      </c>
      <c r="D6" s="33">
        <f>(VLOOKUP(B6,'F KANCA'!$D$4:$H$24,5,FALSE))+(VLOOKUP(B6,'REKAP Unit'!$A$4:$C$24,3,FALSE))+(VLOOKUP(B6,'REKAP KCP'!$A$4:$C$18,3,FALSE))</f>
        <v>18</v>
      </c>
      <c r="E6" s="38">
        <f t="shared" si="1"/>
        <v>0</v>
      </c>
      <c r="F6" s="34"/>
      <c r="G6" s="32">
        <v>5</v>
      </c>
      <c r="H6" s="32" t="s">
        <v>162</v>
      </c>
      <c r="I6" s="33">
        <f>VLOOKUP(H6,'F KANCA'!$D$4:$K$24,7,FALSE)+(VLOOKUP(H6,'REKAP Unit'!$A$4:$F$24,5,FALSE))+(VLOOKUP(H6,'REKAP KCP'!$A$4:$F$18,5,FALSE))</f>
        <v>14</v>
      </c>
      <c r="J6" s="33">
        <f>VLOOKUP(H6,'F KANCA'!$D$4:$K$24,8,FALSE)+(VLOOKUP(H6,'REKAP Unit'!$A$4:$F$24,6,FALSE))+(VLOOKUP(H6,'REKAP KCP'!$A$4:$F$18,6,FALSE))</f>
        <v>14</v>
      </c>
      <c r="K6" s="39">
        <f t="shared" si="2"/>
        <v>0</v>
      </c>
      <c r="M6" s="32">
        <v>5</v>
      </c>
      <c r="N6" s="32" t="s">
        <v>162</v>
      </c>
      <c r="O6" s="33">
        <f>VLOOKUP(N6,'F KANCA'!$D$4:$N$24,10,FALSE)</f>
        <v>1</v>
      </c>
      <c r="P6" s="33">
        <f>VLOOKUP(N6,'F KANCA'!$D$4:$N$24,11,FALSE)</f>
        <v>1</v>
      </c>
      <c r="Q6" s="39">
        <f t="shared" si="0"/>
        <v>0</v>
      </c>
    </row>
    <row r="7" spans="1:17" x14ac:dyDescent="0.35">
      <c r="A7" s="32">
        <v>6</v>
      </c>
      <c r="B7" s="32" t="s">
        <v>123</v>
      </c>
      <c r="C7" s="33">
        <f>VLOOKUP(B7,'F KANCA'!$D$4:$H$24,4,FALSE)+(VLOOKUP(B7,'REKAP Unit'!$A$4:$C$24,2,FALSE))+(VLOOKUP(B7,'REKAP KCP'!$A$4:$C$18,2,FALSE))</f>
        <v>21</v>
      </c>
      <c r="D7" s="33">
        <f>(VLOOKUP(B7,'F KANCA'!$D$4:$H$24,5,FALSE))+(VLOOKUP(B7,'REKAP Unit'!$A$4:$C$24,3,FALSE))+(VLOOKUP(B7,'REKAP KCP'!$A$4:$C$18,3,FALSE))</f>
        <v>18</v>
      </c>
      <c r="E7" s="38">
        <f t="shared" si="1"/>
        <v>-3</v>
      </c>
      <c r="F7" s="34"/>
      <c r="G7" s="32">
        <v>6</v>
      </c>
      <c r="H7" s="32" t="s">
        <v>123</v>
      </c>
      <c r="I7" s="33">
        <f>VLOOKUP(H7,'F KANCA'!$D$4:$K$24,7,FALSE)+(VLOOKUP(H7,'REKAP Unit'!$A$4:$F$24,5,FALSE))+(VLOOKUP(H7,'REKAP KCP'!$A$4:$F$18,5,FALSE))</f>
        <v>18</v>
      </c>
      <c r="J7" s="33">
        <f>VLOOKUP(H7,'F KANCA'!$D$4:$K$24,8,FALSE)+(VLOOKUP(H7,'REKAP Unit'!$A$4:$F$24,6,FALSE))+(VLOOKUP(H7,'REKAP KCP'!$A$4:$F$18,6,FALSE))</f>
        <v>17</v>
      </c>
      <c r="K7" s="39">
        <f t="shared" si="2"/>
        <v>-1</v>
      </c>
      <c r="M7" s="32">
        <v>6</v>
      </c>
      <c r="N7" s="32" t="s">
        <v>123</v>
      </c>
      <c r="O7" s="33">
        <f>VLOOKUP(N7,'F KANCA'!$D$4:$N$24,10,FALSE)</f>
        <v>2</v>
      </c>
      <c r="P7" s="33">
        <f>VLOOKUP(N7,'F KANCA'!$D$4:$N$24,11,FALSE)</f>
        <v>2</v>
      </c>
      <c r="Q7" s="39">
        <f t="shared" si="0"/>
        <v>0</v>
      </c>
    </row>
    <row r="8" spans="1:17" x14ac:dyDescent="0.35">
      <c r="A8" s="32">
        <v>7</v>
      </c>
      <c r="B8" s="32" t="s">
        <v>246</v>
      </c>
      <c r="C8" s="33">
        <f>VLOOKUP(B8,'F KANCA'!$D$4:$H$24,4,FALSE)+(VLOOKUP(B8,'REKAP Unit'!$A$4:$C$24,2,FALSE))+(VLOOKUP(B8,'REKAP KK'!$A$4:$C$7,2,FALSE))+(VLOOKUP(B8,'REKAP KCP'!$A$4:$C$18,2,FALSE))</f>
        <v>27</v>
      </c>
      <c r="D8" s="33">
        <f>(VLOOKUP(B8,'F KANCA'!$D$4:$H$24,5,FALSE))+(VLOOKUP(B8,'REKAP Unit'!$A$4:$C$24,3,FALSE))+(VLOOKUP(B8,'REKAP KK'!$A$4:$C$7,3,FALSE))+(VLOOKUP(B8,'REKAP KCP'!$A$4:$C$18,3,FALSE))</f>
        <v>26</v>
      </c>
      <c r="E8" s="39">
        <f t="shared" si="1"/>
        <v>-1</v>
      </c>
      <c r="F8" s="34"/>
      <c r="G8" s="32">
        <v>7</v>
      </c>
      <c r="H8" s="32" t="s">
        <v>246</v>
      </c>
      <c r="I8" s="33">
        <f>VLOOKUP(H8,'F KANCA'!$D$4:$K$24,7,FALSE)+(VLOOKUP(H8,'REKAP Unit'!$A$4:$F$24,5,FALSE))+(VLOOKUP(H8,'REKAP KCP'!$A$4:$F$18,5,FALSE))+VLOOKUP(H8,'REKAP KK'!A4:F7,5,FALSE)</f>
        <v>25</v>
      </c>
      <c r="J8" s="33">
        <f>VLOOKUP(H8,'F KANCA'!$D$4:$K$24,8,FALSE)+(VLOOKUP(H8,'REKAP Unit'!$A$4:$F$24,6,FALSE))+(VLOOKUP(H8,'REKAP KCP'!$A$4:$F$18,6,FALSE))+(VLOOKUP(H8,'REKAP KK'!A4:F7,6,FALSE))</f>
        <v>26</v>
      </c>
      <c r="K8" s="39">
        <f t="shared" si="2"/>
        <v>1</v>
      </c>
      <c r="M8" s="32">
        <v>7</v>
      </c>
      <c r="N8" s="32" t="s">
        <v>246</v>
      </c>
      <c r="O8" s="33">
        <f>VLOOKUP(N8,'F KANCA'!$D$4:$N$24,10,FALSE)</f>
        <v>2</v>
      </c>
      <c r="P8" s="33">
        <f>VLOOKUP(N8,'F KANCA'!$D$4:$N$24,11,FALSE)</f>
        <v>1</v>
      </c>
      <c r="Q8" s="39">
        <f t="shared" si="0"/>
        <v>-1</v>
      </c>
    </row>
    <row r="9" spans="1:17" x14ac:dyDescent="0.35">
      <c r="A9" s="32">
        <v>8</v>
      </c>
      <c r="B9" s="32" t="s">
        <v>57</v>
      </c>
      <c r="C9" s="33">
        <f>VLOOKUP(B9,'F KANCA'!$D$4:$H$24,4,FALSE)+(VLOOKUP(B9,'REKAP Unit'!$A$4:$C$24,2,FALSE))+(VLOOKUP(B9,'REKAP KCP'!$A$4:$C$18,2,FALSE))</f>
        <v>41</v>
      </c>
      <c r="D9" s="33">
        <f>(VLOOKUP(B9,'F KANCA'!$D$4:$H$24,5,FALSE))+(VLOOKUP(B9,'REKAP Unit'!$A$4:$C$24,3,FALSE))+(VLOOKUP(B9,'REKAP KCP'!$A$4:$C$18,3,FALSE))</f>
        <v>40</v>
      </c>
      <c r="E9" s="38">
        <f t="shared" si="1"/>
        <v>-1</v>
      </c>
      <c r="F9" s="34"/>
      <c r="G9" s="32">
        <v>8</v>
      </c>
      <c r="H9" s="32" t="s">
        <v>57</v>
      </c>
      <c r="I9" s="33">
        <f>VLOOKUP(H9,'F KANCA'!$D$4:$K$24,7,FALSE)+(VLOOKUP(H9,'REKAP Unit'!$A$4:$F$24,5,FALSE))+(VLOOKUP(H9,'REKAP KCP'!$A$4:$F$18,5,FALSE))</f>
        <v>24</v>
      </c>
      <c r="J9" s="33">
        <f>VLOOKUP(H9,'F KANCA'!$D$4:$K$24,8,FALSE)+(VLOOKUP(H9,'REKAP Unit'!$A$4:$F$24,6,FALSE))+(VLOOKUP(H9,'REKAP KCP'!$A$4:$F$18,6,FALSE))</f>
        <v>24</v>
      </c>
      <c r="K9" s="38">
        <f t="shared" si="2"/>
        <v>0</v>
      </c>
      <c r="M9" s="32">
        <v>8</v>
      </c>
      <c r="N9" s="32" t="s">
        <v>57</v>
      </c>
      <c r="O9" s="33">
        <f>VLOOKUP(N9,'F KANCA'!$D$4:$N$24,10,FALSE)</f>
        <v>2</v>
      </c>
      <c r="P9" s="33">
        <f>VLOOKUP(N9,'F KANCA'!$D$4:$N$24,11,FALSE)</f>
        <v>2</v>
      </c>
      <c r="Q9" s="38">
        <f t="shared" si="0"/>
        <v>0</v>
      </c>
    </row>
    <row r="10" spans="1:17" x14ac:dyDescent="0.35">
      <c r="A10" s="32">
        <v>9</v>
      </c>
      <c r="B10" s="32" t="s">
        <v>73</v>
      </c>
      <c r="C10" s="33">
        <f>VLOOKUP(B10,'F KANCA'!$D$4:$H$24,4,FALSE)+(VLOOKUP(B10,'REKAP Unit'!$A$4:$C$24,2,FALSE))+(VLOOKUP(B10,'REKAP KK'!$A$4:$C$7,2,FALSE))+(VLOOKUP(B10,'REKAP KCP'!$A$4:$C$18,2,FALSE))</f>
        <v>36</v>
      </c>
      <c r="D10" s="33">
        <f>(VLOOKUP(B10,'F KANCA'!$D$4:$H$24,5,FALSE))+(VLOOKUP(B10,'REKAP Unit'!$A$4:$C$24,3,FALSE))+(VLOOKUP(B10,'REKAP KK'!$A$4:$C$7,3,FALSE))+(VLOOKUP(B10,'REKAP KCP'!$A$4:$C$18,3,FALSE))</f>
        <v>33</v>
      </c>
      <c r="E10" s="39">
        <f t="shared" si="1"/>
        <v>-3</v>
      </c>
      <c r="F10" s="34"/>
      <c r="G10" s="32">
        <v>9</v>
      </c>
      <c r="H10" s="32" t="s">
        <v>73</v>
      </c>
      <c r="I10" s="33">
        <f>VLOOKUP(H10,'F KANCA'!$D$4:$K$24,7,FALSE)+(VLOOKUP(H10,'REKAP Unit'!$A$4:$F$24,5,FALSE))+(VLOOKUP(H10,'REKAP KCP'!$A$4:$F$18,5,FALSE))+(VLOOKUP(H10,'REKAP KK'!A4:F7,5,FALSE))</f>
        <v>31</v>
      </c>
      <c r="J10" s="33">
        <f>VLOOKUP(H10,'F KANCA'!$D$4:$K$24,8,FALSE)+(VLOOKUP(H10,'REKAP Unit'!$A$4:$F$24,6,FALSE))+(VLOOKUP(H10,'REKAP KCP'!$A$4:$F$18,6,FALSE))+(VLOOKUP(H10,'REKAP KK'!A4:F7,6,FALSE))</f>
        <v>31</v>
      </c>
      <c r="K10" s="39">
        <f t="shared" si="2"/>
        <v>0</v>
      </c>
      <c r="M10" s="32">
        <v>9</v>
      </c>
      <c r="N10" s="32" t="s">
        <v>73</v>
      </c>
      <c r="O10" s="33">
        <f>VLOOKUP(N10,'F KANCA'!$D$4:$N$24,10,FALSE)</f>
        <v>6</v>
      </c>
      <c r="P10" s="33">
        <f>VLOOKUP(N10,'F KANCA'!$D$4:$N$24,11,FALSE)</f>
        <v>6</v>
      </c>
      <c r="Q10" s="39">
        <f t="shared" si="0"/>
        <v>0</v>
      </c>
    </row>
    <row r="11" spans="1:17" x14ac:dyDescent="0.35">
      <c r="A11" s="32">
        <v>10</v>
      </c>
      <c r="B11" s="32" t="s">
        <v>315</v>
      </c>
      <c r="C11" s="33">
        <f>VLOOKUP(B11,'F KANCA'!$D$4:$H$24,4,FALSE)+(VLOOKUP(B11,'REKAP Unit'!$A$4:$C$24,2,FALSE))</f>
        <v>11</v>
      </c>
      <c r="D11" s="33">
        <f>(VLOOKUP(B11,'F KANCA'!$D$4:$H$24,5,FALSE))+(VLOOKUP(B11,'REKAP Unit'!$A$4:$C$24,3,FALSE))</f>
        <v>11</v>
      </c>
      <c r="E11" s="38">
        <f t="shared" si="1"/>
        <v>0</v>
      </c>
      <c r="F11" s="34"/>
      <c r="G11" s="32">
        <v>10</v>
      </c>
      <c r="H11" s="32" t="s">
        <v>315</v>
      </c>
      <c r="I11" s="33">
        <f>VLOOKUP(H11,'F KANCA'!$D$4:$K$24,7,FALSE)+(VLOOKUP(H11,'REKAP Unit'!$A$4:$F$24,5,FALSE))</f>
        <v>10</v>
      </c>
      <c r="J11" s="33">
        <f>VLOOKUP(H11,'F KANCA'!$D$4:$K$24,8,FALSE)+(VLOOKUP(H11,'REKAP Unit'!$A$4:$F$24,6,FALSE))</f>
        <v>10</v>
      </c>
      <c r="K11" s="38">
        <f t="shared" si="2"/>
        <v>0</v>
      </c>
      <c r="M11" s="32">
        <v>10</v>
      </c>
      <c r="N11" s="32" t="s">
        <v>315</v>
      </c>
      <c r="O11" s="33">
        <f>VLOOKUP(N11,'F KANCA'!$D$4:$N$24,10,FALSE)</f>
        <v>1</v>
      </c>
      <c r="P11" s="33">
        <f>VLOOKUP(N11,'F KANCA'!$D$4:$N$24,11,FALSE)</f>
        <v>1</v>
      </c>
      <c r="Q11" s="38">
        <f t="shared" si="0"/>
        <v>0</v>
      </c>
    </row>
    <row r="12" spans="1:17" x14ac:dyDescent="0.35">
      <c r="A12" s="32">
        <v>11</v>
      </c>
      <c r="B12" s="32" t="s">
        <v>36</v>
      </c>
      <c r="C12" s="33">
        <f>VLOOKUP(B12,'F KANCA'!$D$4:$H$24,4,FALSE)+(VLOOKUP(B12,'REKAP Unit'!$A$4:$C$24,2,FALSE))+(VLOOKUP(B12,'REKAP KCP'!$A$4:$C$18,2,FALSE))</f>
        <v>22</v>
      </c>
      <c r="D12" s="33">
        <f>(VLOOKUP(B12,'F KANCA'!$D$4:$H$24,5,FALSE))+(VLOOKUP(B12,'REKAP Unit'!$A$4:$C$24,3,FALSE))+(VLOOKUP(B12,'REKAP KCP'!$A$4:$C$18,3,FALSE))</f>
        <v>24</v>
      </c>
      <c r="E12" s="38">
        <f t="shared" si="1"/>
        <v>2</v>
      </c>
      <c r="F12" s="34"/>
      <c r="G12" s="32">
        <v>11</v>
      </c>
      <c r="H12" s="32" t="s">
        <v>36</v>
      </c>
      <c r="I12" s="33">
        <f>VLOOKUP(H12,'F KANCA'!$D$4:$K$24,7,FALSE)+(VLOOKUP(H12,'REKAP Unit'!$A$4:$F$24,5,FALSE))+(VLOOKUP(H12,'REKAP KCP'!$A$4:$F$18,5,FALSE))</f>
        <v>19</v>
      </c>
      <c r="J12" s="33">
        <f>VLOOKUP(H12,'F KANCA'!$D$4:$K$24,8,FALSE)+(VLOOKUP(H12,'REKAP Unit'!$A$4:$F$24,6,FALSE))+(VLOOKUP(H12,'REKAP KCP'!$A$4:$F$18,6,FALSE))</f>
        <v>21</v>
      </c>
      <c r="K12" s="39">
        <f t="shared" si="2"/>
        <v>2</v>
      </c>
      <c r="M12" s="32">
        <v>11</v>
      </c>
      <c r="N12" s="32" t="s">
        <v>36</v>
      </c>
      <c r="O12" s="33">
        <f>VLOOKUP(N12,'F KANCA'!$D$4:$N$24,10,FALSE)</f>
        <v>2</v>
      </c>
      <c r="P12" s="33">
        <f>VLOOKUP(N12,'F KANCA'!$D$4:$N$24,11,FALSE)</f>
        <v>2</v>
      </c>
      <c r="Q12" s="39">
        <f t="shared" si="0"/>
        <v>0</v>
      </c>
    </row>
    <row r="13" spans="1:17" x14ac:dyDescent="0.35">
      <c r="A13" s="32">
        <v>12</v>
      </c>
      <c r="B13" s="32" t="s">
        <v>169</v>
      </c>
      <c r="C13" s="33">
        <f>VLOOKUP(B13,'F KANCA'!$D$4:$H$24,4,FALSE)+(VLOOKUP(B13,'REKAP Unit'!$A$4:$C$24,2,FALSE))</f>
        <v>12</v>
      </c>
      <c r="D13" s="33">
        <f>(VLOOKUP(B13,'F KANCA'!$D$4:$H$24,5,FALSE))+(VLOOKUP(B13,'REKAP Unit'!$A$4:$C$24,3,FALSE))</f>
        <v>12</v>
      </c>
      <c r="E13" s="38">
        <f t="shared" si="1"/>
        <v>0</v>
      </c>
      <c r="F13" s="34"/>
      <c r="G13" s="32">
        <v>12</v>
      </c>
      <c r="H13" s="32" t="s">
        <v>169</v>
      </c>
      <c r="I13" s="33">
        <f>VLOOKUP(H13,'F KANCA'!$D$4:$K$24,7,FALSE)+(VLOOKUP(H13,'REKAP Unit'!$A$4:$F$24,5,FALSE))</f>
        <v>13</v>
      </c>
      <c r="J13" s="33">
        <f>VLOOKUP(H13,'F KANCA'!$D$4:$K$24,8,FALSE)+(VLOOKUP(H13,'REKAP Unit'!$A$4:$F$24,6,FALSE))</f>
        <v>13</v>
      </c>
      <c r="K13" s="38">
        <f t="shared" si="2"/>
        <v>0</v>
      </c>
      <c r="M13" s="32">
        <v>12</v>
      </c>
      <c r="N13" s="32" t="s">
        <v>169</v>
      </c>
      <c r="O13" s="33">
        <f>VLOOKUP(N13,'F KANCA'!$D$4:$N$24,10,FALSE)</f>
        <v>2</v>
      </c>
      <c r="P13" s="33">
        <f>VLOOKUP(N13,'F KANCA'!$D$4:$N$24,11,FALSE)</f>
        <v>1</v>
      </c>
      <c r="Q13" s="38">
        <f t="shared" si="0"/>
        <v>-1</v>
      </c>
    </row>
    <row r="14" spans="1:17" x14ac:dyDescent="0.35">
      <c r="A14" s="32">
        <v>13</v>
      </c>
      <c r="B14" s="32" t="s">
        <v>322</v>
      </c>
      <c r="C14" s="33">
        <f>VLOOKUP(B14,'F KANCA'!$D$4:$H$24,4,FALSE)+(VLOOKUP(B14,'REKAP Unit'!$A$4:$C$24,2,FALSE))+(VLOOKUP(B14,'REKAP KCP'!$A$4:$C$18,2,FALSE))</f>
        <v>20</v>
      </c>
      <c r="D14" s="33">
        <f>(VLOOKUP(B14,'F KANCA'!$D$4:$H$24,5,FALSE))+(VLOOKUP(B14,'REKAP Unit'!$A$4:$C$24,3,FALSE))+(VLOOKUP(B14,'REKAP KCP'!$A$4:$C$18,3,FALSE))</f>
        <v>20</v>
      </c>
      <c r="E14" s="38">
        <f t="shared" si="1"/>
        <v>0</v>
      </c>
      <c r="F14" s="34"/>
      <c r="G14" s="32">
        <v>13</v>
      </c>
      <c r="H14" s="32" t="s">
        <v>322</v>
      </c>
      <c r="I14" s="33">
        <f>VLOOKUP(H14,'F KANCA'!$D$4:$K$24,7,FALSE)+(VLOOKUP(H14,'REKAP Unit'!$A$4:$F$24,5,FALSE))+(VLOOKUP(H14,'REKAP KCP'!$A$4:$F$18,5,FALSE))</f>
        <v>15</v>
      </c>
      <c r="J14" s="33">
        <f>VLOOKUP(H14,'F KANCA'!$D$4:$K$24,8,FALSE)+(VLOOKUP(H14,'REKAP Unit'!$A$4:$F$24,6,FALSE))+(VLOOKUP(H14,'REKAP KCP'!$A$4:$F$18,6,FALSE))</f>
        <v>15</v>
      </c>
      <c r="K14" s="38">
        <f t="shared" si="2"/>
        <v>0</v>
      </c>
      <c r="M14" s="32">
        <v>13</v>
      </c>
      <c r="N14" s="32" t="s">
        <v>322</v>
      </c>
      <c r="O14" s="33">
        <f>VLOOKUP(N14,'F KANCA'!$D$4:$N$24,10,FALSE)</f>
        <v>1</v>
      </c>
      <c r="P14" s="33">
        <f>VLOOKUP(N14,'F KANCA'!$D$4:$N$24,11,FALSE)</f>
        <v>1</v>
      </c>
      <c r="Q14" s="38">
        <f t="shared" si="0"/>
        <v>0</v>
      </c>
    </row>
    <row r="15" spans="1:17" x14ac:dyDescent="0.35">
      <c r="A15" s="32">
        <v>14</v>
      </c>
      <c r="B15" s="32" t="s">
        <v>143</v>
      </c>
      <c r="C15" s="33">
        <f>VLOOKUP(B15,'F KANCA'!$D$4:$H$24,4,FALSE)+(VLOOKUP(B15,'REKAP Unit'!$A$4:$C$24,2,FALSE))</f>
        <v>27</v>
      </c>
      <c r="D15" s="33">
        <f>(VLOOKUP(B15,'F KANCA'!$D$4:$H$24,5,FALSE))+(VLOOKUP(B15,'REKAP Unit'!$A$4:$C$24,3,FALSE))</f>
        <v>27</v>
      </c>
      <c r="E15" s="38">
        <f t="shared" si="1"/>
        <v>0</v>
      </c>
      <c r="F15" s="34"/>
      <c r="G15" s="32">
        <v>14</v>
      </c>
      <c r="H15" s="32" t="s">
        <v>143</v>
      </c>
      <c r="I15" s="33">
        <f>VLOOKUP(H15,'F KANCA'!$D$4:$K$24,7,FALSE)+(VLOOKUP(H15,'REKAP Unit'!$A$4:$F$24,5,FALSE))</f>
        <v>19</v>
      </c>
      <c r="J15" s="33">
        <f>VLOOKUP(H15,'F KANCA'!$D$4:$K$24,8,FALSE)+(VLOOKUP(H15,'REKAP Unit'!$A$4:$F$24,6,FALSE))</f>
        <v>18</v>
      </c>
      <c r="K15" s="39">
        <f t="shared" si="2"/>
        <v>-1</v>
      </c>
      <c r="M15" s="32">
        <v>14</v>
      </c>
      <c r="N15" s="32" t="s">
        <v>143</v>
      </c>
      <c r="O15" s="33">
        <f>VLOOKUP(N15,'F KANCA'!$D$4:$N$24,10,FALSE)</f>
        <v>2</v>
      </c>
      <c r="P15" s="33">
        <f>VLOOKUP(N15,'F KANCA'!$D$4:$N$24,11,FALSE)</f>
        <v>1</v>
      </c>
      <c r="Q15" s="39">
        <f t="shared" si="0"/>
        <v>-1</v>
      </c>
    </row>
    <row r="16" spans="1:17" x14ac:dyDescent="0.35">
      <c r="A16" s="32">
        <v>15</v>
      </c>
      <c r="B16" s="32" t="s">
        <v>78</v>
      </c>
      <c r="C16" s="33">
        <f>VLOOKUP(B16,'F KANCA'!$D$4:$H$24,4,FALSE)+(VLOOKUP(B16,'REKAP Unit'!$A$4:$C$24,2,FALSE))+(VLOOKUP(B16,'REKAP KCP'!$A$4:$C$18,2,FALSE))</f>
        <v>17</v>
      </c>
      <c r="D16" s="33">
        <f>(VLOOKUP(B16,'F KANCA'!$D$4:$H$24,5,FALSE))+(VLOOKUP(B16,'REKAP Unit'!$A$4:$C$24,3,FALSE))+(VLOOKUP(B16,'REKAP KCP'!$A$4:$C$18,3,FALSE))</f>
        <v>14</v>
      </c>
      <c r="E16" s="38">
        <f t="shared" si="1"/>
        <v>-3</v>
      </c>
      <c r="F16" s="34"/>
      <c r="G16" s="32">
        <v>15</v>
      </c>
      <c r="H16" s="32" t="s">
        <v>78</v>
      </c>
      <c r="I16" s="33">
        <f>VLOOKUP(H16,'F KANCA'!$D$4:$K$24,7,FALSE)+(VLOOKUP(H16,'REKAP Unit'!$A$4:$F$24,5,FALSE))+(VLOOKUP(H16,'REKAP KCP'!$A$4:$F$18,5,FALSE))</f>
        <v>16</v>
      </c>
      <c r="J16" s="33">
        <f>VLOOKUP(H16,'F KANCA'!$D$4:$K$24,8,FALSE)+(VLOOKUP(H16,'REKAP Unit'!$A$4:$F$24,6,FALSE))+(VLOOKUP(H16,'REKAP KCP'!$A$4:$F$18,6,FALSE))</f>
        <v>17</v>
      </c>
      <c r="K16" s="38">
        <f t="shared" si="2"/>
        <v>1</v>
      </c>
      <c r="M16" s="32">
        <v>15</v>
      </c>
      <c r="N16" s="32" t="s">
        <v>78</v>
      </c>
      <c r="O16" s="33">
        <f>VLOOKUP(N16,'F KANCA'!$D$4:$N$24,10,FALSE)</f>
        <v>1</v>
      </c>
      <c r="P16" s="33">
        <f>VLOOKUP(N16,'F KANCA'!$D$4:$N$24,11,FALSE)</f>
        <v>1</v>
      </c>
      <c r="Q16" s="38">
        <f t="shared" si="0"/>
        <v>0</v>
      </c>
    </row>
    <row r="17" spans="1:17" x14ac:dyDescent="0.35">
      <c r="A17" s="32">
        <v>16</v>
      </c>
      <c r="B17" s="32" t="s">
        <v>148</v>
      </c>
      <c r="C17" s="33">
        <f>VLOOKUP(B17,'F KANCA'!$D$4:$H$24,4,FALSE)+(VLOOKUP(B17,'REKAP Unit'!$A$4:$C$24,2,FALSE))+(VLOOKUP(B17,'REKAP KK'!$A$4:$C$7,2,FALSE))+(VLOOKUP(B17,'REKAP KCP'!$A$4:$C$18,2,FALSE))</f>
        <v>23</v>
      </c>
      <c r="D17" s="33">
        <f>(VLOOKUP(B17,'F KANCA'!$D$4:$H$24,5,FALSE))+(VLOOKUP(B17,'REKAP Unit'!$A$4:$C$24,3,FALSE))+(VLOOKUP(B17,'REKAP KCP'!$A$4:$C$18,3,FALSE))+(VLOOKUP(B17,'REKAP KK'!$A$4:$C$7,3,FALSE))</f>
        <v>24</v>
      </c>
      <c r="E17" s="39">
        <f t="shared" si="1"/>
        <v>1</v>
      </c>
      <c r="F17" s="34"/>
      <c r="G17" s="32">
        <v>16</v>
      </c>
      <c r="H17" s="32" t="s">
        <v>148</v>
      </c>
      <c r="I17" s="33">
        <f>VLOOKUP(H17,'F KANCA'!$D$4:$K$24,7,FALSE)+(VLOOKUP(H17,'REKAP Unit'!$A$4:$F$24,5,FALSE))+(VLOOKUP(H17,'REKAP KCP'!$A$4:$F$18,5,FALSE))+(VLOOKUP(H17,'REKAP KK'!A4:F7,5,FALSE))</f>
        <v>20</v>
      </c>
      <c r="J17" s="33">
        <f>VLOOKUP(H17,'F KANCA'!$D$4:$K$24,8,FALSE)+(VLOOKUP(H17,'REKAP Unit'!$A$4:$F$24,6,FALSE))+(VLOOKUP(H17,'REKAP KCP'!$A$4:$F$18,6,FALSE))+(VLOOKUP(H17,'REKAP KK'!A4:F7,6,FALSE))</f>
        <v>20</v>
      </c>
      <c r="K17" s="38">
        <f t="shared" si="2"/>
        <v>0</v>
      </c>
      <c r="M17" s="32">
        <v>16</v>
      </c>
      <c r="N17" s="32" t="s">
        <v>148</v>
      </c>
      <c r="O17" s="33">
        <f>VLOOKUP(N17,'F KANCA'!$D$4:$N$24,10,FALSE)</f>
        <v>2</v>
      </c>
      <c r="P17" s="33">
        <f>VLOOKUP(N17,'F KANCA'!$D$4:$N$24,11,FALSE)</f>
        <v>1</v>
      </c>
      <c r="Q17" s="38">
        <f t="shared" si="0"/>
        <v>-1</v>
      </c>
    </row>
    <row r="18" spans="1:17" x14ac:dyDescent="0.35">
      <c r="A18" s="32">
        <v>17</v>
      </c>
      <c r="B18" s="32" t="s">
        <v>22</v>
      </c>
      <c r="C18" s="33">
        <f>VLOOKUP(B18,'F KANCA'!$D$4:$H$24,4,FALSE)+(VLOOKUP(B18,'REKAP Unit'!$A$4:$C$24,2,FALSE))+(VLOOKUP(B18,'REKAP KCP'!$A$4:$C$18,2,FALSE))</f>
        <v>37</v>
      </c>
      <c r="D18" s="33">
        <f>(VLOOKUP(B18,'F KANCA'!$D$4:$H$24,5,FALSE))+(VLOOKUP(B18,'REKAP Unit'!$A$4:$C$24,3,FALSE))+(VLOOKUP(B18,'REKAP KCP'!$A$4:$C$18,3,FALSE))</f>
        <v>37</v>
      </c>
      <c r="E18" s="38">
        <f t="shared" si="1"/>
        <v>0</v>
      </c>
      <c r="F18" s="34"/>
      <c r="G18" s="32">
        <v>17</v>
      </c>
      <c r="H18" s="32" t="s">
        <v>22</v>
      </c>
      <c r="I18" s="33">
        <f>VLOOKUP(H18,'F KANCA'!$D$4:$K$24,7,FALSE)+(VLOOKUP(H18,'REKAP Unit'!$A$4:$F$24,5,FALSE))+(VLOOKUP(H18,'REKAP KCP'!$A$4:$F$18,5,FALSE))</f>
        <v>30</v>
      </c>
      <c r="J18" s="33">
        <f>VLOOKUP(H18,'F KANCA'!$D$4:$K$24,8,FALSE)+(VLOOKUP(H18,'REKAP Unit'!$A$4:$F$24,6,FALSE))+(VLOOKUP(H18,'REKAP KCP'!$A$4:$F$18,6,FALSE))</f>
        <v>30</v>
      </c>
      <c r="K18" s="39">
        <f t="shared" si="2"/>
        <v>0</v>
      </c>
      <c r="M18" s="32">
        <v>17</v>
      </c>
      <c r="N18" s="32" t="s">
        <v>22</v>
      </c>
      <c r="O18" s="33">
        <f>VLOOKUP(N18,'F KANCA'!$D$4:$N$24,10,FALSE)</f>
        <v>2</v>
      </c>
      <c r="P18" s="33">
        <f>VLOOKUP(N18,'F KANCA'!$D$4:$N$24,11,FALSE)</f>
        <v>1</v>
      </c>
      <c r="Q18" s="39">
        <f t="shared" si="0"/>
        <v>-1</v>
      </c>
    </row>
    <row r="19" spans="1:17" x14ac:dyDescent="0.35">
      <c r="A19" s="32">
        <v>18</v>
      </c>
      <c r="B19" s="32" t="s">
        <v>235</v>
      </c>
      <c r="C19" s="33">
        <f>VLOOKUP(B19,'F KANCA'!$D$4:$H$24,4,FALSE)+(VLOOKUP(B19,'REKAP Unit'!$A$4:$C$24,2,FALSE))+(VLOOKUP(B19,'REKAP KK'!$A$4:$C$7,2,FALSE))</f>
        <v>23</v>
      </c>
      <c r="D19" s="33">
        <f>(VLOOKUP(B19,'F KANCA'!$D$4:$H$24,5,FALSE))+(VLOOKUP(B19,'REKAP Unit'!$A$4:$C$24,3,FALSE))+(VLOOKUP(B19,'REKAP KK'!$A$4:$C$7,3,FALSE))+(VLOOKUP(B19,'REKAP KCP'!$A$4:$C$18,3,FALSE))</f>
        <v>22</v>
      </c>
      <c r="E19" s="39">
        <f t="shared" si="1"/>
        <v>-1</v>
      </c>
      <c r="F19" s="34"/>
      <c r="G19" s="32">
        <v>18</v>
      </c>
      <c r="H19" s="32" t="s">
        <v>235</v>
      </c>
      <c r="I19" s="33">
        <f>VLOOKUP(H19,'F KANCA'!$D$4:$K$24,7,FALSE)+(VLOOKUP(H19,'REKAP Unit'!$A$4:$F$24,5,FALSE))+(VLOOKUP(H19,'REKAP KCP'!$A$4:$F$18,5,FALSE))+(VLOOKUP(H19,'REKAP KK'!A4:F7,5,FALSE))</f>
        <v>20</v>
      </c>
      <c r="J19" s="33">
        <f>VLOOKUP(H19,'F KANCA'!$D$4:$K$24,8,FALSE)+(VLOOKUP(H19,'REKAP Unit'!$A$4:$F$24,6,FALSE))+(VLOOKUP(H19,'REKAP KCP'!$A$4:$F$18,6,FALSE))+(VLOOKUP(H19,'REKAP KK'!A4:F7,6,FALSE))</f>
        <v>18</v>
      </c>
      <c r="K19" s="39">
        <f t="shared" si="2"/>
        <v>-2</v>
      </c>
      <c r="M19" s="32">
        <v>18</v>
      </c>
      <c r="N19" s="32" t="s">
        <v>235</v>
      </c>
      <c r="O19" s="33">
        <f>VLOOKUP(N19,'F KANCA'!$D$4:$N$24,10,FALSE)</f>
        <v>4</v>
      </c>
      <c r="P19" s="33">
        <f>VLOOKUP(N19,'F KANCA'!$D$4:$N$24,11,FALSE)</f>
        <v>4</v>
      </c>
      <c r="Q19" s="39">
        <f t="shared" si="0"/>
        <v>0</v>
      </c>
    </row>
    <row r="20" spans="1:17" x14ac:dyDescent="0.35">
      <c r="A20" s="32">
        <v>19</v>
      </c>
      <c r="B20" s="32" t="s">
        <v>62</v>
      </c>
      <c r="C20" s="33">
        <f>VLOOKUP(B20,'F KANCA'!$D$4:$H$24,4,FALSE)+(VLOOKUP(B20,'REKAP Unit'!$A$4:$C$24,2,FALSE))+(VLOOKUP(B20,'REKAP KCP'!$A$4:$C$18,2,FALSE))</f>
        <v>36</v>
      </c>
      <c r="D20" s="33">
        <f>(VLOOKUP(B20,'F KANCA'!$D$4:$H$24,5,FALSE))+(VLOOKUP(B20,'REKAP Unit'!$A$4:$C$24,3,FALSE))+(VLOOKUP(B20,'REKAP KCP'!$A$4:$C$18,3,FALSE))</f>
        <v>34</v>
      </c>
      <c r="E20" s="39">
        <f t="shared" si="1"/>
        <v>-2</v>
      </c>
      <c r="F20" s="34"/>
      <c r="G20" s="32">
        <v>19</v>
      </c>
      <c r="H20" s="32" t="s">
        <v>62</v>
      </c>
      <c r="I20" s="33">
        <f>VLOOKUP(H20,'F KANCA'!$D$4:$K$24,7,FALSE)+(VLOOKUP(H20,'REKAP Unit'!$A$4:$F$24,5,FALSE))+(VLOOKUP(H20,'REKAP KCP'!$A$4:$F$18,5,FALSE))</f>
        <v>30</v>
      </c>
      <c r="J20" s="33">
        <f>VLOOKUP(H20,'F KANCA'!$D$4:$K$24,8,FALSE)+(VLOOKUP(H20,'REKAP Unit'!$A$4:$F$24,6,FALSE))+(VLOOKUP(H20,'REKAP KCP'!$A$4:$F$18,6,FALSE))</f>
        <v>30</v>
      </c>
      <c r="K20" s="39">
        <f t="shared" si="2"/>
        <v>0</v>
      </c>
      <c r="M20" s="32">
        <v>19</v>
      </c>
      <c r="N20" s="32" t="s">
        <v>62</v>
      </c>
      <c r="O20" s="33">
        <f>VLOOKUP(N20,'F KANCA'!$D$4:$N$24,10,FALSE)</f>
        <v>2</v>
      </c>
      <c r="P20" s="33">
        <f>VLOOKUP(N20,'F KANCA'!$D$4:$N$24,11,FALSE)</f>
        <v>1</v>
      </c>
      <c r="Q20" s="39">
        <f t="shared" si="0"/>
        <v>-1</v>
      </c>
    </row>
    <row r="21" spans="1:17" x14ac:dyDescent="0.35">
      <c r="A21" s="32">
        <v>20</v>
      </c>
      <c r="B21" s="32" t="s">
        <v>354</v>
      </c>
      <c r="C21" s="33">
        <f>VLOOKUP(B21,'F KANCA'!$D$4:$H$24,4,FALSE)+(VLOOKUP(B21,'REKAP Unit'!$A$4:$C$24,2,FALSE))</f>
        <v>17</v>
      </c>
      <c r="D21" s="33">
        <f>(VLOOKUP(B21,'F KANCA'!$D$4:$H$24,5,FALSE))+(VLOOKUP(B21,'REKAP Unit'!$A$4:$C$24,3,FALSE))</f>
        <v>16</v>
      </c>
      <c r="E21" s="38">
        <f t="shared" si="1"/>
        <v>-1</v>
      </c>
      <c r="F21" s="34"/>
      <c r="G21" s="32">
        <v>20</v>
      </c>
      <c r="H21" s="32" t="s">
        <v>354</v>
      </c>
      <c r="I21" s="33">
        <f>VLOOKUP(H21,'F KANCA'!$D$4:$K$24,7,FALSE)+(VLOOKUP(H21,'REKAP Unit'!$A$4:$F$24,5,FALSE))</f>
        <v>14</v>
      </c>
      <c r="J21" s="33">
        <f>VLOOKUP(H21,'F KANCA'!$D$4:$K$24,8,FALSE)+(VLOOKUP(H21,'REKAP Unit'!$A$4:$F$24,6,FALSE))</f>
        <v>14</v>
      </c>
      <c r="K21" s="38">
        <f t="shared" si="2"/>
        <v>0</v>
      </c>
      <c r="M21" s="32">
        <v>20</v>
      </c>
      <c r="N21" s="32" t="s">
        <v>354</v>
      </c>
      <c r="O21" s="33">
        <f>VLOOKUP(N21,'F KANCA'!$D$4:$N$24,10,FALSE)</f>
        <v>1</v>
      </c>
      <c r="P21" s="33">
        <f>VLOOKUP(N21,'F KANCA'!$D$4:$N$24,11,FALSE)</f>
        <v>1</v>
      </c>
      <c r="Q21" s="38">
        <f t="shared" si="0"/>
        <v>0</v>
      </c>
    </row>
    <row r="22" spans="1:17" x14ac:dyDescent="0.35">
      <c r="A22" s="35">
        <v>21</v>
      </c>
      <c r="B22" s="35" t="s">
        <v>157</v>
      </c>
      <c r="C22" s="33">
        <f>VLOOKUP(B22,'F KANCA'!$D$4:$H$24,4,FALSE)+(VLOOKUP(B22,'REKAP Unit'!$A$4:$C$24,2,FALSE))</f>
        <v>22</v>
      </c>
      <c r="D22" s="33">
        <f>(VLOOKUP(B22,'F KANCA'!$D$4:$H$24,5,FALSE))+(VLOOKUP(B22,'REKAP Unit'!$A$4:$C$24,3,FALSE))</f>
        <v>13</v>
      </c>
      <c r="E22" s="38">
        <f t="shared" si="1"/>
        <v>-9</v>
      </c>
      <c r="F22" s="34"/>
      <c r="G22" s="35">
        <v>21</v>
      </c>
      <c r="H22" s="35" t="s">
        <v>157</v>
      </c>
      <c r="I22" s="33">
        <f>VLOOKUP(H22,'F KANCA'!$D$4:$K$24,7,FALSE)+(VLOOKUP(H22,'REKAP Unit'!$A$4:$F$24,5,FALSE))</f>
        <v>12</v>
      </c>
      <c r="J22" s="33">
        <f>VLOOKUP(H22,'F KANCA'!$D$4:$K$24,8,FALSE)+(VLOOKUP(H22,'REKAP Unit'!$A$4:$F$24,6,FALSE))</f>
        <v>12</v>
      </c>
      <c r="K22" s="38">
        <f t="shared" si="2"/>
        <v>0</v>
      </c>
      <c r="M22" s="35">
        <v>21</v>
      </c>
      <c r="N22" s="35" t="s">
        <v>157</v>
      </c>
      <c r="O22" s="33">
        <f>VLOOKUP(N22,'F KANCA'!$D$4:$N$24,10,FALSE)</f>
        <v>1</v>
      </c>
      <c r="P22" s="33">
        <f>VLOOKUP(N22,'F KANCA'!$D$4:$N$24,11,FALSE)</f>
        <v>1</v>
      </c>
      <c r="Q22" s="38">
        <f t="shared" si="0"/>
        <v>0</v>
      </c>
    </row>
    <row r="23" spans="1:17" x14ac:dyDescent="0.35">
      <c r="A23" s="41" t="s">
        <v>2222</v>
      </c>
      <c r="B23" s="41"/>
      <c r="C23" s="36">
        <f>SUM(C2:C22)</f>
        <v>491</v>
      </c>
      <c r="D23" s="36">
        <f>SUM(D2:D22)</f>
        <v>467</v>
      </c>
      <c r="E23" s="36">
        <f>SUM(E2:E22)</f>
        <v>-24</v>
      </c>
      <c r="F23" s="37"/>
      <c r="G23" s="41" t="s">
        <v>2222</v>
      </c>
      <c r="H23" s="41"/>
      <c r="I23" s="36">
        <f>SUM(I2:I22)</f>
        <v>403</v>
      </c>
      <c r="J23" s="36">
        <f>SUM(J2:J22)</f>
        <v>400</v>
      </c>
      <c r="K23" s="36">
        <f>SUM(K2:K22)</f>
        <v>-3</v>
      </c>
      <c r="M23" s="41" t="s">
        <v>2222</v>
      </c>
      <c r="N23" s="41"/>
      <c r="O23" s="36">
        <f>SUM(O2:O22)</f>
        <v>40</v>
      </c>
      <c r="P23" s="36">
        <f>SUM(P2:P22)</f>
        <v>31</v>
      </c>
      <c r="Q23" s="36">
        <f>SUM(Q2:Q22)</f>
        <v>-9</v>
      </c>
    </row>
  </sheetData>
  <autoFilter ref="M1:Q22" xr:uid="{4161D575-C43F-4573-82EE-35C204D518F6}">
    <sortState xmlns:xlrd2="http://schemas.microsoft.com/office/spreadsheetml/2017/richdata2" ref="M2:Q22">
      <sortCondition ref="M1:M22"/>
    </sortState>
  </autoFilter>
  <mergeCells count="3">
    <mergeCell ref="A23:B23"/>
    <mergeCell ref="G23:H23"/>
    <mergeCell ref="M23:N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7934A-FDF4-456A-88F0-E26CC6F176C3}">
  <dimension ref="A1:O25"/>
  <sheetViews>
    <sheetView showRuler="0" zoomScale="55" zoomScaleNormal="55" workbookViewId="0">
      <selection activeCell="I3" sqref="I3:I9"/>
    </sheetView>
  </sheetViews>
  <sheetFormatPr defaultColWidth="8.81640625" defaultRowHeight="14.5" x14ac:dyDescent="0.35"/>
  <cols>
    <col min="1" max="1" width="4" style="2" customWidth="1"/>
    <col min="2" max="2" width="20" style="2" customWidth="1"/>
    <col min="3" max="3" width="21.6328125" style="2" bestFit="1" customWidth="1"/>
    <col min="4" max="4" width="22.7265625" style="2" bestFit="1" customWidth="1"/>
    <col min="5" max="5" width="20.90625" style="2" bestFit="1" customWidth="1"/>
    <col min="6" max="6" width="16.453125" style="2" bestFit="1" customWidth="1"/>
    <col min="7" max="7" width="14.90625" style="3" customWidth="1"/>
    <col min="8" max="8" width="14.6328125" style="3" customWidth="1"/>
    <col min="9" max="9" width="10.54296875" style="3" customWidth="1"/>
    <col min="10" max="10" width="10.90625" style="3" customWidth="1"/>
    <col min="11" max="11" width="12.1796875" style="3" customWidth="1"/>
    <col min="12" max="12" width="10.7265625" style="3" customWidth="1"/>
    <col min="13" max="13" width="11.453125" style="2" bestFit="1" customWidth="1"/>
    <col min="14" max="15" width="9.1796875" style="2" customWidth="1"/>
    <col min="16" max="256" width="8.81640625" style="2"/>
    <col min="257" max="257" width="4" style="2" customWidth="1"/>
    <col min="258" max="258" width="20" style="2" customWidth="1"/>
    <col min="259" max="259" width="21.6328125" style="2" bestFit="1" customWidth="1"/>
    <col min="260" max="260" width="19.1796875" style="2" bestFit="1" customWidth="1"/>
    <col min="261" max="261" width="20.90625" style="2" bestFit="1" customWidth="1"/>
    <col min="262" max="262" width="16.453125" style="2" bestFit="1" customWidth="1"/>
    <col min="263" max="263" width="14.90625" style="2" customWidth="1"/>
    <col min="264" max="264" width="14.6328125" style="2" customWidth="1"/>
    <col min="265" max="265" width="10.54296875" style="2" customWidth="1"/>
    <col min="266" max="266" width="10.90625" style="2" customWidth="1"/>
    <col min="267" max="267" width="12.1796875" style="2" customWidth="1"/>
    <col min="268" max="268" width="10.7265625" style="2" customWidth="1"/>
    <col min="269" max="269" width="11.453125" style="2" bestFit="1" customWidth="1"/>
    <col min="270" max="271" width="9.1796875" style="2" customWidth="1"/>
    <col min="272" max="512" width="8.81640625" style="2"/>
    <col min="513" max="513" width="4" style="2" customWidth="1"/>
    <col min="514" max="514" width="20" style="2" customWidth="1"/>
    <col min="515" max="515" width="21.6328125" style="2" bestFit="1" customWidth="1"/>
    <col min="516" max="516" width="19.1796875" style="2" bestFit="1" customWidth="1"/>
    <col min="517" max="517" width="20.90625" style="2" bestFit="1" customWidth="1"/>
    <col min="518" max="518" width="16.453125" style="2" bestFit="1" customWidth="1"/>
    <col min="519" max="519" width="14.90625" style="2" customWidth="1"/>
    <col min="520" max="520" width="14.6328125" style="2" customWidth="1"/>
    <col min="521" max="521" width="10.54296875" style="2" customWidth="1"/>
    <col min="522" max="522" width="10.90625" style="2" customWidth="1"/>
    <col min="523" max="523" width="12.1796875" style="2" customWidth="1"/>
    <col min="524" max="524" width="10.7265625" style="2" customWidth="1"/>
    <col min="525" max="525" width="11.453125" style="2" bestFit="1" customWidth="1"/>
    <col min="526" max="527" width="9.1796875" style="2" customWidth="1"/>
    <col min="528" max="768" width="8.81640625" style="2"/>
    <col min="769" max="769" width="4" style="2" customWidth="1"/>
    <col min="770" max="770" width="20" style="2" customWidth="1"/>
    <col min="771" max="771" width="21.6328125" style="2" bestFit="1" customWidth="1"/>
    <col min="772" max="772" width="19.1796875" style="2" bestFit="1" customWidth="1"/>
    <col min="773" max="773" width="20.90625" style="2" bestFit="1" customWidth="1"/>
    <col min="774" max="774" width="16.453125" style="2" bestFit="1" customWidth="1"/>
    <col min="775" max="775" width="14.90625" style="2" customWidth="1"/>
    <col min="776" max="776" width="14.6328125" style="2" customWidth="1"/>
    <col min="777" max="777" width="10.54296875" style="2" customWidth="1"/>
    <col min="778" max="778" width="10.90625" style="2" customWidth="1"/>
    <col min="779" max="779" width="12.1796875" style="2" customWidth="1"/>
    <col min="780" max="780" width="10.7265625" style="2" customWidth="1"/>
    <col min="781" max="781" width="11.453125" style="2" bestFit="1" customWidth="1"/>
    <col min="782" max="783" width="9.1796875" style="2" customWidth="1"/>
    <col min="784" max="1024" width="8.81640625" style="2"/>
    <col min="1025" max="1025" width="4" style="2" customWidth="1"/>
    <col min="1026" max="1026" width="20" style="2" customWidth="1"/>
    <col min="1027" max="1027" width="21.6328125" style="2" bestFit="1" customWidth="1"/>
    <col min="1028" max="1028" width="19.1796875" style="2" bestFit="1" customWidth="1"/>
    <col min="1029" max="1029" width="20.90625" style="2" bestFit="1" customWidth="1"/>
    <col min="1030" max="1030" width="16.453125" style="2" bestFit="1" customWidth="1"/>
    <col min="1031" max="1031" width="14.90625" style="2" customWidth="1"/>
    <col min="1032" max="1032" width="14.6328125" style="2" customWidth="1"/>
    <col min="1033" max="1033" width="10.54296875" style="2" customWidth="1"/>
    <col min="1034" max="1034" width="10.90625" style="2" customWidth="1"/>
    <col min="1035" max="1035" width="12.1796875" style="2" customWidth="1"/>
    <col min="1036" max="1036" width="10.7265625" style="2" customWidth="1"/>
    <col min="1037" max="1037" width="11.453125" style="2" bestFit="1" customWidth="1"/>
    <col min="1038" max="1039" width="9.1796875" style="2" customWidth="1"/>
    <col min="1040" max="1280" width="8.81640625" style="2"/>
    <col min="1281" max="1281" width="4" style="2" customWidth="1"/>
    <col min="1282" max="1282" width="20" style="2" customWidth="1"/>
    <col min="1283" max="1283" width="21.6328125" style="2" bestFit="1" customWidth="1"/>
    <col min="1284" max="1284" width="19.1796875" style="2" bestFit="1" customWidth="1"/>
    <col min="1285" max="1285" width="20.90625" style="2" bestFit="1" customWidth="1"/>
    <col min="1286" max="1286" width="16.453125" style="2" bestFit="1" customWidth="1"/>
    <col min="1287" max="1287" width="14.90625" style="2" customWidth="1"/>
    <col min="1288" max="1288" width="14.6328125" style="2" customWidth="1"/>
    <col min="1289" max="1289" width="10.54296875" style="2" customWidth="1"/>
    <col min="1290" max="1290" width="10.90625" style="2" customWidth="1"/>
    <col min="1291" max="1291" width="12.1796875" style="2" customWidth="1"/>
    <col min="1292" max="1292" width="10.7265625" style="2" customWidth="1"/>
    <col min="1293" max="1293" width="11.453125" style="2" bestFit="1" customWidth="1"/>
    <col min="1294" max="1295" width="9.1796875" style="2" customWidth="1"/>
    <col min="1296" max="1536" width="8.81640625" style="2"/>
    <col min="1537" max="1537" width="4" style="2" customWidth="1"/>
    <col min="1538" max="1538" width="20" style="2" customWidth="1"/>
    <col min="1539" max="1539" width="21.6328125" style="2" bestFit="1" customWidth="1"/>
    <col min="1540" max="1540" width="19.1796875" style="2" bestFit="1" customWidth="1"/>
    <col min="1541" max="1541" width="20.90625" style="2" bestFit="1" customWidth="1"/>
    <col min="1542" max="1542" width="16.453125" style="2" bestFit="1" customWidth="1"/>
    <col min="1543" max="1543" width="14.90625" style="2" customWidth="1"/>
    <col min="1544" max="1544" width="14.6328125" style="2" customWidth="1"/>
    <col min="1545" max="1545" width="10.54296875" style="2" customWidth="1"/>
    <col min="1546" max="1546" width="10.90625" style="2" customWidth="1"/>
    <col min="1547" max="1547" width="12.1796875" style="2" customWidth="1"/>
    <col min="1548" max="1548" width="10.7265625" style="2" customWidth="1"/>
    <col min="1549" max="1549" width="11.453125" style="2" bestFit="1" customWidth="1"/>
    <col min="1550" max="1551" width="9.1796875" style="2" customWidth="1"/>
    <col min="1552" max="1792" width="8.81640625" style="2"/>
    <col min="1793" max="1793" width="4" style="2" customWidth="1"/>
    <col min="1794" max="1794" width="20" style="2" customWidth="1"/>
    <col min="1795" max="1795" width="21.6328125" style="2" bestFit="1" customWidth="1"/>
    <col min="1796" max="1796" width="19.1796875" style="2" bestFit="1" customWidth="1"/>
    <col min="1797" max="1797" width="20.90625" style="2" bestFit="1" customWidth="1"/>
    <col min="1798" max="1798" width="16.453125" style="2" bestFit="1" customWidth="1"/>
    <col min="1799" max="1799" width="14.90625" style="2" customWidth="1"/>
    <col min="1800" max="1800" width="14.6328125" style="2" customWidth="1"/>
    <col min="1801" max="1801" width="10.54296875" style="2" customWidth="1"/>
    <col min="1802" max="1802" width="10.90625" style="2" customWidth="1"/>
    <col min="1803" max="1803" width="12.1796875" style="2" customWidth="1"/>
    <col min="1804" max="1804" width="10.7265625" style="2" customWidth="1"/>
    <col min="1805" max="1805" width="11.453125" style="2" bestFit="1" customWidth="1"/>
    <col min="1806" max="1807" width="9.1796875" style="2" customWidth="1"/>
    <col min="1808" max="2048" width="8.81640625" style="2"/>
    <col min="2049" max="2049" width="4" style="2" customWidth="1"/>
    <col min="2050" max="2050" width="20" style="2" customWidth="1"/>
    <col min="2051" max="2051" width="21.6328125" style="2" bestFit="1" customWidth="1"/>
    <col min="2052" max="2052" width="19.1796875" style="2" bestFit="1" customWidth="1"/>
    <col min="2053" max="2053" width="20.90625" style="2" bestFit="1" customWidth="1"/>
    <col min="2054" max="2054" width="16.453125" style="2" bestFit="1" customWidth="1"/>
    <col min="2055" max="2055" width="14.90625" style="2" customWidth="1"/>
    <col min="2056" max="2056" width="14.6328125" style="2" customWidth="1"/>
    <col min="2057" max="2057" width="10.54296875" style="2" customWidth="1"/>
    <col min="2058" max="2058" width="10.90625" style="2" customWidth="1"/>
    <col min="2059" max="2059" width="12.1796875" style="2" customWidth="1"/>
    <col min="2060" max="2060" width="10.7265625" style="2" customWidth="1"/>
    <col min="2061" max="2061" width="11.453125" style="2" bestFit="1" customWidth="1"/>
    <col min="2062" max="2063" width="9.1796875" style="2" customWidth="1"/>
    <col min="2064" max="2304" width="8.81640625" style="2"/>
    <col min="2305" max="2305" width="4" style="2" customWidth="1"/>
    <col min="2306" max="2306" width="20" style="2" customWidth="1"/>
    <col min="2307" max="2307" width="21.6328125" style="2" bestFit="1" customWidth="1"/>
    <col min="2308" max="2308" width="19.1796875" style="2" bestFit="1" customWidth="1"/>
    <col min="2309" max="2309" width="20.90625" style="2" bestFit="1" customWidth="1"/>
    <col min="2310" max="2310" width="16.453125" style="2" bestFit="1" customWidth="1"/>
    <col min="2311" max="2311" width="14.90625" style="2" customWidth="1"/>
    <col min="2312" max="2312" width="14.6328125" style="2" customWidth="1"/>
    <col min="2313" max="2313" width="10.54296875" style="2" customWidth="1"/>
    <col min="2314" max="2314" width="10.90625" style="2" customWidth="1"/>
    <col min="2315" max="2315" width="12.1796875" style="2" customWidth="1"/>
    <col min="2316" max="2316" width="10.7265625" style="2" customWidth="1"/>
    <col min="2317" max="2317" width="11.453125" style="2" bestFit="1" customWidth="1"/>
    <col min="2318" max="2319" width="9.1796875" style="2" customWidth="1"/>
    <col min="2320" max="2560" width="8.81640625" style="2"/>
    <col min="2561" max="2561" width="4" style="2" customWidth="1"/>
    <col min="2562" max="2562" width="20" style="2" customWidth="1"/>
    <col min="2563" max="2563" width="21.6328125" style="2" bestFit="1" customWidth="1"/>
    <col min="2564" max="2564" width="19.1796875" style="2" bestFit="1" customWidth="1"/>
    <col min="2565" max="2565" width="20.90625" style="2" bestFit="1" customWidth="1"/>
    <col min="2566" max="2566" width="16.453125" style="2" bestFit="1" customWidth="1"/>
    <col min="2567" max="2567" width="14.90625" style="2" customWidth="1"/>
    <col min="2568" max="2568" width="14.6328125" style="2" customWidth="1"/>
    <col min="2569" max="2569" width="10.54296875" style="2" customWidth="1"/>
    <col min="2570" max="2570" width="10.90625" style="2" customWidth="1"/>
    <col min="2571" max="2571" width="12.1796875" style="2" customWidth="1"/>
    <col min="2572" max="2572" width="10.7265625" style="2" customWidth="1"/>
    <col min="2573" max="2573" width="11.453125" style="2" bestFit="1" customWidth="1"/>
    <col min="2574" max="2575" width="9.1796875" style="2" customWidth="1"/>
    <col min="2576" max="2816" width="8.81640625" style="2"/>
    <col min="2817" max="2817" width="4" style="2" customWidth="1"/>
    <col min="2818" max="2818" width="20" style="2" customWidth="1"/>
    <col min="2819" max="2819" width="21.6328125" style="2" bestFit="1" customWidth="1"/>
    <col min="2820" max="2820" width="19.1796875" style="2" bestFit="1" customWidth="1"/>
    <col min="2821" max="2821" width="20.90625" style="2" bestFit="1" customWidth="1"/>
    <col min="2822" max="2822" width="16.453125" style="2" bestFit="1" customWidth="1"/>
    <col min="2823" max="2823" width="14.90625" style="2" customWidth="1"/>
    <col min="2824" max="2824" width="14.6328125" style="2" customWidth="1"/>
    <col min="2825" max="2825" width="10.54296875" style="2" customWidth="1"/>
    <col min="2826" max="2826" width="10.90625" style="2" customWidth="1"/>
    <col min="2827" max="2827" width="12.1796875" style="2" customWidth="1"/>
    <col min="2828" max="2828" width="10.7265625" style="2" customWidth="1"/>
    <col min="2829" max="2829" width="11.453125" style="2" bestFit="1" customWidth="1"/>
    <col min="2830" max="2831" width="9.1796875" style="2" customWidth="1"/>
    <col min="2832" max="3072" width="8.81640625" style="2"/>
    <col min="3073" max="3073" width="4" style="2" customWidth="1"/>
    <col min="3074" max="3074" width="20" style="2" customWidth="1"/>
    <col min="3075" max="3075" width="21.6328125" style="2" bestFit="1" customWidth="1"/>
    <col min="3076" max="3076" width="19.1796875" style="2" bestFit="1" customWidth="1"/>
    <col min="3077" max="3077" width="20.90625" style="2" bestFit="1" customWidth="1"/>
    <col min="3078" max="3078" width="16.453125" style="2" bestFit="1" customWidth="1"/>
    <col min="3079" max="3079" width="14.90625" style="2" customWidth="1"/>
    <col min="3080" max="3080" width="14.6328125" style="2" customWidth="1"/>
    <col min="3081" max="3081" width="10.54296875" style="2" customWidth="1"/>
    <col min="3082" max="3082" width="10.90625" style="2" customWidth="1"/>
    <col min="3083" max="3083" width="12.1796875" style="2" customWidth="1"/>
    <col min="3084" max="3084" width="10.7265625" style="2" customWidth="1"/>
    <col min="3085" max="3085" width="11.453125" style="2" bestFit="1" customWidth="1"/>
    <col min="3086" max="3087" width="9.1796875" style="2" customWidth="1"/>
    <col min="3088" max="3328" width="8.81640625" style="2"/>
    <col min="3329" max="3329" width="4" style="2" customWidth="1"/>
    <col min="3330" max="3330" width="20" style="2" customWidth="1"/>
    <col min="3331" max="3331" width="21.6328125" style="2" bestFit="1" customWidth="1"/>
    <col min="3332" max="3332" width="19.1796875" style="2" bestFit="1" customWidth="1"/>
    <col min="3333" max="3333" width="20.90625" style="2" bestFit="1" customWidth="1"/>
    <col min="3334" max="3334" width="16.453125" style="2" bestFit="1" customWidth="1"/>
    <col min="3335" max="3335" width="14.90625" style="2" customWidth="1"/>
    <col min="3336" max="3336" width="14.6328125" style="2" customWidth="1"/>
    <col min="3337" max="3337" width="10.54296875" style="2" customWidth="1"/>
    <col min="3338" max="3338" width="10.90625" style="2" customWidth="1"/>
    <col min="3339" max="3339" width="12.1796875" style="2" customWidth="1"/>
    <col min="3340" max="3340" width="10.7265625" style="2" customWidth="1"/>
    <col min="3341" max="3341" width="11.453125" style="2" bestFit="1" customWidth="1"/>
    <col min="3342" max="3343" width="9.1796875" style="2" customWidth="1"/>
    <col min="3344" max="3584" width="8.81640625" style="2"/>
    <col min="3585" max="3585" width="4" style="2" customWidth="1"/>
    <col min="3586" max="3586" width="20" style="2" customWidth="1"/>
    <col min="3587" max="3587" width="21.6328125" style="2" bestFit="1" customWidth="1"/>
    <col min="3588" max="3588" width="19.1796875" style="2" bestFit="1" customWidth="1"/>
    <col min="3589" max="3589" width="20.90625" style="2" bestFit="1" customWidth="1"/>
    <col min="3590" max="3590" width="16.453125" style="2" bestFit="1" customWidth="1"/>
    <col min="3591" max="3591" width="14.90625" style="2" customWidth="1"/>
    <col min="3592" max="3592" width="14.6328125" style="2" customWidth="1"/>
    <col min="3593" max="3593" width="10.54296875" style="2" customWidth="1"/>
    <col min="3594" max="3594" width="10.90625" style="2" customWidth="1"/>
    <col min="3595" max="3595" width="12.1796875" style="2" customWidth="1"/>
    <col min="3596" max="3596" width="10.7265625" style="2" customWidth="1"/>
    <col min="3597" max="3597" width="11.453125" style="2" bestFit="1" customWidth="1"/>
    <col min="3598" max="3599" width="9.1796875" style="2" customWidth="1"/>
    <col min="3600" max="3840" width="8.81640625" style="2"/>
    <col min="3841" max="3841" width="4" style="2" customWidth="1"/>
    <col min="3842" max="3842" width="20" style="2" customWidth="1"/>
    <col min="3843" max="3843" width="21.6328125" style="2" bestFit="1" customWidth="1"/>
    <col min="3844" max="3844" width="19.1796875" style="2" bestFit="1" customWidth="1"/>
    <col min="3845" max="3845" width="20.90625" style="2" bestFit="1" customWidth="1"/>
    <col min="3846" max="3846" width="16.453125" style="2" bestFit="1" customWidth="1"/>
    <col min="3847" max="3847" width="14.90625" style="2" customWidth="1"/>
    <col min="3848" max="3848" width="14.6328125" style="2" customWidth="1"/>
    <col min="3849" max="3849" width="10.54296875" style="2" customWidth="1"/>
    <col min="3850" max="3850" width="10.90625" style="2" customWidth="1"/>
    <col min="3851" max="3851" width="12.1796875" style="2" customWidth="1"/>
    <col min="3852" max="3852" width="10.7265625" style="2" customWidth="1"/>
    <col min="3853" max="3853" width="11.453125" style="2" bestFit="1" customWidth="1"/>
    <col min="3854" max="3855" width="9.1796875" style="2" customWidth="1"/>
    <col min="3856" max="4096" width="8.81640625" style="2"/>
    <col min="4097" max="4097" width="4" style="2" customWidth="1"/>
    <col min="4098" max="4098" width="20" style="2" customWidth="1"/>
    <col min="4099" max="4099" width="21.6328125" style="2" bestFit="1" customWidth="1"/>
    <col min="4100" max="4100" width="19.1796875" style="2" bestFit="1" customWidth="1"/>
    <col min="4101" max="4101" width="20.90625" style="2" bestFit="1" customWidth="1"/>
    <col min="4102" max="4102" width="16.453125" style="2" bestFit="1" customWidth="1"/>
    <col min="4103" max="4103" width="14.90625" style="2" customWidth="1"/>
    <col min="4104" max="4104" width="14.6328125" style="2" customWidth="1"/>
    <col min="4105" max="4105" width="10.54296875" style="2" customWidth="1"/>
    <col min="4106" max="4106" width="10.90625" style="2" customWidth="1"/>
    <col min="4107" max="4107" width="12.1796875" style="2" customWidth="1"/>
    <col min="4108" max="4108" width="10.7265625" style="2" customWidth="1"/>
    <col min="4109" max="4109" width="11.453125" style="2" bestFit="1" customWidth="1"/>
    <col min="4110" max="4111" width="9.1796875" style="2" customWidth="1"/>
    <col min="4112" max="4352" width="8.81640625" style="2"/>
    <col min="4353" max="4353" width="4" style="2" customWidth="1"/>
    <col min="4354" max="4354" width="20" style="2" customWidth="1"/>
    <col min="4355" max="4355" width="21.6328125" style="2" bestFit="1" customWidth="1"/>
    <col min="4356" max="4356" width="19.1796875" style="2" bestFit="1" customWidth="1"/>
    <col min="4357" max="4357" width="20.90625" style="2" bestFit="1" customWidth="1"/>
    <col min="4358" max="4358" width="16.453125" style="2" bestFit="1" customWidth="1"/>
    <col min="4359" max="4359" width="14.90625" style="2" customWidth="1"/>
    <col min="4360" max="4360" width="14.6328125" style="2" customWidth="1"/>
    <col min="4361" max="4361" width="10.54296875" style="2" customWidth="1"/>
    <col min="4362" max="4362" width="10.90625" style="2" customWidth="1"/>
    <col min="4363" max="4363" width="12.1796875" style="2" customWidth="1"/>
    <col min="4364" max="4364" width="10.7265625" style="2" customWidth="1"/>
    <col min="4365" max="4365" width="11.453125" style="2" bestFit="1" customWidth="1"/>
    <col min="4366" max="4367" width="9.1796875" style="2" customWidth="1"/>
    <col min="4368" max="4608" width="8.81640625" style="2"/>
    <col min="4609" max="4609" width="4" style="2" customWidth="1"/>
    <col min="4610" max="4610" width="20" style="2" customWidth="1"/>
    <col min="4611" max="4611" width="21.6328125" style="2" bestFit="1" customWidth="1"/>
    <col min="4612" max="4612" width="19.1796875" style="2" bestFit="1" customWidth="1"/>
    <col min="4613" max="4613" width="20.90625" style="2" bestFit="1" customWidth="1"/>
    <col min="4614" max="4614" width="16.453125" style="2" bestFit="1" customWidth="1"/>
    <col min="4615" max="4615" width="14.90625" style="2" customWidth="1"/>
    <col min="4616" max="4616" width="14.6328125" style="2" customWidth="1"/>
    <col min="4617" max="4617" width="10.54296875" style="2" customWidth="1"/>
    <col min="4618" max="4618" width="10.90625" style="2" customWidth="1"/>
    <col min="4619" max="4619" width="12.1796875" style="2" customWidth="1"/>
    <col min="4620" max="4620" width="10.7265625" style="2" customWidth="1"/>
    <col min="4621" max="4621" width="11.453125" style="2" bestFit="1" customWidth="1"/>
    <col min="4622" max="4623" width="9.1796875" style="2" customWidth="1"/>
    <col min="4624" max="4864" width="8.81640625" style="2"/>
    <col min="4865" max="4865" width="4" style="2" customWidth="1"/>
    <col min="4866" max="4866" width="20" style="2" customWidth="1"/>
    <col min="4867" max="4867" width="21.6328125" style="2" bestFit="1" customWidth="1"/>
    <col min="4868" max="4868" width="19.1796875" style="2" bestFit="1" customWidth="1"/>
    <col min="4869" max="4869" width="20.90625" style="2" bestFit="1" customWidth="1"/>
    <col min="4870" max="4870" width="16.453125" style="2" bestFit="1" customWidth="1"/>
    <col min="4871" max="4871" width="14.90625" style="2" customWidth="1"/>
    <col min="4872" max="4872" width="14.6328125" style="2" customWidth="1"/>
    <col min="4873" max="4873" width="10.54296875" style="2" customWidth="1"/>
    <col min="4874" max="4874" width="10.90625" style="2" customWidth="1"/>
    <col min="4875" max="4875" width="12.1796875" style="2" customWidth="1"/>
    <col min="4876" max="4876" width="10.7265625" style="2" customWidth="1"/>
    <col min="4877" max="4877" width="11.453125" style="2" bestFit="1" customWidth="1"/>
    <col min="4878" max="4879" width="9.1796875" style="2" customWidth="1"/>
    <col min="4880" max="5120" width="8.81640625" style="2"/>
    <col min="5121" max="5121" width="4" style="2" customWidth="1"/>
    <col min="5122" max="5122" width="20" style="2" customWidth="1"/>
    <col min="5123" max="5123" width="21.6328125" style="2" bestFit="1" customWidth="1"/>
    <col min="5124" max="5124" width="19.1796875" style="2" bestFit="1" customWidth="1"/>
    <col min="5125" max="5125" width="20.90625" style="2" bestFit="1" customWidth="1"/>
    <col min="5126" max="5126" width="16.453125" style="2" bestFit="1" customWidth="1"/>
    <col min="5127" max="5127" width="14.90625" style="2" customWidth="1"/>
    <col min="5128" max="5128" width="14.6328125" style="2" customWidth="1"/>
    <col min="5129" max="5129" width="10.54296875" style="2" customWidth="1"/>
    <col min="5130" max="5130" width="10.90625" style="2" customWidth="1"/>
    <col min="5131" max="5131" width="12.1796875" style="2" customWidth="1"/>
    <col min="5132" max="5132" width="10.7265625" style="2" customWidth="1"/>
    <col min="5133" max="5133" width="11.453125" style="2" bestFit="1" customWidth="1"/>
    <col min="5134" max="5135" width="9.1796875" style="2" customWidth="1"/>
    <col min="5136" max="5376" width="8.81640625" style="2"/>
    <col min="5377" max="5377" width="4" style="2" customWidth="1"/>
    <col min="5378" max="5378" width="20" style="2" customWidth="1"/>
    <col min="5379" max="5379" width="21.6328125" style="2" bestFit="1" customWidth="1"/>
    <col min="5380" max="5380" width="19.1796875" style="2" bestFit="1" customWidth="1"/>
    <col min="5381" max="5381" width="20.90625" style="2" bestFit="1" customWidth="1"/>
    <col min="5382" max="5382" width="16.453125" style="2" bestFit="1" customWidth="1"/>
    <col min="5383" max="5383" width="14.90625" style="2" customWidth="1"/>
    <col min="5384" max="5384" width="14.6328125" style="2" customWidth="1"/>
    <col min="5385" max="5385" width="10.54296875" style="2" customWidth="1"/>
    <col min="5386" max="5386" width="10.90625" style="2" customWidth="1"/>
    <col min="5387" max="5387" width="12.1796875" style="2" customWidth="1"/>
    <col min="5388" max="5388" width="10.7265625" style="2" customWidth="1"/>
    <col min="5389" max="5389" width="11.453125" style="2" bestFit="1" customWidth="1"/>
    <col min="5390" max="5391" width="9.1796875" style="2" customWidth="1"/>
    <col min="5392" max="5632" width="8.81640625" style="2"/>
    <col min="5633" max="5633" width="4" style="2" customWidth="1"/>
    <col min="5634" max="5634" width="20" style="2" customWidth="1"/>
    <col min="5635" max="5635" width="21.6328125" style="2" bestFit="1" customWidth="1"/>
    <col min="5636" max="5636" width="19.1796875" style="2" bestFit="1" customWidth="1"/>
    <col min="5637" max="5637" width="20.90625" style="2" bestFit="1" customWidth="1"/>
    <col min="5638" max="5638" width="16.453125" style="2" bestFit="1" customWidth="1"/>
    <col min="5639" max="5639" width="14.90625" style="2" customWidth="1"/>
    <col min="5640" max="5640" width="14.6328125" style="2" customWidth="1"/>
    <col min="5641" max="5641" width="10.54296875" style="2" customWidth="1"/>
    <col min="5642" max="5642" width="10.90625" style="2" customWidth="1"/>
    <col min="5643" max="5643" width="12.1796875" style="2" customWidth="1"/>
    <col min="5644" max="5644" width="10.7265625" style="2" customWidth="1"/>
    <col min="5645" max="5645" width="11.453125" style="2" bestFit="1" customWidth="1"/>
    <col min="5646" max="5647" width="9.1796875" style="2" customWidth="1"/>
    <col min="5648" max="5888" width="8.81640625" style="2"/>
    <col min="5889" max="5889" width="4" style="2" customWidth="1"/>
    <col min="5890" max="5890" width="20" style="2" customWidth="1"/>
    <col min="5891" max="5891" width="21.6328125" style="2" bestFit="1" customWidth="1"/>
    <col min="5892" max="5892" width="19.1796875" style="2" bestFit="1" customWidth="1"/>
    <col min="5893" max="5893" width="20.90625" style="2" bestFit="1" customWidth="1"/>
    <col min="5894" max="5894" width="16.453125" style="2" bestFit="1" customWidth="1"/>
    <col min="5895" max="5895" width="14.90625" style="2" customWidth="1"/>
    <col min="5896" max="5896" width="14.6328125" style="2" customWidth="1"/>
    <col min="5897" max="5897" width="10.54296875" style="2" customWidth="1"/>
    <col min="5898" max="5898" width="10.90625" style="2" customWidth="1"/>
    <col min="5899" max="5899" width="12.1796875" style="2" customWidth="1"/>
    <col min="5900" max="5900" width="10.7265625" style="2" customWidth="1"/>
    <col min="5901" max="5901" width="11.453125" style="2" bestFit="1" customWidth="1"/>
    <col min="5902" max="5903" width="9.1796875" style="2" customWidth="1"/>
    <col min="5904" max="6144" width="8.81640625" style="2"/>
    <col min="6145" max="6145" width="4" style="2" customWidth="1"/>
    <col min="6146" max="6146" width="20" style="2" customWidth="1"/>
    <col min="6147" max="6147" width="21.6328125" style="2" bestFit="1" customWidth="1"/>
    <col min="6148" max="6148" width="19.1796875" style="2" bestFit="1" customWidth="1"/>
    <col min="6149" max="6149" width="20.90625" style="2" bestFit="1" customWidth="1"/>
    <col min="6150" max="6150" width="16.453125" style="2" bestFit="1" customWidth="1"/>
    <col min="6151" max="6151" width="14.90625" style="2" customWidth="1"/>
    <col min="6152" max="6152" width="14.6328125" style="2" customWidth="1"/>
    <col min="6153" max="6153" width="10.54296875" style="2" customWidth="1"/>
    <col min="6154" max="6154" width="10.90625" style="2" customWidth="1"/>
    <col min="6155" max="6155" width="12.1796875" style="2" customWidth="1"/>
    <col min="6156" max="6156" width="10.7265625" style="2" customWidth="1"/>
    <col min="6157" max="6157" width="11.453125" style="2" bestFit="1" customWidth="1"/>
    <col min="6158" max="6159" width="9.1796875" style="2" customWidth="1"/>
    <col min="6160" max="6400" width="8.81640625" style="2"/>
    <col min="6401" max="6401" width="4" style="2" customWidth="1"/>
    <col min="6402" max="6402" width="20" style="2" customWidth="1"/>
    <col min="6403" max="6403" width="21.6328125" style="2" bestFit="1" customWidth="1"/>
    <col min="6404" max="6404" width="19.1796875" style="2" bestFit="1" customWidth="1"/>
    <col min="6405" max="6405" width="20.90625" style="2" bestFit="1" customWidth="1"/>
    <col min="6406" max="6406" width="16.453125" style="2" bestFit="1" customWidth="1"/>
    <col min="6407" max="6407" width="14.90625" style="2" customWidth="1"/>
    <col min="6408" max="6408" width="14.6328125" style="2" customWidth="1"/>
    <col min="6409" max="6409" width="10.54296875" style="2" customWidth="1"/>
    <col min="6410" max="6410" width="10.90625" style="2" customWidth="1"/>
    <col min="6411" max="6411" width="12.1796875" style="2" customWidth="1"/>
    <col min="6412" max="6412" width="10.7265625" style="2" customWidth="1"/>
    <col min="6413" max="6413" width="11.453125" style="2" bestFit="1" customWidth="1"/>
    <col min="6414" max="6415" width="9.1796875" style="2" customWidth="1"/>
    <col min="6416" max="6656" width="8.81640625" style="2"/>
    <col min="6657" max="6657" width="4" style="2" customWidth="1"/>
    <col min="6658" max="6658" width="20" style="2" customWidth="1"/>
    <col min="6659" max="6659" width="21.6328125" style="2" bestFit="1" customWidth="1"/>
    <col min="6660" max="6660" width="19.1796875" style="2" bestFit="1" customWidth="1"/>
    <col min="6661" max="6661" width="20.90625" style="2" bestFit="1" customWidth="1"/>
    <col min="6662" max="6662" width="16.453125" style="2" bestFit="1" customWidth="1"/>
    <col min="6663" max="6663" width="14.90625" style="2" customWidth="1"/>
    <col min="6664" max="6664" width="14.6328125" style="2" customWidth="1"/>
    <col min="6665" max="6665" width="10.54296875" style="2" customWidth="1"/>
    <col min="6666" max="6666" width="10.90625" style="2" customWidth="1"/>
    <col min="6667" max="6667" width="12.1796875" style="2" customWidth="1"/>
    <col min="6668" max="6668" width="10.7265625" style="2" customWidth="1"/>
    <col min="6669" max="6669" width="11.453125" style="2" bestFit="1" customWidth="1"/>
    <col min="6670" max="6671" width="9.1796875" style="2" customWidth="1"/>
    <col min="6672" max="6912" width="8.81640625" style="2"/>
    <col min="6913" max="6913" width="4" style="2" customWidth="1"/>
    <col min="6914" max="6914" width="20" style="2" customWidth="1"/>
    <col min="6915" max="6915" width="21.6328125" style="2" bestFit="1" customWidth="1"/>
    <col min="6916" max="6916" width="19.1796875" style="2" bestFit="1" customWidth="1"/>
    <col min="6917" max="6917" width="20.90625" style="2" bestFit="1" customWidth="1"/>
    <col min="6918" max="6918" width="16.453125" style="2" bestFit="1" customWidth="1"/>
    <col min="6919" max="6919" width="14.90625" style="2" customWidth="1"/>
    <col min="6920" max="6920" width="14.6328125" style="2" customWidth="1"/>
    <col min="6921" max="6921" width="10.54296875" style="2" customWidth="1"/>
    <col min="6922" max="6922" width="10.90625" style="2" customWidth="1"/>
    <col min="6923" max="6923" width="12.1796875" style="2" customWidth="1"/>
    <col min="6924" max="6924" width="10.7265625" style="2" customWidth="1"/>
    <col min="6925" max="6925" width="11.453125" style="2" bestFit="1" customWidth="1"/>
    <col min="6926" max="6927" width="9.1796875" style="2" customWidth="1"/>
    <col min="6928" max="7168" width="8.81640625" style="2"/>
    <col min="7169" max="7169" width="4" style="2" customWidth="1"/>
    <col min="7170" max="7170" width="20" style="2" customWidth="1"/>
    <col min="7171" max="7171" width="21.6328125" style="2" bestFit="1" customWidth="1"/>
    <col min="7172" max="7172" width="19.1796875" style="2" bestFit="1" customWidth="1"/>
    <col min="7173" max="7173" width="20.90625" style="2" bestFit="1" customWidth="1"/>
    <col min="7174" max="7174" width="16.453125" style="2" bestFit="1" customWidth="1"/>
    <col min="7175" max="7175" width="14.90625" style="2" customWidth="1"/>
    <col min="7176" max="7176" width="14.6328125" style="2" customWidth="1"/>
    <col min="7177" max="7177" width="10.54296875" style="2" customWidth="1"/>
    <col min="7178" max="7178" width="10.90625" style="2" customWidth="1"/>
    <col min="7179" max="7179" width="12.1796875" style="2" customWidth="1"/>
    <col min="7180" max="7180" width="10.7265625" style="2" customWidth="1"/>
    <col min="7181" max="7181" width="11.453125" style="2" bestFit="1" customWidth="1"/>
    <col min="7182" max="7183" width="9.1796875" style="2" customWidth="1"/>
    <col min="7184" max="7424" width="8.81640625" style="2"/>
    <col min="7425" max="7425" width="4" style="2" customWidth="1"/>
    <col min="7426" max="7426" width="20" style="2" customWidth="1"/>
    <col min="7427" max="7427" width="21.6328125" style="2" bestFit="1" customWidth="1"/>
    <col min="7428" max="7428" width="19.1796875" style="2" bestFit="1" customWidth="1"/>
    <col min="7429" max="7429" width="20.90625" style="2" bestFit="1" customWidth="1"/>
    <col min="7430" max="7430" width="16.453125" style="2" bestFit="1" customWidth="1"/>
    <col min="7431" max="7431" width="14.90625" style="2" customWidth="1"/>
    <col min="7432" max="7432" width="14.6328125" style="2" customWidth="1"/>
    <col min="7433" max="7433" width="10.54296875" style="2" customWidth="1"/>
    <col min="7434" max="7434" width="10.90625" style="2" customWidth="1"/>
    <col min="7435" max="7435" width="12.1796875" style="2" customWidth="1"/>
    <col min="7436" max="7436" width="10.7265625" style="2" customWidth="1"/>
    <col min="7437" max="7437" width="11.453125" style="2" bestFit="1" customWidth="1"/>
    <col min="7438" max="7439" width="9.1796875" style="2" customWidth="1"/>
    <col min="7440" max="7680" width="8.81640625" style="2"/>
    <col min="7681" max="7681" width="4" style="2" customWidth="1"/>
    <col min="7682" max="7682" width="20" style="2" customWidth="1"/>
    <col min="7683" max="7683" width="21.6328125" style="2" bestFit="1" customWidth="1"/>
    <col min="7684" max="7684" width="19.1796875" style="2" bestFit="1" customWidth="1"/>
    <col min="7685" max="7685" width="20.90625" style="2" bestFit="1" customWidth="1"/>
    <col min="7686" max="7686" width="16.453125" style="2" bestFit="1" customWidth="1"/>
    <col min="7687" max="7687" width="14.90625" style="2" customWidth="1"/>
    <col min="7688" max="7688" width="14.6328125" style="2" customWidth="1"/>
    <col min="7689" max="7689" width="10.54296875" style="2" customWidth="1"/>
    <col min="7690" max="7690" width="10.90625" style="2" customWidth="1"/>
    <col min="7691" max="7691" width="12.1796875" style="2" customWidth="1"/>
    <col min="7692" max="7692" width="10.7265625" style="2" customWidth="1"/>
    <col min="7693" max="7693" width="11.453125" style="2" bestFit="1" customWidth="1"/>
    <col min="7694" max="7695" width="9.1796875" style="2" customWidth="1"/>
    <col min="7696" max="7936" width="8.81640625" style="2"/>
    <col min="7937" max="7937" width="4" style="2" customWidth="1"/>
    <col min="7938" max="7938" width="20" style="2" customWidth="1"/>
    <col min="7939" max="7939" width="21.6328125" style="2" bestFit="1" customWidth="1"/>
    <col min="7940" max="7940" width="19.1796875" style="2" bestFit="1" customWidth="1"/>
    <col min="7941" max="7941" width="20.90625" style="2" bestFit="1" customWidth="1"/>
    <col min="7942" max="7942" width="16.453125" style="2" bestFit="1" customWidth="1"/>
    <col min="7943" max="7943" width="14.90625" style="2" customWidth="1"/>
    <col min="7944" max="7944" width="14.6328125" style="2" customWidth="1"/>
    <col min="7945" max="7945" width="10.54296875" style="2" customWidth="1"/>
    <col min="7946" max="7946" width="10.90625" style="2" customWidth="1"/>
    <col min="7947" max="7947" width="12.1796875" style="2" customWidth="1"/>
    <col min="7948" max="7948" width="10.7265625" style="2" customWidth="1"/>
    <col min="7949" max="7949" width="11.453125" style="2" bestFit="1" customWidth="1"/>
    <col min="7950" max="7951" width="9.1796875" style="2" customWidth="1"/>
    <col min="7952" max="8192" width="8.81640625" style="2"/>
    <col min="8193" max="8193" width="4" style="2" customWidth="1"/>
    <col min="8194" max="8194" width="20" style="2" customWidth="1"/>
    <col min="8195" max="8195" width="21.6328125" style="2" bestFit="1" customWidth="1"/>
    <col min="8196" max="8196" width="19.1796875" style="2" bestFit="1" customWidth="1"/>
    <col min="8197" max="8197" width="20.90625" style="2" bestFit="1" customWidth="1"/>
    <col min="8198" max="8198" width="16.453125" style="2" bestFit="1" customWidth="1"/>
    <col min="8199" max="8199" width="14.90625" style="2" customWidth="1"/>
    <col min="8200" max="8200" width="14.6328125" style="2" customWidth="1"/>
    <col min="8201" max="8201" width="10.54296875" style="2" customWidth="1"/>
    <col min="8202" max="8202" width="10.90625" style="2" customWidth="1"/>
    <col min="8203" max="8203" width="12.1796875" style="2" customWidth="1"/>
    <col min="8204" max="8204" width="10.7265625" style="2" customWidth="1"/>
    <col min="8205" max="8205" width="11.453125" style="2" bestFit="1" customWidth="1"/>
    <col min="8206" max="8207" width="9.1796875" style="2" customWidth="1"/>
    <col min="8208" max="8448" width="8.81640625" style="2"/>
    <col min="8449" max="8449" width="4" style="2" customWidth="1"/>
    <col min="8450" max="8450" width="20" style="2" customWidth="1"/>
    <col min="8451" max="8451" width="21.6328125" style="2" bestFit="1" customWidth="1"/>
    <col min="8452" max="8452" width="19.1796875" style="2" bestFit="1" customWidth="1"/>
    <col min="8453" max="8453" width="20.90625" style="2" bestFit="1" customWidth="1"/>
    <col min="8454" max="8454" width="16.453125" style="2" bestFit="1" customWidth="1"/>
    <col min="8455" max="8455" width="14.90625" style="2" customWidth="1"/>
    <col min="8456" max="8456" width="14.6328125" style="2" customWidth="1"/>
    <col min="8457" max="8457" width="10.54296875" style="2" customWidth="1"/>
    <col min="8458" max="8458" width="10.90625" style="2" customWidth="1"/>
    <col min="8459" max="8459" width="12.1796875" style="2" customWidth="1"/>
    <col min="8460" max="8460" width="10.7265625" style="2" customWidth="1"/>
    <col min="8461" max="8461" width="11.453125" style="2" bestFit="1" customWidth="1"/>
    <col min="8462" max="8463" width="9.1796875" style="2" customWidth="1"/>
    <col min="8464" max="8704" width="8.81640625" style="2"/>
    <col min="8705" max="8705" width="4" style="2" customWidth="1"/>
    <col min="8706" max="8706" width="20" style="2" customWidth="1"/>
    <col min="8707" max="8707" width="21.6328125" style="2" bestFit="1" customWidth="1"/>
    <col min="8708" max="8708" width="19.1796875" style="2" bestFit="1" customWidth="1"/>
    <col min="8709" max="8709" width="20.90625" style="2" bestFit="1" customWidth="1"/>
    <col min="8710" max="8710" width="16.453125" style="2" bestFit="1" customWidth="1"/>
    <col min="8711" max="8711" width="14.90625" style="2" customWidth="1"/>
    <col min="8712" max="8712" width="14.6328125" style="2" customWidth="1"/>
    <col min="8713" max="8713" width="10.54296875" style="2" customWidth="1"/>
    <col min="8714" max="8714" width="10.90625" style="2" customWidth="1"/>
    <col min="8715" max="8715" width="12.1796875" style="2" customWidth="1"/>
    <col min="8716" max="8716" width="10.7265625" style="2" customWidth="1"/>
    <col min="8717" max="8717" width="11.453125" style="2" bestFit="1" customWidth="1"/>
    <col min="8718" max="8719" width="9.1796875" style="2" customWidth="1"/>
    <col min="8720" max="8960" width="8.81640625" style="2"/>
    <col min="8961" max="8961" width="4" style="2" customWidth="1"/>
    <col min="8962" max="8962" width="20" style="2" customWidth="1"/>
    <col min="8963" max="8963" width="21.6328125" style="2" bestFit="1" customWidth="1"/>
    <col min="8964" max="8964" width="19.1796875" style="2" bestFit="1" customWidth="1"/>
    <col min="8965" max="8965" width="20.90625" style="2" bestFit="1" customWidth="1"/>
    <col min="8966" max="8966" width="16.453125" style="2" bestFit="1" customWidth="1"/>
    <col min="8967" max="8967" width="14.90625" style="2" customWidth="1"/>
    <col min="8968" max="8968" width="14.6328125" style="2" customWidth="1"/>
    <col min="8969" max="8969" width="10.54296875" style="2" customWidth="1"/>
    <col min="8970" max="8970" width="10.90625" style="2" customWidth="1"/>
    <col min="8971" max="8971" width="12.1796875" style="2" customWidth="1"/>
    <col min="8972" max="8972" width="10.7265625" style="2" customWidth="1"/>
    <col min="8973" max="8973" width="11.453125" style="2" bestFit="1" customWidth="1"/>
    <col min="8974" max="8975" width="9.1796875" style="2" customWidth="1"/>
    <col min="8976" max="9216" width="8.81640625" style="2"/>
    <col min="9217" max="9217" width="4" style="2" customWidth="1"/>
    <col min="9218" max="9218" width="20" style="2" customWidth="1"/>
    <col min="9219" max="9219" width="21.6328125" style="2" bestFit="1" customWidth="1"/>
    <col min="9220" max="9220" width="19.1796875" style="2" bestFit="1" customWidth="1"/>
    <col min="9221" max="9221" width="20.90625" style="2" bestFit="1" customWidth="1"/>
    <col min="9222" max="9222" width="16.453125" style="2" bestFit="1" customWidth="1"/>
    <col min="9223" max="9223" width="14.90625" style="2" customWidth="1"/>
    <col min="9224" max="9224" width="14.6328125" style="2" customWidth="1"/>
    <col min="9225" max="9225" width="10.54296875" style="2" customWidth="1"/>
    <col min="9226" max="9226" width="10.90625" style="2" customWidth="1"/>
    <col min="9227" max="9227" width="12.1796875" style="2" customWidth="1"/>
    <col min="9228" max="9228" width="10.7265625" style="2" customWidth="1"/>
    <col min="9229" max="9229" width="11.453125" style="2" bestFit="1" customWidth="1"/>
    <col min="9230" max="9231" width="9.1796875" style="2" customWidth="1"/>
    <col min="9232" max="9472" width="8.81640625" style="2"/>
    <col min="9473" max="9473" width="4" style="2" customWidth="1"/>
    <col min="9474" max="9474" width="20" style="2" customWidth="1"/>
    <col min="9475" max="9475" width="21.6328125" style="2" bestFit="1" customWidth="1"/>
    <col min="9476" max="9476" width="19.1796875" style="2" bestFit="1" customWidth="1"/>
    <col min="9477" max="9477" width="20.90625" style="2" bestFit="1" customWidth="1"/>
    <col min="9478" max="9478" width="16.453125" style="2" bestFit="1" customWidth="1"/>
    <col min="9479" max="9479" width="14.90625" style="2" customWidth="1"/>
    <col min="9480" max="9480" width="14.6328125" style="2" customWidth="1"/>
    <col min="9481" max="9481" width="10.54296875" style="2" customWidth="1"/>
    <col min="9482" max="9482" width="10.90625" style="2" customWidth="1"/>
    <col min="9483" max="9483" width="12.1796875" style="2" customWidth="1"/>
    <col min="9484" max="9484" width="10.7265625" style="2" customWidth="1"/>
    <col min="9485" max="9485" width="11.453125" style="2" bestFit="1" customWidth="1"/>
    <col min="9486" max="9487" width="9.1796875" style="2" customWidth="1"/>
    <col min="9488" max="9728" width="8.81640625" style="2"/>
    <col min="9729" max="9729" width="4" style="2" customWidth="1"/>
    <col min="9730" max="9730" width="20" style="2" customWidth="1"/>
    <col min="9731" max="9731" width="21.6328125" style="2" bestFit="1" customWidth="1"/>
    <col min="9732" max="9732" width="19.1796875" style="2" bestFit="1" customWidth="1"/>
    <col min="9733" max="9733" width="20.90625" style="2" bestFit="1" customWidth="1"/>
    <col min="9734" max="9734" width="16.453125" style="2" bestFit="1" customWidth="1"/>
    <col min="9735" max="9735" width="14.90625" style="2" customWidth="1"/>
    <col min="9736" max="9736" width="14.6328125" style="2" customWidth="1"/>
    <col min="9737" max="9737" width="10.54296875" style="2" customWidth="1"/>
    <col min="9738" max="9738" width="10.90625" style="2" customWidth="1"/>
    <col min="9739" max="9739" width="12.1796875" style="2" customWidth="1"/>
    <col min="9740" max="9740" width="10.7265625" style="2" customWidth="1"/>
    <col min="9741" max="9741" width="11.453125" style="2" bestFit="1" customWidth="1"/>
    <col min="9742" max="9743" width="9.1796875" style="2" customWidth="1"/>
    <col min="9744" max="9984" width="8.81640625" style="2"/>
    <col min="9985" max="9985" width="4" style="2" customWidth="1"/>
    <col min="9986" max="9986" width="20" style="2" customWidth="1"/>
    <col min="9987" max="9987" width="21.6328125" style="2" bestFit="1" customWidth="1"/>
    <col min="9988" max="9988" width="19.1796875" style="2" bestFit="1" customWidth="1"/>
    <col min="9989" max="9989" width="20.90625" style="2" bestFit="1" customWidth="1"/>
    <col min="9990" max="9990" width="16.453125" style="2" bestFit="1" customWidth="1"/>
    <col min="9991" max="9991" width="14.90625" style="2" customWidth="1"/>
    <col min="9992" max="9992" width="14.6328125" style="2" customWidth="1"/>
    <col min="9993" max="9993" width="10.54296875" style="2" customWidth="1"/>
    <col min="9994" max="9994" width="10.90625" style="2" customWidth="1"/>
    <col min="9995" max="9995" width="12.1796875" style="2" customWidth="1"/>
    <col min="9996" max="9996" width="10.7265625" style="2" customWidth="1"/>
    <col min="9997" max="9997" width="11.453125" style="2" bestFit="1" customWidth="1"/>
    <col min="9998" max="9999" width="9.1796875" style="2" customWidth="1"/>
    <col min="10000" max="10240" width="8.81640625" style="2"/>
    <col min="10241" max="10241" width="4" style="2" customWidth="1"/>
    <col min="10242" max="10242" width="20" style="2" customWidth="1"/>
    <col min="10243" max="10243" width="21.6328125" style="2" bestFit="1" customWidth="1"/>
    <col min="10244" max="10244" width="19.1796875" style="2" bestFit="1" customWidth="1"/>
    <col min="10245" max="10245" width="20.90625" style="2" bestFit="1" customWidth="1"/>
    <col min="10246" max="10246" width="16.453125" style="2" bestFit="1" customWidth="1"/>
    <col min="10247" max="10247" width="14.90625" style="2" customWidth="1"/>
    <col min="10248" max="10248" width="14.6328125" style="2" customWidth="1"/>
    <col min="10249" max="10249" width="10.54296875" style="2" customWidth="1"/>
    <col min="10250" max="10250" width="10.90625" style="2" customWidth="1"/>
    <col min="10251" max="10251" width="12.1796875" style="2" customWidth="1"/>
    <col min="10252" max="10252" width="10.7265625" style="2" customWidth="1"/>
    <col min="10253" max="10253" width="11.453125" style="2" bestFit="1" customWidth="1"/>
    <col min="10254" max="10255" width="9.1796875" style="2" customWidth="1"/>
    <col min="10256" max="10496" width="8.81640625" style="2"/>
    <col min="10497" max="10497" width="4" style="2" customWidth="1"/>
    <col min="10498" max="10498" width="20" style="2" customWidth="1"/>
    <col min="10499" max="10499" width="21.6328125" style="2" bestFit="1" customWidth="1"/>
    <col min="10500" max="10500" width="19.1796875" style="2" bestFit="1" customWidth="1"/>
    <col min="10501" max="10501" width="20.90625" style="2" bestFit="1" customWidth="1"/>
    <col min="10502" max="10502" width="16.453125" style="2" bestFit="1" customWidth="1"/>
    <col min="10503" max="10503" width="14.90625" style="2" customWidth="1"/>
    <col min="10504" max="10504" width="14.6328125" style="2" customWidth="1"/>
    <col min="10505" max="10505" width="10.54296875" style="2" customWidth="1"/>
    <col min="10506" max="10506" width="10.90625" style="2" customWidth="1"/>
    <col min="10507" max="10507" width="12.1796875" style="2" customWidth="1"/>
    <col min="10508" max="10508" width="10.7265625" style="2" customWidth="1"/>
    <col min="10509" max="10509" width="11.453125" style="2" bestFit="1" customWidth="1"/>
    <col min="10510" max="10511" width="9.1796875" style="2" customWidth="1"/>
    <col min="10512" max="10752" width="8.81640625" style="2"/>
    <col min="10753" max="10753" width="4" style="2" customWidth="1"/>
    <col min="10754" max="10754" width="20" style="2" customWidth="1"/>
    <col min="10755" max="10755" width="21.6328125" style="2" bestFit="1" customWidth="1"/>
    <col min="10756" max="10756" width="19.1796875" style="2" bestFit="1" customWidth="1"/>
    <col min="10757" max="10757" width="20.90625" style="2" bestFit="1" customWidth="1"/>
    <col min="10758" max="10758" width="16.453125" style="2" bestFit="1" customWidth="1"/>
    <col min="10759" max="10759" width="14.90625" style="2" customWidth="1"/>
    <col min="10760" max="10760" width="14.6328125" style="2" customWidth="1"/>
    <col min="10761" max="10761" width="10.54296875" style="2" customWidth="1"/>
    <col min="10762" max="10762" width="10.90625" style="2" customWidth="1"/>
    <col min="10763" max="10763" width="12.1796875" style="2" customWidth="1"/>
    <col min="10764" max="10764" width="10.7265625" style="2" customWidth="1"/>
    <col min="10765" max="10765" width="11.453125" style="2" bestFit="1" customWidth="1"/>
    <col min="10766" max="10767" width="9.1796875" style="2" customWidth="1"/>
    <col min="10768" max="11008" width="8.81640625" style="2"/>
    <col min="11009" max="11009" width="4" style="2" customWidth="1"/>
    <col min="11010" max="11010" width="20" style="2" customWidth="1"/>
    <col min="11011" max="11011" width="21.6328125" style="2" bestFit="1" customWidth="1"/>
    <col min="11012" max="11012" width="19.1796875" style="2" bestFit="1" customWidth="1"/>
    <col min="11013" max="11013" width="20.90625" style="2" bestFit="1" customWidth="1"/>
    <col min="11014" max="11014" width="16.453125" style="2" bestFit="1" customWidth="1"/>
    <col min="11015" max="11015" width="14.90625" style="2" customWidth="1"/>
    <col min="11016" max="11016" width="14.6328125" style="2" customWidth="1"/>
    <col min="11017" max="11017" width="10.54296875" style="2" customWidth="1"/>
    <col min="11018" max="11018" width="10.90625" style="2" customWidth="1"/>
    <col min="11019" max="11019" width="12.1796875" style="2" customWidth="1"/>
    <col min="11020" max="11020" width="10.7265625" style="2" customWidth="1"/>
    <col min="11021" max="11021" width="11.453125" style="2" bestFit="1" customWidth="1"/>
    <col min="11022" max="11023" width="9.1796875" style="2" customWidth="1"/>
    <col min="11024" max="11264" width="8.81640625" style="2"/>
    <col min="11265" max="11265" width="4" style="2" customWidth="1"/>
    <col min="11266" max="11266" width="20" style="2" customWidth="1"/>
    <col min="11267" max="11267" width="21.6328125" style="2" bestFit="1" customWidth="1"/>
    <col min="11268" max="11268" width="19.1796875" style="2" bestFit="1" customWidth="1"/>
    <col min="11269" max="11269" width="20.90625" style="2" bestFit="1" customWidth="1"/>
    <col min="11270" max="11270" width="16.453125" style="2" bestFit="1" customWidth="1"/>
    <col min="11271" max="11271" width="14.90625" style="2" customWidth="1"/>
    <col min="11272" max="11272" width="14.6328125" style="2" customWidth="1"/>
    <col min="11273" max="11273" width="10.54296875" style="2" customWidth="1"/>
    <col min="11274" max="11274" width="10.90625" style="2" customWidth="1"/>
    <col min="11275" max="11275" width="12.1796875" style="2" customWidth="1"/>
    <col min="11276" max="11276" width="10.7265625" style="2" customWidth="1"/>
    <col min="11277" max="11277" width="11.453125" style="2" bestFit="1" customWidth="1"/>
    <col min="11278" max="11279" width="9.1796875" style="2" customWidth="1"/>
    <col min="11280" max="11520" width="8.81640625" style="2"/>
    <col min="11521" max="11521" width="4" style="2" customWidth="1"/>
    <col min="11522" max="11522" width="20" style="2" customWidth="1"/>
    <col min="11523" max="11523" width="21.6328125" style="2" bestFit="1" customWidth="1"/>
    <col min="11524" max="11524" width="19.1796875" style="2" bestFit="1" customWidth="1"/>
    <col min="11525" max="11525" width="20.90625" style="2" bestFit="1" customWidth="1"/>
    <col min="11526" max="11526" width="16.453125" style="2" bestFit="1" customWidth="1"/>
    <col min="11527" max="11527" width="14.90625" style="2" customWidth="1"/>
    <col min="11528" max="11528" width="14.6328125" style="2" customWidth="1"/>
    <col min="11529" max="11529" width="10.54296875" style="2" customWidth="1"/>
    <col min="11530" max="11530" width="10.90625" style="2" customWidth="1"/>
    <col min="11531" max="11531" width="12.1796875" style="2" customWidth="1"/>
    <col min="11532" max="11532" width="10.7265625" style="2" customWidth="1"/>
    <col min="11533" max="11533" width="11.453125" style="2" bestFit="1" customWidth="1"/>
    <col min="11534" max="11535" width="9.1796875" style="2" customWidth="1"/>
    <col min="11536" max="11776" width="8.81640625" style="2"/>
    <col min="11777" max="11777" width="4" style="2" customWidth="1"/>
    <col min="11778" max="11778" width="20" style="2" customWidth="1"/>
    <col min="11779" max="11779" width="21.6328125" style="2" bestFit="1" customWidth="1"/>
    <col min="11780" max="11780" width="19.1796875" style="2" bestFit="1" customWidth="1"/>
    <col min="11781" max="11781" width="20.90625" style="2" bestFit="1" customWidth="1"/>
    <col min="11782" max="11782" width="16.453125" style="2" bestFit="1" customWidth="1"/>
    <col min="11783" max="11783" width="14.90625" style="2" customWidth="1"/>
    <col min="11784" max="11784" width="14.6328125" style="2" customWidth="1"/>
    <col min="11785" max="11785" width="10.54296875" style="2" customWidth="1"/>
    <col min="11786" max="11786" width="10.90625" style="2" customWidth="1"/>
    <col min="11787" max="11787" width="12.1796875" style="2" customWidth="1"/>
    <col min="11788" max="11788" width="10.7265625" style="2" customWidth="1"/>
    <col min="11789" max="11789" width="11.453125" style="2" bestFit="1" customWidth="1"/>
    <col min="11790" max="11791" width="9.1796875" style="2" customWidth="1"/>
    <col min="11792" max="12032" width="8.81640625" style="2"/>
    <col min="12033" max="12033" width="4" style="2" customWidth="1"/>
    <col min="12034" max="12034" width="20" style="2" customWidth="1"/>
    <col min="12035" max="12035" width="21.6328125" style="2" bestFit="1" customWidth="1"/>
    <col min="12036" max="12036" width="19.1796875" style="2" bestFit="1" customWidth="1"/>
    <col min="12037" max="12037" width="20.90625" style="2" bestFit="1" customWidth="1"/>
    <col min="12038" max="12038" width="16.453125" style="2" bestFit="1" customWidth="1"/>
    <col min="12039" max="12039" width="14.90625" style="2" customWidth="1"/>
    <col min="12040" max="12040" width="14.6328125" style="2" customWidth="1"/>
    <col min="12041" max="12041" width="10.54296875" style="2" customWidth="1"/>
    <col min="12042" max="12042" width="10.90625" style="2" customWidth="1"/>
    <col min="12043" max="12043" width="12.1796875" style="2" customWidth="1"/>
    <col min="12044" max="12044" width="10.7265625" style="2" customWidth="1"/>
    <col min="12045" max="12045" width="11.453125" style="2" bestFit="1" customWidth="1"/>
    <col min="12046" max="12047" width="9.1796875" style="2" customWidth="1"/>
    <col min="12048" max="12288" width="8.81640625" style="2"/>
    <col min="12289" max="12289" width="4" style="2" customWidth="1"/>
    <col min="12290" max="12290" width="20" style="2" customWidth="1"/>
    <col min="12291" max="12291" width="21.6328125" style="2" bestFit="1" customWidth="1"/>
    <col min="12292" max="12292" width="19.1796875" style="2" bestFit="1" customWidth="1"/>
    <col min="12293" max="12293" width="20.90625" style="2" bestFit="1" customWidth="1"/>
    <col min="12294" max="12294" width="16.453125" style="2" bestFit="1" customWidth="1"/>
    <col min="12295" max="12295" width="14.90625" style="2" customWidth="1"/>
    <col min="12296" max="12296" width="14.6328125" style="2" customWidth="1"/>
    <col min="12297" max="12297" width="10.54296875" style="2" customWidth="1"/>
    <col min="12298" max="12298" width="10.90625" style="2" customWidth="1"/>
    <col min="12299" max="12299" width="12.1796875" style="2" customWidth="1"/>
    <col min="12300" max="12300" width="10.7265625" style="2" customWidth="1"/>
    <col min="12301" max="12301" width="11.453125" style="2" bestFit="1" customWidth="1"/>
    <col min="12302" max="12303" width="9.1796875" style="2" customWidth="1"/>
    <col min="12304" max="12544" width="8.81640625" style="2"/>
    <col min="12545" max="12545" width="4" style="2" customWidth="1"/>
    <col min="12546" max="12546" width="20" style="2" customWidth="1"/>
    <col min="12547" max="12547" width="21.6328125" style="2" bestFit="1" customWidth="1"/>
    <col min="12548" max="12548" width="19.1796875" style="2" bestFit="1" customWidth="1"/>
    <col min="12549" max="12549" width="20.90625" style="2" bestFit="1" customWidth="1"/>
    <col min="12550" max="12550" width="16.453125" style="2" bestFit="1" customWidth="1"/>
    <col min="12551" max="12551" width="14.90625" style="2" customWidth="1"/>
    <col min="12552" max="12552" width="14.6328125" style="2" customWidth="1"/>
    <col min="12553" max="12553" width="10.54296875" style="2" customWidth="1"/>
    <col min="12554" max="12554" width="10.90625" style="2" customWidth="1"/>
    <col min="12555" max="12555" width="12.1796875" style="2" customWidth="1"/>
    <col min="12556" max="12556" width="10.7265625" style="2" customWidth="1"/>
    <col min="12557" max="12557" width="11.453125" style="2" bestFit="1" customWidth="1"/>
    <col min="12558" max="12559" width="9.1796875" style="2" customWidth="1"/>
    <col min="12560" max="12800" width="8.81640625" style="2"/>
    <col min="12801" max="12801" width="4" style="2" customWidth="1"/>
    <col min="12802" max="12802" width="20" style="2" customWidth="1"/>
    <col min="12803" max="12803" width="21.6328125" style="2" bestFit="1" customWidth="1"/>
    <col min="12804" max="12804" width="19.1796875" style="2" bestFit="1" customWidth="1"/>
    <col min="12805" max="12805" width="20.90625" style="2" bestFit="1" customWidth="1"/>
    <col min="12806" max="12806" width="16.453125" style="2" bestFit="1" customWidth="1"/>
    <col min="12807" max="12807" width="14.90625" style="2" customWidth="1"/>
    <col min="12808" max="12808" width="14.6328125" style="2" customWidth="1"/>
    <col min="12809" max="12809" width="10.54296875" style="2" customWidth="1"/>
    <col min="12810" max="12810" width="10.90625" style="2" customWidth="1"/>
    <col min="12811" max="12811" width="12.1796875" style="2" customWidth="1"/>
    <col min="12812" max="12812" width="10.7265625" style="2" customWidth="1"/>
    <col min="12813" max="12813" width="11.453125" style="2" bestFit="1" customWidth="1"/>
    <col min="12814" max="12815" width="9.1796875" style="2" customWidth="1"/>
    <col min="12816" max="13056" width="8.81640625" style="2"/>
    <col min="13057" max="13057" width="4" style="2" customWidth="1"/>
    <col min="13058" max="13058" width="20" style="2" customWidth="1"/>
    <col min="13059" max="13059" width="21.6328125" style="2" bestFit="1" customWidth="1"/>
    <col min="13060" max="13060" width="19.1796875" style="2" bestFit="1" customWidth="1"/>
    <col min="13061" max="13061" width="20.90625" style="2" bestFit="1" customWidth="1"/>
    <col min="13062" max="13062" width="16.453125" style="2" bestFit="1" customWidth="1"/>
    <col min="13063" max="13063" width="14.90625" style="2" customWidth="1"/>
    <col min="13064" max="13064" width="14.6328125" style="2" customWidth="1"/>
    <col min="13065" max="13065" width="10.54296875" style="2" customWidth="1"/>
    <col min="13066" max="13066" width="10.90625" style="2" customWidth="1"/>
    <col min="13067" max="13067" width="12.1796875" style="2" customWidth="1"/>
    <col min="13068" max="13068" width="10.7265625" style="2" customWidth="1"/>
    <col min="13069" max="13069" width="11.453125" style="2" bestFit="1" customWidth="1"/>
    <col min="13070" max="13071" width="9.1796875" style="2" customWidth="1"/>
    <col min="13072" max="13312" width="8.81640625" style="2"/>
    <col min="13313" max="13313" width="4" style="2" customWidth="1"/>
    <col min="13314" max="13314" width="20" style="2" customWidth="1"/>
    <col min="13315" max="13315" width="21.6328125" style="2" bestFit="1" customWidth="1"/>
    <col min="13316" max="13316" width="19.1796875" style="2" bestFit="1" customWidth="1"/>
    <col min="13317" max="13317" width="20.90625" style="2" bestFit="1" customWidth="1"/>
    <col min="13318" max="13318" width="16.453125" style="2" bestFit="1" customWidth="1"/>
    <col min="13319" max="13319" width="14.90625" style="2" customWidth="1"/>
    <col min="13320" max="13320" width="14.6328125" style="2" customWidth="1"/>
    <col min="13321" max="13321" width="10.54296875" style="2" customWidth="1"/>
    <col min="13322" max="13322" width="10.90625" style="2" customWidth="1"/>
    <col min="13323" max="13323" width="12.1796875" style="2" customWidth="1"/>
    <col min="13324" max="13324" width="10.7265625" style="2" customWidth="1"/>
    <col min="13325" max="13325" width="11.453125" style="2" bestFit="1" customWidth="1"/>
    <col min="13326" max="13327" width="9.1796875" style="2" customWidth="1"/>
    <col min="13328" max="13568" width="8.81640625" style="2"/>
    <col min="13569" max="13569" width="4" style="2" customWidth="1"/>
    <col min="13570" max="13570" width="20" style="2" customWidth="1"/>
    <col min="13571" max="13571" width="21.6328125" style="2" bestFit="1" customWidth="1"/>
    <col min="13572" max="13572" width="19.1796875" style="2" bestFit="1" customWidth="1"/>
    <col min="13573" max="13573" width="20.90625" style="2" bestFit="1" customWidth="1"/>
    <col min="13574" max="13574" width="16.453125" style="2" bestFit="1" customWidth="1"/>
    <col min="13575" max="13575" width="14.90625" style="2" customWidth="1"/>
    <col min="13576" max="13576" width="14.6328125" style="2" customWidth="1"/>
    <col min="13577" max="13577" width="10.54296875" style="2" customWidth="1"/>
    <col min="13578" max="13578" width="10.90625" style="2" customWidth="1"/>
    <col min="13579" max="13579" width="12.1796875" style="2" customWidth="1"/>
    <col min="13580" max="13580" width="10.7265625" style="2" customWidth="1"/>
    <col min="13581" max="13581" width="11.453125" style="2" bestFit="1" customWidth="1"/>
    <col min="13582" max="13583" width="9.1796875" style="2" customWidth="1"/>
    <col min="13584" max="13824" width="8.81640625" style="2"/>
    <col min="13825" max="13825" width="4" style="2" customWidth="1"/>
    <col min="13826" max="13826" width="20" style="2" customWidth="1"/>
    <col min="13827" max="13827" width="21.6328125" style="2" bestFit="1" customWidth="1"/>
    <col min="13828" max="13828" width="19.1796875" style="2" bestFit="1" customWidth="1"/>
    <col min="13829" max="13829" width="20.90625" style="2" bestFit="1" customWidth="1"/>
    <col min="13830" max="13830" width="16.453125" style="2" bestFit="1" customWidth="1"/>
    <col min="13831" max="13831" width="14.90625" style="2" customWidth="1"/>
    <col min="13832" max="13832" width="14.6328125" style="2" customWidth="1"/>
    <col min="13833" max="13833" width="10.54296875" style="2" customWidth="1"/>
    <col min="13834" max="13834" width="10.90625" style="2" customWidth="1"/>
    <col min="13835" max="13835" width="12.1796875" style="2" customWidth="1"/>
    <col min="13836" max="13836" width="10.7265625" style="2" customWidth="1"/>
    <col min="13837" max="13837" width="11.453125" style="2" bestFit="1" customWidth="1"/>
    <col min="13838" max="13839" width="9.1796875" style="2" customWidth="1"/>
    <col min="13840" max="14080" width="8.81640625" style="2"/>
    <col min="14081" max="14081" width="4" style="2" customWidth="1"/>
    <col min="14082" max="14082" width="20" style="2" customWidth="1"/>
    <col min="14083" max="14083" width="21.6328125" style="2" bestFit="1" customWidth="1"/>
    <col min="14084" max="14084" width="19.1796875" style="2" bestFit="1" customWidth="1"/>
    <col min="14085" max="14085" width="20.90625" style="2" bestFit="1" customWidth="1"/>
    <col min="14086" max="14086" width="16.453125" style="2" bestFit="1" customWidth="1"/>
    <col min="14087" max="14087" width="14.90625" style="2" customWidth="1"/>
    <col min="14088" max="14088" width="14.6328125" style="2" customWidth="1"/>
    <col min="14089" max="14089" width="10.54296875" style="2" customWidth="1"/>
    <col min="14090" max="14090" width="10.90625" style="2" customWidth="1"/>
    <col min="14091" max="14091" width="12.1796875" style="2" customWidth="1"/>
    <col min="14092" max="14092" width="10.7265625" style="2" customWidth="1"/>
    <col min="14093" max="14093" width="11.453125" style="2" bestFit="1" customWidth="1"/>
    <col min="14094" max="14095" width="9.1796875" style="2" customWidth="1"/>
    <col min="14096" max="14336" width="8.81640625" style="2"/>
    <col min="14337" max="14337" width="4" style="2" customWidth="1"/>
    <col min="14338" max="14338" width="20" style="2" customWidth="1"/>
    <col min="14339" max="14339" width="21.6328125" style="2" bestFit="1" customWidth="1"/>
    <col min="14340" max="14340" width="19.1796875" style="2" bestFit="1" customWidth="1"/>
    <col min="14341" max="14341" width="20.90625" style="2" bestFit="1" customWidth="1"/>
    <col min="14342" max="14342" width="16.453125" style="2" bestFit="1" customWidth="1"/>
    <col min="14343" max="14343" width="14.90625" style="2" customWidth="1"/>
    <col min="14344" max="14344" width="14.6328125" style="2" customWidth="1"/>
    <col min="14345" max="14345" width="10.54296875" style="2" customWidth="1"/>
    <col min="14346" max="14346" width="10.90625" style="2" customWidth="1"/>
    <col min="14347" max="14347" width="12.1796875" style="2" customWidth="1"/>
    <col min="14348" max="14348" width="10.7265625" style="2" customWidth="1"/>
    <col min="14349" max="14349" width="11.453125" style="2" bestFit="1" customWidth="1"/>
    <col min="14350" max="14351" width="9.1796875" style="2" customWidth="1"/>
    <col min="14352" max="14592" width="8.81640625" style="2"/>
    <col min="14593" max="14593" width="4" style="2" customWidth="1"/>
    <col min="14594" max="14594" width="20" style="2" customWidth="1"/>
    <col min="14595" max="14595" width="21.6328125" style="2" bestFit="1" customWidth="1"/>
    <col min="14596" max="14596" width="19.1796875" style="2" bestFit="1" customWidth="1"/>
    <col min="14597" max="14597" width="20.90625" style="2" bestFit="1" customWidth="1"/>
    <col min="14598" max="14598" width="16.453125" style="2" bestFit="1" customWidth="1"/>
    <col min="14599" max="14599" width="14.90625" style="2" customWidth="1"/>
    <col min="14600" max="14600" width="14.6328125" style="2" customWidth="1"/>
    <col min="14601" max="14601" width="10.54296875" style="2" customWidth="1"/>
    <col min="14602" max="14602" width="10.90625" style="2" customWidth="1"/>
    <col min="14603" max="14603" width="12.1796875" style="2" customWidth="1"/>
    <col min="14604" max="14604" width="10.7265625" style="2" customWidth="1"/>
    <col min="14605" max="14605" width="11.453125" style="2" bestFit="1" customWidth="1"/>
    <col min="14606" max="14607" width="9.1796875" style="2" customWidth="1"/>
    <col min="14608" max="14848" width="8.81640625" style="2"/>
    <col min="14849" max="14849" width="4" style="2" customWidth="1"/>
    <col min="14850" max="14850" width="20" style="2" customWidth="1"/>
    <col min="14851" max="14851" width="21.6328125" style="2" bestFit="1" customWidth="1"/>
    <col min="14852" max="14852" width="19.1796875" style="2" bestFit="1" customWidth="1"/>
    <col min="14853" max="14853" width="20.90625" style="2" bestFit="1" customWidth="1"/>
    <col min="14854" max="14854" width="16.453125" style="2" bestFit="1" customWidth="1"/>
    <col min="14855" max="14855" width="14.90625" style="2" customWidth="1"/>
    <col min="14856" max="14856" width="14.6328125" style="2" customWidth="1"/>
    <col min="14857" max="14857" width="10.54296875" style="2" customWidth="1"/>
    <col min="14858" max="14858" width="10.90625" style="2" customWidth="1"/>
    <col min="14859" max="14859" width="12.1796875" style="2" customWidth="1"/>
    <col min="14860" max="14860" width="10.7265625" style="2" customWidth="1"/>
    <col min="14861" max="14861" width="11.453125" style="2" bestFit="1" customWidth="1"/>
    <col min="14862" max="14863" width="9.1796875" style="2" customWidth="1"/>
    <col min="14864" max="15104" width="8.81640625" style="2"/>
    <col min="15105" max="15105" width="4" style="2" customWidth="1"/>
    <col min="15106" max="15106" width="20" style="2" customWidth="1"/>
    <col min="15107" max="15107" width="21.6328125" style="2" bestFit="1" customWidth="1"/>
    <col min="15108" max="15108" width="19.1796875" style="2" bestFit="1" customWidth="1"/>
    <col min="15109" max="15109" width="20.90625" style="2" bestFit="1" customWidth="1"/>
    <col min="15110" max="15110" width="16.453125" style="2" bestFit="1" customWidth="1"/>
    <col min="15111" max="15111" width="14.90625" style="2" customWidth="1"/>
    <col min="15112" max="15112" width="14.6328125" style="2" customWidth="1"/>
    <col min="15113" max="15113" width="10.54296875" style="2" customWidth="1"/>
    <col min="15114" max="15114" width="10.90625" style="2" customWidth="1"/>
    <col min="15115" max="15115" width="12.1796875" style="2" customWidth="1"/>
    <col min="15116" max="15116" width="10.7265625" style="2" customWidth="1"/>
    <col min="15117" max="15117" width="11.453125" style="2" bestFit="1" customWidth="1"/>
    <col min="15118" max="15119" width="9.1796875" style="2" customWidth="1"/>
    <col min="15120" max="15360" width="8.81640625" style="2"/>
    <col min="15361" max="15361" width="4" style="2" customWidth="1"/>
    <col min="15362" max="15362" width="20" style="2" customWidth="1"/>
    <col min="15363" max="15363" width="21.6328125" style="2" bestFit="1" customWidth="1"/>
    <col min="15364" max="15364" width="19.1796875" style="2" bestFit="1" customWidth="1"/>
    <col min="15365" max="15365" width="20.90625" style="2" bestFit="1" customWidth="1"/>
    <col min="15366" max="15366" width="16.453125" style="2" bestFit="1" customWidth="1"/>
    <col min="15367" max="15367" width="14.90625" style="2" customWidth="1"/>
    <col min="15368" max="15368" width="14.6328125" style="2" customWidth="1"/>
    <col min="15369" max="15369" width="10.54296875" style="2" customWidth="1"/>
    <col min="15370" max="15370" width="10.90625" style="2" customWidth="1"/>
    <col min="15371" max="15371" width="12.1796875" style="2" customWidth="1"/>
    <col min="15372" max="15372" width="10.7265625" style="2" customWidth="1"/>
    <col min="15373" max="15373" width="11.453125" style="2" bestFit="1" customWidth="1"/>
    <col min="15374" max="15375" width="9.1796875" style="2" customWidth="1"/>
    <col min="15376" max="15616" width="8.81640625" style="2"/>
    <col min="15617" max="15617" width="4" style="2" customWidth="1"/>
    <col min="15618" max="15618" width="20" style="2" customWidth="1"/>
    <col min="15619" max="15619" width="21.6328125" style="2" bestFit="1" customWidth="1"/>
    <col min="15620" max="15620" width="19.1796875" style="2" bestFit="1" customWidth="1"/>
    <col min="15621" max="15621" width="20.90625" style="2" bestFit="1" customWidth="1"/>
    <col min="15622" max="15622" width="16.453125" style="2" bestFit="1" customWidth="1"/>
    <col min="15623" max="15623" width="14.90625" style="2" customWidth="1"/>
    <col min="15624" max="15624" width="14.6328125" style="2" customWidth="1"/>
    <col min="15625" max="15625" width="10.54296875" style="2" customWidth="1"/>
    <col min="15626" max="15626" width="10.90625" style="2" customWidth="1"/>
    <col min="15627" max="15627" width="12.1796875" style="2" customWidth="1"/>
    <col min="15628" max="15628" width="10.7265625" style="2" customWidth="1"/>
    <col min="15629" max="15629" width="11.453125" style="2" bestFit="1" customWidth="1"/>
    <col min="15630" max="15631" width="9.1796875" style="2" customWidth="1"/>
    <col min="15632" max="15872" width="8.81640625" style="2"/>
    <col min="15873" max="15873" width="4" style="2" customWidth="1"/>
    <col min="15874" max="15874" width="20" style="2" customWidth="1"/>
    <col min="15875" max="15875" width="21.6328125" style="2" bestFit="1" customWidth="1"/>
    <col min="15876" max="15876" width="19.1796875" style="2" bestFit="1" customWidth="1"/>
    <col min="15877" max="15877" width="20.90625" style="2" bestFit="1" customWidth="1"/>
    <col min="15878" max="15878" width="16.453125" style="2" bestFit="1" customWidth="1"/>
    <col min="15879" max="15879" width="14.90625" style="2" customWidth="1"/>
    <col min="15880" max="15880" width="14.6328125" style="2" customWidth="1"/>
    <col min="15881" max="15881" width="10.54296875" style="2" customWidth="1"/>
    <col min="15882" max="15882" width="10.90625" style="2" customWidth="1"/>
    <col min="15883" max="15883" width="12.1796875" style="2" customWidth="1"/>
    <col min="15884" max="15884" width="10.7265625" style="2" customWidth="1"/>
    <col min="15885" max="15885" width="11.453125" style="2" bestFit="1" customWidth="1"/>
    <col min="15886" max="15887" width="9.1796875" style="2" customWidth="1"/>
    <col min="15888" max="16128" width="8.81640625" style="2"/>
    <col min="16129" max="16129" width="4" style="2" customWidth="1"/>
    <col min="16130" max="16130" width="20" style="2" customWidth="1"/>
    <col min="16131" max="16131" width="21.6328125" style="2" bestFit="1" customWidth="1"/>
    <col min="16132" max="16132" width="19.1796875" style="2" bestFit="1" customWidth="1"/>
    <col min="16133" max="16133" width="20.90625" style="2" bestFit="1" customWidth="1"/>
    <col min="16134" max="16134" width="16.453125" style="2" bestFit="1" customWidth="1"/>
    <col min="16135" max="16135" width="14.90625" style="2" customWidth="1"/>
    <col min="16136" max="16136" width="14.6328125" style="2" customWidth="1"/>
    <col min="16137" max="16137" width="10.54296875" style="2" customWidth="1"/>
    <col min="16138" max="16138" width="10.90625" style="2" customWidth="1"/>
    <col min="16139" max="16139" width="12.1796875" style="2" customWidth="1"/>
    <col min="16140" max="16140" width="10.7265625" style="2" customWidth="1"/>
    <col min="16141" max="16141" width="11.453125" style="2" bestFit="1" customWidth="1"/>
    <col min="16142" max="16143" width="9.1796875" style="2" customWidth="1"/>
    <col min="16144" max="16384" width="8.81640625" style="2"/>
  </cols>
  <sheetData>
    <row r="1" spans="1:15" x14ac:dyDescent="0.35">
      <c r="A1" s="1" t="s">
        <v>1921</v>
      </c>
    </row>
    <row r="2" spans="1:15" x14ac:dyDescent="0.35">
      <c r="A2" s="1" t="s">
        <v>1922</v>
      </c>
    </row>
    <row r="3" spans="1:15" s="6" customFormat="1" ht="37.5" x14ac:dyDescent="0.35">
      <c r="A3" s="4" t="s">
        <v>1923</v>
      </c>
      <c r="B3" s="4" t="s">
        <v>1924</v>
      </c>
      <c r="C3" s="4" t="s">
        <v>1925</v>
      </c>
      <c r="D3" s="4" t="s">
        <v>1926</v>
      </c>
      <c r="E3" s="4" t="s">
        <v>1927</v>
      </c>
      <c r="F3" s="4" t="s">
        <v>1928</v>
      </c>
      <c r="G3" s="4" t="s">
        <v>1929</v>
      </c>
      <c r="H3" s="4" t="s">
        <v>1930</v>
      </c>
      <c r="I3" s="4" t="s">
        <v>1931</v>
      </c>
      <c r="J3" s="4" t="s">
        <v>1932</v>
      </c>
      <c r="K3" s="4" t="s">
        <v>1930</v>
      </c>
      <c r="L3" s="4" t="s">
        <v>1931</v>
      </c>
      <c r="M3" s="5" t="s">
        <v>1933</v>
      </c>
      <c r="N3" s="5" t="s">
        <v>1930</v>
      </c>
      <c r="O3" s="5" t="s">
        <v>1931</v>
      </c>
    </row>
    <row r="4" spans="1:15" x14ac:dyDescent="0.35">
      <c r="A4" s="2">
        <v>1</v>
      </c>
      <c r="B4" s="2" t="s">
        <v>1934</v>
      </c>
      <c r="C4" s="2">
        <v>131</v>
      </c>
      <c r="D4" s="2" t="s">
        <v>128</v>
      </c>
      <c r="E4" s="2" t="s">
        <v>1935</v>
      </c>
      <c r="F4" s="2" t="s">
        <v>1936</v>
      </c>
      <c r="G4" s="7">
        <v>3</v>
      </c>
      <c r="H4" s="8">
        <v>3</v>
      </c>
      <c r="I4" s="9">
        <f t="shared" ref="I4:I24" si="0">H4-G4</f>
        <v>0</v>
      </c>
      <c r="J4" s="7">
        <v>4</v>
      </c>
      <c r="K4" s="8">
        <v>4</v>
      </c>
      <c r="L4" s="9">
        <f t="shared" ref="L4:L24" si="1">K4-J4</f>
        <v>0</v>
      </c>
      <c r="M4" s="7">
        <v>2</v>
      </c>
      <c r="N4" s="8">
        <v>1</v>
      </c>
      <c r="O4" s="9">
        <f t="shared" ref="O4:O24" si="2">N4-M4</f>
        <v>-1</v>
      </c>
    </row>
    <row r="5" spans="1:15" x14ac:dyDescent="0.35">
      <c r="A5" s="2">
        <v>2</v>
      </c>
      <c r="B5" s="2" t="s">
        <v>1934</v>
      </c>
      <c r="C5" s="2">
        <v>324</v>
      </c>
      <c r="D5" s="2" t="s">
        <v>51</v>
      </c>
      <c r="E5" s="2" t="s">
        <v>1935</v>
      </c>
      <c r="F5" s="2" t="s">
        <v>1936</v>
      </c>
      <c r="G5" s="7">
        <v>2</v>
      </c>
      <c r="H5" s="8">
        <v>2</v>
      </c>
      <c r="I5" s="9">
        <f t="shared" si="0"/>
        <v>0</v>
      </c>
      <c r="J5" s="7">
        <v>3</v>
      </c>
      <c r="K5" s="8">
        <v>3</v>
      </c>
      <c r="L5" s="9">
        <f t="shared" si="1"/>
        <v>0</v>
      </c>
      <c r="M5" s="7">
        <v>1</v>
      </c>
      <c r="N5" s="8">
        <v>1</v>
      </c>
      <c r="O5" s="9">
        <f t="shared" si="2"/>
        <v>0</v>
      </c>
    </row>
    <row r="6" spans="1:15" x14ac:dyDescent="0.35">
      <c r="A6" s="2">
        <v>3</v>
      </c>
      <c r="B6" s="2" t="s">
        <v>1934</v>
      </c>
      <c r="C6" s="2">
        <v>164</v>
      </c>
      <c r="D6" s="2" t="s">
        <v>87</v>
      </c>
      <c r="E6" s="2" t="s">
        <v>1935</v>
      </c>
      <c r="F6" s="2" t="s">
        <v>1936</v>
      </c>
      <c r="G6" s="7">
        <v>3</v>
      </c>
      <c r="H6" s="8">
        <v>4</v>
      </c>
      <c r="I6" s="9">
        <f t="shared" si="0"/>
        <v>1</v>
      </c>
      <c r="J6" s="7">
        <v>4</v>
      </c>
      <c r="K6" s="8">
        <v>4</v>
      </c>
      <c r="L6" s="9">
        <f t="shared" si="1"/>
        <v>0</v>
      </c>
      <c r="M6" s="7">
        <v>2</v>
      </c>
      <c r="N6" s="8">
        <v>1</v>
      </c>
      <c r="O6" s="9">
        <f t="shared" si="2"/>
        <v>-1</v>
      </c>
    </row>
    <row r="7" spans="1:15" x14ac:dyDescent="0.35">
      <c r="A7" s="2">
        <v>4</v>
      </c>
      <c r="B7" s="2" t="s">
        <v>1934</v>
      </c>
      <c r="C7" s="2">
        <v>604</v>
      </c>
      <c r="D7" s="2" t="s">
        <v>232</v>
      </c>
      <c r="E7" s="2" t="s">
        <v>1937</v>
      </c>
      <c r="F7" s="2" t="s">
        <v>1936</v>
      </c>
      <c r="G7" s="7">
        <v>2</v>
      </c>
      <c r="H7" s="8">
        <v>3</v>
      </c>
      <c r="I7" s="9">
        <f t="shared" si="0"/>
        <v>1</v>
      </c>
      <c r="J7" s="7">
        <v>3</v>
      </c>
      <c r="K7" s="8">
        <v>3</v>
      </c>
      <c r="L7" s="9">
        <f t="shared" si="1"/>
        <v>0</v>
      </c>
      <c r="M7" s="7">
        <v>1</v>
      </c>
      <c r="N7" s="8">
        <v>0</v>
      </c>
      <c r="O7" s="9">
        <f t="shared" si="2"/>
        <v>-1</v>
      </c>
    </row>
    <row r="8" spans="1:15" x14ac:dyDescent="0.35">
      <c r="A8" s="2">
        <v>5</v>
      </c>
      <c r="B8" s="2" t="s">
        <v>1934</v>
      </c>
      <c r="C8" s="2">
        <v>607</v>
      </c>
      <c r="D8" s="2" t="s">
        <v>162</v>
      </c>
      <c r="E8" s="2" t="s">
        <v>1937</v>
      </c>
      <c r="F8" s="2" t="s">
        <v>1936</v>
      </c>
      <c r="G8" s="7">
        <v>2</v>
      </c>
      <c r="H8" s="8">
        <v>2</v>
      </c>
      <c r="I8" s="9">
        <f t="shared" si="0"/>
        <v>0</v>
      </c>
      <c r="J8" s="7">
        <v>2</v>
      </c>
      <c r="K8" s="8">
        <v>2</v>
      </c>
      <c r="L8" s="9">
        <f t="shared" si="1"/>
        <v>0</v>
      </c>
      <c r="M8" s="7">
        <v>1</v>
      </c>
      <c r="N8" s="8">
        <v>1</v>
      </c>
      <c r="O8" s="9">
        <f t="shared" si="2"/>
        <v>0</v>
      </c>
    </row>
    <row r="9" spans="1:15" x14ac:dyDescent="0.35">
      <c r="A9" s="2">
        <v>6</v>
      </c>
      <c r="B9" s="2" t="s">
        <v>1934</v>
      </c>
      <c r="C9" s="2">
        <v>184</v>
      </c>
      <c r="D9" s="2" t="s">
        <v>123</v>
      </c>
      <c r="E9" s="2" t="s">
        <v>1935</v>
      </c>
      <c r="F9" s="2" t="s">
        <v>1936</v>
      </c>
      <c r="G9" s="7">
        <v>2</v>
      </c>
      <c r="H9" s="8">
        <v>1</v>
      </c>
      <c r="I9" s="9">
        <f t="shared" si="0"/>
        <v>-1</v>
      </c>
      <c r="J9" s="7">
        <v>4</v>
      </c>
      <c r="K9" s="8">
        <v>3</v>
      </c>
      <c r="L9" s="9">
        <f t="shared" si="1"/>
        <v>-1</v>
      </c>
      <c r="M9" s="7">
        <v>2</v>
      </c>
      <c r="N9" s="8">
        <v>2</v>
      </c>
      <c r="O9" s="9">
        <f t="shared" si="2"/>
        <v>0</v>
      </c>
    </row>
    <row r="10" spans="1:15" x14ac:dyDescent="0.35">
      <c r="A10" s="2">
        <v>7</v>
      </c>
      <c r="B10" s="2" t="s">
        <v>1934</v>
      </c>
      <c r="C10" s="2">
        <v>63</v>
      </c>
      <c r="D10" s="2" t="s">
        <v>246</v>
      </c>
      <c r="E10" s="2" t="s">
        <v>1938</v>
      </c>
      <c r="F10" s="2" t="s">
        <v>1936</v>
      </c>
      <c r="G10" s="7">
        <v>5</v>
      </c>
      <c r="H10" s="8">
        <v>4</v>
      </c>
      <c r="I10" s="9">
        <f t="shared" si="0"/>
        <v>-1</v>
      </c>
      <c r="J10" s="7">
        <v>4</v>
      </c>
      <c r="K10" s="8">
        <v>4</v>
      </c>
      <c r="L10" s="9">
        <f t="shared" si="1"/>
        <v>0</v>
      </c>
      <c r="M10" s="7">
        <v>2</v>
      </c>
      <c r="N10" s="8">
        <v>1</v>
      </c>
      <c r="O10" s="9">
        <f t="shared" si="2"/>
        <v>-1</v>
      </c>
    </row>
    <row r="11" spans="1:15" x14ac:dyDescent="0.35">
      <c r="A11" s="2">
        <v>8</v>
      </c>
      <c r="B11" s="2" t="s">
        <v>1934</v>
      </c>
      <c r="C11" s="2">
        <v>342</v>
      </c>
      <c r="D11" s="2" t="s">
        <v>57</v>
      </c>
      <c r="E11" s="2" t="s">
        <v>1939</v>
      </c>
      <c r="F11" s="2" t="s">
        <v>1936</v>
      </c>
      <c r="G11" s="7">
        <v>4</v>
      </c>
      <c r="H11" s="8">
        <v>3</v>
      </c>
      <c r="I11" s="9">
        <f t="shared" si="0"/>
        <v>-1</v>
      </c>
      <c r="J11" s="7">
        <v>3</v>
      </c>
      <c r="K11" s="8">
        <v>4</v>
      </c>
      <c r="L11" s="9">
        <f t="shared" si="1"/>
        <v>1</v>
      </c>
      <c r="M11" s="7">
        <v>2</v>
      </c>
      <c r="N11" s="8">
        <v>2</v>
      </c>
      <c r="O11" s="9">
        <f t="shared" si="2"/>
        <v>0</v>
      </c>
    </row>
    <row r="12" spans="1:15" x14ac:dyDescent="0.35">
      <c r="A12" s="2">
        <v>9</v>
      </c>
      <c r="B12" s="2" t="s">
        <v>1934</v>
      </c>
      <c r="C12" s="2">
        <v>59</v>
      </c>
      <c r="D12" s="2" t="s">
        <v>73</v>
      </c>
      <c r="E12" s="2" t="s">
        <v>1940</v>
      </c>
      <c r="F12" s="2" t="s">
        <v>1936</v>
      </c>
      <c r="G12" s="7">
        <v>5</v>
      </c>
      <c r="H12" s="8">
        <v>4</v>
      </c>
      <c r="I12" s="9">
        <f t="shared" si="0"/>
        <v>-1</v>
      </c>
      <c r="J12" s="7">
        <v>7</v>
      </c>
      <c r="K12" s="8">
        <v>7</v>
      </c>
      <c r="L12" s="9">
        <f t="shared" si="1"/>
        <v>0</v>
      </c>
      <c r="M12" s="7">
        <v>6</v>
      </c>
      <c r="N12" s="8">
        <v>6</v>
      </c>
      <c r="O12" s="9">
        <f t="shared" si="2"/>
        <v>0</v>
      </c>
    </row>
    <row r="13" spans="1:15" x14ac:dyDescent="0.35">
      <c r="A13" s="2">
        <v>10</v>
      </c>
      <c r="B13" s="2" t="s">
        <v>1934</v>
      </c>
      <c r="C13" s="2">
        <v>138</v>
      </c>
      <c r="D13" s="2" t="s">
        <v>315</v>
      </c>
      <c r="E13" s="2" t="s">
        <v>1937</v>
      </c>
      <c r="F13" s="2" t="s">
        <v>1936</v>
      </c>
      <c r="G13" s="7">
        <v>2</v>
      </c>
      <c r="H13" s="8">
        <v>2</v>
      </c>
      <c r="I13" s="9">
        <f t="shared" si="0"/>
        <v>0</v>
      </c>
      <c r="J13" s="7">
        <v>3</v>
      </c>
      <c r="K13" s="8">
        <v>3</v>
      </c>
      <c r="L13" s="9">
        <f t="shared" si="1"/>
        <v>0</v>
      </c>
      <c r="M13" s="7">
        <v>1</v>
      </c>
      <c r="N13" s="8">
        <v>1</v>
      </c>
      <c r="O13" s="9">
        <f t="shared" si="2"/>
        <v>0</v>
      </c>
    </row>
    <row r="14" spans="1:15" x14ac:dyDescent="0.35">
      <c r="A14" s="2">
        <v>11</v>
      </c>
      <c r="B14" s="2" t="s">
        <v>1934</v>
      </c>
      <c r="C14" s="2">
        <v>128</v>
      </c>
      <c r="D14" s="2" t="s">
        <v>36</v>
      </c>
      <c r="E14" s="2" t="s">
        <v>1937</v>
      </c>
      <c r="F14" s="2" t="s">
        <v>1936</v>
      </c>
      <c r="G14" s="7">
        <v>2</v>
      </c>
      <c r="H14" s="8">
        <v>2</v>
      </c>
      <c r="I14" s="9">
        <f t="shared" si="0"/>
        <v>0</v>
      </c>
      <c r="J14" s="7">
        <v>3</v>
      </c>
      <c r="K14" s="8">
        <v>3</v>
      </c>
      <c r="L14" s="9">
        <f t="shared" si="1"/>
        <v>0</v>
      </c>
      <c r="M14" s="7">
        <v>2</v>
      </c>
      <c r="N14" s="8">
        <v>2</v>
      </c>
      <c r="O14" s="9">
        <f t="shared" si="2"/>
        <v>0</v>
      </c>
    </row>
    <row r="15" spans="1:15" x14ac:dyDescent="0.35">
      <c r="A15" s="2">
        <v>12</v>
      </c>
      <c r="B15" s="2" t="s">
        <v>1934</v>
      </c>
      <c r="C15" s="2">
        <v>160</v>
      </c>
      <c r="D15" s="2" t="s">
        <v>169</v>
      </c>
      <c r="E15" s="2" t="s">
        <v>1935</v>
      </c>
      <c r="F15" s="2" t="s">
        <v>1936</v>
      </c>
      <c r="G15" s="7">
        <v>2</v>
      </c>
      <c r="H15" s="8">
        <v>2</v>
      </c>
      <c r="I15" s="9">
        <f t="shared" si="0"/>
        <v>0</v>
      </c>
      <c r="J15" s="7">
        <v>4</v>
      </c>
      <c r="K15" s="8">
        <v>4</v>
      </c>
      <c r="L15" s="9">
        <f t="shared" si="1"/>
        <v>0</v>
      </c>
      <c r="M15" s="7">
        <v>2</v>
      </c>
      <c r="N15" s="8">
        <v>1</v>
      </c>
      <c r="O15" s="9">
        <f t="shared" si="2"/>
        <v>-1</v>
      </c>
    </row>
    <row r="16" spans="1:15" x14ac:dyDescent="0.35">
      <c r="A16" s="2">
        <v>13</v>
      </c>
      <c r="B16" s="2" t="s">
        <v>1934</v>
      </c>
      <c r="C16" s="2">
        <v>315</v>
      </c>
      <c r="D16" s="2" t="s">
        <v>322</v>
      </c>
      <c r="E16" s="2" t="s">
        <v>1937</v>
      </c>
      <c r="F16" s="2" t="s">
        <v>1936</v>
      </c>
      <c r="G16" s="7">
        <v>2</v>
      </c>
      <c r="H16" s="8">
        <v>2</v>
      </c>
      <c r="I16" s="9">
        <f t="shared" si="0"/>
        <v>0</v>
      </c>
      <c r="J16" s="7">
        <v>3</v>
      </c>
      <c r="K16" s="8">
        <v>3</v>
      </c>
      <c r="L16" s="9">
        <f t="shared" si="1"/>
        <v>0</v>
      </c>
      <c r="M16" s="7">
        <v>1</v>
      </c>
      <c r="N16" s="8">
        <v>1</v>
      </c>
      <c r="O16" s="9">
        <f t="shared" si="2"/>
        <v>0</v>
      </c>
    </row>
    <row r="17" spans="1:15" x14ac:dyDescent="0.35">
      <c r="A17" s="2">
        <v>14</v>
      </c>
      <c r="B17" s="2" t="s">
        <v>1934</v>
      </c>
      <c r="C17" s="2">
        <v>129</v>
      </c>
      <c r="D17" s="2" t="s">
        <v>143</v>
      </c>
      <c r="E17" s="2" t="s">
        <v>1935</v>
      </c>
      <c r="F17" s="2" t="s">
        <v>1936</v>
      </c>
      <c r="G17" s="7">
        <v>2</v>
      </c>
      <c r="H17" s="8">
        <v>2</v>
      </c>
      <c r="I17" s="9">
        <f t="shared" si="0"/>
        <v>0</v>
      </c>
      <c r="J17" s="7">
        <v>4</v>
      </c>
      <c r="K17" s="8">
        <v>4</v>
      </c>
      <c r="L17" s="9">
        <f t="shared" si="1"/>
        <v>0</v>
      </c>
      <c r="M17" s="7">
        <v>2</v>
      </c>
      <c r="N17" s="8">
        <v>1</v>
      </c>
      <c r="O17" s="9">
        <f t="shared" si="2"/>
        <v>-1</v>
      </c>
    </row>
    <row r="18" spans="1:15" x14ac:dyDescent="0.35">
      <c r="A18" s="2">
        <v>15</v>
      </c>
      <c r="B18" s="2" t="s">
        <v>1934</v>
      </c>
      <c r="C18" s="2">
        <v>40</v>
      </c>
      <c r="D18" s="2" t="s">
        <v>78</v>
      </c>
      <c r="E18" s="2" t="s">
        <v>1935</v>
      </c>
      <c r="F18" s="2" t="s">
        <v>1936</v>
      </c>
      <c r="G18" s="7">
        <v>2</v>
      </c>
      <c r="H18" s="8">
        <v>2</v>
      </c>
      <c r="I18" s="9">
        <f t="shared" si="0"/>
        <v>0</v>
      </c>
      <c r="J18" s="7">
        <v>3</v>
      </c>
      <c r="K18" s="8">
        <v>4</v>
      </c>
      <c r="L18" s="9">
        <f t="shared" si="1"/>
        <v>1</v>
      </c>
      <c r="M18" s="7">
        <v>1</v>
      </c>
      <c r="N18" s="8">
        <v>1</v>
      </c>
      <c r="O18" s="9">
        <f t="shared" si="2"/>
        <v>0</v>
      </c>
    </row>
    <row r="19" spans="1:15" x14ac:dyDescent="0.35">
      <c r="A19" s="2">
        <v>16</v>
      </c>
      <c r="B19" s="2" t="s">
        <v>1934</v>
      </c>
      <c r="C19" s="2">
        <v>179</v>
      </c>
      <c r="D19" s="2" t="s">
        <v>148</v>
      </c>
      <c r="E19" s="2" t="s">
        <v>1935</v>
      </c>
      <c r="F19" s="2" t="s">
        <v>1936</v>
      </c>
      <c r="G19" s="7">
        <v>1</v>
      </c>
      <c r="H19" s="8">
        <v>2</v>
      </c>
      <c r="I19" s="9">
        <f t="shared" si="0"/>
        <v>1</v>
      </c>
      <c r="J19" s="7">
        <v>3</v>
      </c>
      <c r="K19" s="8">
        <v>3</v>
      </c>
      <c r="L19" s="9">
        <f t="shared" si="1"/>
        <v>0</v>
      </c>
      <c r="M19" s="7">
        <v>2</v>
      </c>
      <c r="N19" s="8">
        <v>1</v>
      </c>
      <c r="O19" s="9">
        <f t="shared" si="2"/>
        <v>-1</v>
      </c>
    </row>
    <row r="20" spans="1:15" x14ac:dyDescent="0.35">
      <c r="A20" s="2">
        <v>17</v>
      </c>
      <c r="B20" s="2" t="s">
        <v>1934</v>
      </c>
      <c r="C20" s="2">
        <v>30</v>
      </c>
      <c r="D20" s="2" t="s">
        <v>22</v>
      </c>
      <c r="E20" s="2" t="s">
        <v>1941</v>
      </c>
      <c r="F20" s="2" t="s">
        <v>1936</v>
      </c>
      <c r="G20" s="7">
        <v>2</v>
      </c>
      <c r="H20" s="8">
        <v>2</v>
      </c>
      <c r="I20" s="9">
        <f t="shared" si="0"/>
        <v>0</v>
      </c>
      <c r="J20" s="7">
        <v>3</v>
      </c>
      <c r="K20" s="8">
        <v>3</v>
      </c>
      <c r="L20" s="9">
        <f t="shared" si="1"/>
        <v>0</v>
      </c>
      <c r="M20" s="7">
        <v>2</v>
      </c>
      <c r="N20" s="8">
        <v>1</v>
      </c>
      <c r="O20" s="9">
        <f t="shared" si="2"/>
        <v>-1</v>
      </c>
    </row>
    <row r="21" spans="1:15" x14ac:dyDescent="0.35">
      <c r="A21" s="2">
        <v>18</v>
      </c>
      <c r="B21" s="2" t="s">
        <v>1934</v>
      </c>
      <c r="C21" s="2">
        <v>20</v>
      </c>
      <c r="D21" s="2" t="s">
        <v>235</v>
      </c>
      <c r="E21" s="2" t="s">
        <v>1939</v>
      </c>
      <c r="F21" s="2" t="s">
        <v>1936</v>
      </c>
      <c r="G21" s="7">
        <v>3</v>
      </c>
      <c r="H21" s="8">
        <v>2</v>
      </c>
      <c r="I21" s="9">
        <f t="shared" si="0"/>
        <v>-1</v>
      </c>
      <c r="J21" s="7">
        <v>4</v>
      </c>
      <c r="K21" s="8">
        <v>4</v>
      </c>
      <c r="L21" s="9">
        <f t="shared" si="1"/>
        <v>0</v>
      </c>
      <c r="M21" s="7">
        <v>4</v>
      </c>
      <c r="N21" s="8">
        <v>4</v>
      </c>
      <c r="O21" s="9">
        <f t="shared" si="2"/>
        <v>0</v>
      </c>
    </row>
    <row r="22" spans="1:15" x14ac:dyDescent="0.35">
      <c r="A22" s="2">
        <v>19</v>
      </c>
      <c r="B22" s="2" t="s">
        <v>1934</v>
      </c>
      <c r="C22" s="2">
        <v>8</v>
      </c>
      <c r="D22" s="2" t="s">
        <v>62</v>
      </c>
      <c r="E22" s="2" t="s">
        <v>1935</v>
      </c>
      <c r="F22" s="2" t="s">
        <v>1936</v>
      </c>
      <c r="G22" s="7">
        <v>3</v>
      </c>
      <c r="H22" s="8">
        <v>4</v>
      </c>
      <c r="I22" s="9">
        <f t="shared" si="0"/>
        <v>1</v>
      </c>
      <c r="J22" s="7">
        <v>4</v>
      </c>
      <c r="K22" s="8">
        <v>5</v>
      </c>
      <c r="L22" s="9">
        <f t="shared" si="1"/>
        <v>1</v>
      </c>
      <c r="M22" s="7">
        <v>2</v>
      </c>
      <c r="N22" s="8">
        <v>1</v>
      </c>
      <c r="O22" s="9">
        <f t="shared" si="2"/>
        <v>-1</v>
      </c>
    </row>
    <row r="23" spans="1:15" x14ac:dyDescent="0.35">
      <c r="A23" s="2">
        <v>20</v>
      </c>
      <c r="B23" s="2" t="s">
        <v>1934</v>
      </c>
      <c r="C23" s="2">
        <v>275</v>
      </c>
      <c r="D23" s="2" t="s">
        <v>354</v>
      </c>
      <c r="E23" s="2" t="s">
        <v>1937</v>
      </c>
      <c r="F23" s="2" t="s">
        <v>1936</v>
      </c>
      <c r="G23" s="7">
        <v>3</v>
      </c>
      <c r="H23" s="8">
        <v>3</v>
      </c>
      <c r="I23" s="9">
        <f t="shared" si="0"/>
        <v>0</v>
      </c>
      <c r="J23" s="7">
        <v>3</v>
      </c>
      <c r="K23" s="8">
        <v>3</v>
      </c>
      <c r="L23" s="9">
        <f t="shared" si="1"/>
        <v>0</v>
      </c>
      <c r="M23" s="7">
        <v>1</v>
      </c>
      <c r="N23" s="8">
        <v>1</v>
      </c>
      <c r="O23" s="9">
        <f t="shared" si="2"/>
        <v>0</v>
      </c>
    </row>
    <row r="24" spans="1:15" x14ac:dyDescent="0.35">
      <c r="A24" s="2">
        <v>21</v>
      </c>
      <c r="B24" s="2" t="s">
        <v>1934</v>
      </c>
      <c r="C24" s="2">
        <v>606</v>
      </c>
      <c r="D24" s="2" t="s">
        <v>157</v>
      </c>
      <c r="E24" s="2" t="s">
        <v>1937</v>
      </c>
      <c r="F24" s="2" t="s">
        <v>1936</v>
      </c>
      <c r="G24" s="7">
        <v>2</v>
      </c>
      <c r="H24" s="8">
        <v>2</v>
      </c>
      <c r="I24" s="9">
        <f t="shared" si="0"/>
        <v>0</v>
      </c>
      <c r="J24" s="7">
        <v>2</v>
      </c>
      <c r="K24" s="8">
        <v>2</v>
      </c>
      <c r="L24" s="9">
        <f t="shared" si="1"/>
        <v>0</v>
      </c>
      <c r="M24" s="7">
        <v>1</v>
      </c>
      <c r="N24" s="8">
        <v>1</v>
      </c>
      <c r="O24" s="9">
        <f t="shared" si="2"/>
        <v>0</v>
      </c>
    </row>
    <row r="25" spans="1:15" x14ac:dyDescent="0.35">
      <c r="G25" s="10">
        <f t="shared" ref="G25:O25" si="3">SUM(G4:G24)</f>
        <v>54</v>
      </c>
      <c r="H25" s="10">
        <f t="shared" si="3"/>
        <v>53</v>
      </c>
      <c r="I25" s="10">
        <f t="shared" si="3"/>
        <v>-1</v>
      </c>
      <c r="J25" s="10">
        <f t="shared" si="3"/>
        <v>73</v>
      </c>
      <c r="K25" s="10">
        <f t="shared" si="3"/>
        <v>75</v>
      </c>
      <c r="L25" s="10">
        <f t="shared" si="3"/>
        <v>2</v>
      </c>
      <c r="M25" s="10">
        <f t="shared" si="3"/>
        <v>40</v>
      </c>
      <c r="N25" s="10">
        <f t="shared" si="3"/>
        <v>31</v>
      </c>
      <c r="O25" s="10">
        <f t="shared" si="3"/>
        <v>-9</v>
      </c>
    </row>
  </sheetData>
  <sheetProtection formatCells="0" formatColumns="0" formatRows="0" insertColumns="0" insertRows="0" insertHyperlinks="0" deleteColumns="0" deleteRows="0" sort="0" autoFilter="0" pivotTables="0"/>
  <autoFilter ref="A3:L25" xr:uid="{A437C5DC-0422-4516-9168-AD4E16033C04}"/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855FA-513B-451B-B7F7-199511D36132}">
  <dimension ref="A3:G19"/>
  <sheetViews>
    <sheetView workbookViewId="0">
      <selection activeCell="C17" sqref="C17"/>
    </sheetView>
  </sheetViews>
  <sheetFormatPr defaultRowHeight="14.5" x14ac:dyDescent="0.35"/>
  <cols>
    <col min="1" max="1" width="20.54296875" bestFit="1" customWidth="1"/>
    <col min="2" max="2" width="29" bestFit="1" customWidth="1"/>
    <col min="3" max="3" width="13.54296875" bestFit="1" customWidth="1"/>
    <col min="4" max="4" width="10.6328125" bestFit="1" customWidth="1"/>
    <col min="5" max="5" width="19" bestFit="1" customWidth="1"/>
    <col min="6" max="6" width="14.54296875" bestFit="1" customWidth="1"/>
    <col min="7" max="7" width="11.6328125" bestFit="1" customWidth="1"/>
  </cols>
  <sheetData>
    <row r="3" spans="1:7" x14ac:dyDescent="0.35">
      <c r="A3" s="20" t="s">
        <v>2212</v>
      </c>
      <c r="B3" t="s">
        <v>2223</v>
      </c>
      <c r="C3" t="s">
        <v>2224</v>
      </c>
      <c r="D3" t="s">
        <v>2225</v>
      </c>
      <c r="E3" t="s">
        <v>2226</v>
      </c>
      <c r="F3" t="s">
        <v>2227</v>
      </c>
      <c r="G3" t="s">
        <v>2228</v>
      </c>
    </row>
    <row r="4" spans="1:7" x14ac:dyDescent="0.35">
      <c r="A4" s="21" t="s">
        <v>62</v>
      </c>
      <c r="B4">
        <v>3</v>
      </c>
      <c r="C4">
        <v>2</v>
      </c>
      <c r="D4">
        <v>-1</v>
      </c>
      <c r="E4">
        <v>2</v>
      </c>
      <c r="F4">
        <v>2</v>
      </c>
      <c r="G4">
        <v>0</v>
      </c>
    </row>
    <row r="5" spans="1:7" x14ac:dyDescent="0.35">
      <c r="A5" s="21" t="s">
        <v>235</v>
      </c>
      <c r="B5">
        <v>3</v>
      </c>
      <c r="C5">
        <v>3</v>
      </c>
      <c r="D5">
        <v>0</v>
      </c>
      <c r="E5">
        <v>2</v>
      </c>
      <c r="F5">
        <v>2</v>
      </c>
      <c r="G5">
        <v>0</v>
      </c>
    </row>
    <row r="6" spans="1:7" x14ac:dyDescent="0.35">
      <c r="A6" s="21" t="s">
        <v>22</v>
      </c>
      <c r="B6">
        <v>4</v>
      </c>
      <c r="C6">
        <v>4</v>
      </c>
      <c r="D6">
        <v>0</v>
      </c>
      <c r="E6">
        <v>2</v>
      </c>
      <c r="F6">
        <v>2</v>
      </c>
      <c r="G6">
        <v>0</v>
      </c>
    </row>
    <row r="7" spans="1:7" x14ac:dyDescent="0.35">
      <c r="A7" s="21" t="s">
        <v>148</v>
      </c>
      <c r="B7">
        <v>2</v>
      </c>
      <c r="C7">
        <v>2</v>
      </c>
      <c r="D7">
        <v>0</v>
      </c>
      <c r="E7">
        <v>2</v>
      </c>
      <c r="F7">
        <v>2</v>
      </c>
      <c r="G7">
        <v>0</v>
      </c>
    </row>
    <row r="8" spans="1:7" x14ac:dyDescent="0.35">
      <c r="A8" s="21" t="s">
        <v>78</v>
      </c>
      <c r="B8">
        <v>1</v>
      </c>
      <c r="C8">
        <v>1</v>
      </c>
      <c r="D8">
        <v>0</v>
      </c>
      <c r="E8">
        <v>1</v>
      </c>
      <c r="F8">
        <v>1</v>
      </c>
      <c r="G8">
        <v>0</v>
      </c>
    </row>
    <row r="9" spans="1:7" x14ac:dyDescent="0.35">
      <c r="A9" s="21" t="s">
        <v>322</v>
      </c>
      <c r="B9">
        <v>1</v>
      </c>
      <c r="C9">
        <v>1</v>
      </c>
      <c r="D9">
        <v>0</v>
      </c>
      <c r="E9">
        <v>1</v>
      </c>
      <c r="F9">
        <v>1</v>
      </c>
      <c r="G9">
        <v>0</v>
      </c>
    </row>
    <row r="10" spans="1:7" x14ac:dyDescent="0.35">
      <c r="A10" s="21" t="s">
        <v>36</v>
      </c>
      <c r="B10">
        <v>2</v>
      </c>
      <c r="C10">
        <v>2</v>
      </c>
      <c r="D10">
        <v>0</v>
      </c>
      <c r="E10">
        <v>1</v>
      </c>
      <c r="F10">
        <v>1</v>
      </c>
      <c r="G10">
        <v>0</v>
      </c>
    </row>
    <row r="11" spans="1:7" x14ac:dyDescent="0.35">
      <c r="A11" s="21" t="s">
        <v>73</v>
      </c>
      <c r="B11">
        <v>3</v>
      </c>
      <c r="C11">
        <v>3</v>
      </c>
      <c r="D11">
        <v>0</v>
      </c>
      <c r="E11">
        <v>3</v>
      </c>
      <c r="F11">
        <v>3</v>
      </c>
      <c r="G11">
        <v>0</v>
      </c>
    </row>
    <row r="12" spans="1:7" x14ac:dyDescent="0.35">
      <c r="A12" s="21" t="s">
        <v>57</v>
      </c>
      <c r="B12">
        <v>10</v>
      </c>
      <c r="C12">
        <v>10</v>
      </c>
      <c r="D12">
        <v>0</v>
      </c>
      <c r="E12">
        <v>6</v>
      </c>
      <c r="F12">
        <v>6</v>
      </c>
      <c r="G12">
        <v>0</v>
      </c>
    </row>
    <row r="13" spans="1:7" x14ac:dyDescent="0.35">
      <c r="A13" s="21" t="s">
        <v>246</v>
      </c>
      <c r="B13">
        <v>3</v>
      </c>
      <c r="C13">
        <v>3</v>
      </c>
      <c r="D13">
        <v>0</v>
      </c>
      <c r="E13">
        <v>3</v>
      </c>
      <c r="F13">
        <v>3</v>
      </c>
      <c r="G13">
        <v>0</v>
      </c>
    </row>
    <row r="14" spans="1:7" x14ac:dyDescent="0.35">
      <c r="A14" s="21" t="s">
        <v>123</v>
      </c>
      <c r="B14">
        <v>2</v>
      </c>
      <c r="C14">
        <v>2</v>
      </c>
      <c r="D14">
        <v>0</v>
      </c>
      <c r="E14">
        <v>1</v>
      </c>
      <c r="F14">
        <v>1</v>
      </c>
      <c r="G14">
        <v>0</v>
      </c>
    </row>
    <row r="15" spans="1:7" x14ac:dyDescent="0.35">
      <c r="A15" s="21" t="s">
        <v>162</v>
      </c>
      <c r="B15">
        <v>2</v>
      </c>
      <c r="C15">
        <v>2</v>
      </c>
      <c r="D15">
        <v>0</v>
      </c>
      <c r="E15">
        <v>1</v>
      </c>
      <c r="F15">
        <v>1</v>
      </c>
      <c r="G15">
        <v>0</v>
      </c>
    </row>
    <row r="16" spans="1:7" x14ac:dyDescent="0.35">
      <c r="A16" s="21" t="s">
        <v>87</v>
      </c>
      <c r="B16">
        <v>4</v>
      </c>
      <c r="C16">
        <v>4</v>
      </c>
      <c r="D16">
        <v>0</v>
      </c>
      <c r="E16">
        <v>2</v>
      </c>
      <c r="F16">
        <v>2</v>
      </c>
      <c r="G16">
        <v>0</v>
      </c>
    </row>
    <row r="17" spans="1:7" x14ac:dyDescent="0.35">
      <c r="A17" s="21" t="s">
        <v>51</v>
      </c>
      <c r="B17">
        <v>2</v>
      </c>
      <c r="C17">
        <v>2</v>
      </c>
      <c r="D17">
        <v>0</v>
      </c>
      <c r="E17">
        <v>2</v>
      </c>
      <c r="F17">
        <v>2</v>
      </c>
      <c r="G17">
        <v>0</v>
      </c>
    </row>
    <row r="18" spans="1:7" x14ac:dyDescent="0.35">
      <c r="A18" s="21" t="s">
        <v>128</v>
      </c>
      <c r="B18">
        <v>1</v>
      </c>
      <c r="C18">
        <v>1</v>
      </c>
      <c r="D18">
        <v>0</v>
      </c>
      <c r="E18">
        <v>2</v>
      </c>
      <c r="F18">
        <v>2</v>
      </c>
      <c r="G18">
        <v>0</v>
      </c>
    </row>
    <row r="19" spans="1:7" x14ac:dyDescent="0.35">
      <c r="A19" s="21" t="s">
        <v>2214</v>
      </c>
      <c r="B19">
        <v>43</v>
      </c>
      <c r="C19">
        <v>42</v>
      </c>
      <c r="D19">
        <v>-1</v>
      </c>
      <c r="E19">
        <v>31</v>
      </c>
      <c r="F19">
        <v>31</v>
      </c>
      <c r="G1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1F3C2-3C85-4020-9ACF-C7677167A6C5}">
  <dimension ref="A1:P36"/>
  <sheetViews>
    <sheetView showRuler="0" zoomScale="55" zoomScaleNormal="55" workbookViewId="0">
      <selection activeCell="I20" sqref="I20"/>
    </sheetView>
  </sheetViews>
  <sheetFormatPr defaultColWidth="8.81640625" defaultRowHeight="14.5" x14ac:dyDescent="0.35"/>
  <cols>
    <col min="1" max="1" width="4" style="12" customWidth="1"/>
    <col min="2" max="4" width="20" style="12" customWidth="1"/>
    <col min="5" max="5" width="10" style="12" customWidth="1"/>
    <col min="6" max="6" width="21.1796875" style="12" bestFit="1" customWidth="1"/>
    <col min="7" max="8" width="9.1796875" style="12" customWidth="1"/>
    <col min="9" max="9" width="20.36328125" style="13" bestFit="1" customWidth="1"/>
    <col min="10" max="11" width="20.36328125" style="13" customWidth="1"/>
    <col min="12" max="12" width="20" style="13" customWidth="1"/>
    <col min="13" max="13" width="18.08984375" style="12" bestFit="1" customWidth="1"/>
    <col min="14" max="14" width="8.81640625" style="12"/>
    <col min="15" max="15" width="16.26953125" style="12" bestFit="1" customWidth="1"/>
    <col min="16" max="16" width="9.81640625" style="12" bestFit="1" customWidth="1"/>
    <col min="17" max="17" width="17.26953125" style="12" customWidth="1"/>
    <col min="18" max="256" width="8.81640625" style="12"/>
    <col min="257" max="257" width="4" style="12" customWidth="1"/>
    <col min="258" max="260" width="20" style="12" customWidth="1"/>
    <col min="261" max="261" width="10" style="12" customWidth="1"/>
    <col min="262" max="262" width="21.1796875" style="12" bestFit="1" customWidth="1"/>
    <col min="263" max="264" width="9.1796875" style="12" customWidth="1"/>
    <col min="265" max="265" width="20.36328125" style="12" bestFit="1" customWidth="1"/>
    <col min="266" max="267" width="20.36328125" style="12" customWidth="1"/>
    <col min="268" max="268" width="20" style="12" customWidth="1"/>
    <col min="269" max="269" width="18.08984375" style="12" bestFit="1" customWidth="1"/>
    <col min="270" max="270" width="8.81640625" style="12"/>
    <col min="271" max="271" width="16.26953125" style="12" bestFit="1" customWidth="1"/>
    <col min="272" max="272" width="9.81640625" style="12" bestFit="1" customWidth="1"/>
    <col min="273" max="273" width="17.26953125" style="12" customWidth="1"/>
    <col min="274" max="512" width="8.81640625" style="12"/>
    <col min="513" max="513" width="4" style="12" customWidth="1"/>
    <col min="514" max="516" width="20" style="12" customWidth="1"/>
    <col min="517" max="517" width="10" style="12" customWidth="1"/>
    <col min="518" max="518" width="21.1796875" style="12" bestFit="1" customWidth="1"/>
    <col min="519" max="520" width="9.1796875" style="12" customWidth="1"/>
    <col min="521" max="521" width="20.36328125" style="12" bestFit="1" customWidth="1"/>
    <col min="522" max="523" width="20.36328125" style="12" customWidth="1"/>
    <col min="524" max="524" width="20" style="12" customWidth="1"/>
    <col min="525" max="525" width="18.08984375" style="12" bestFit="1" customWidth="1"/>
    <col min="526" max="526" width="8.81640625" style="12"/>
    <col min="527" max="527" width="16.26953125" style="12" bestFit="1" customWidth="1"/>
    <col min="528" max="528" width="9.81640625" style="12" bestFit="1" customWidth="1"/>
    <col min="529" max="529" width="17.26953125" style="12" customWidth="1"/>
    <col min="530" max="768" width="8.81640625" style="12"/>
    <col min="769" max="769" width="4" style="12" customWidth="1"/>
    <col min="770" max="772" width="20" style="12" customWidth="1"/>
    <col min="773" max="773" width="10" style="12" customWidth="1"/>
    <col min="774" max="774" width="21.1796875" style="12" bestFit="1" customWidth="1"/>
    <col min="775" max="776" width="9.1796875" style="12" customWidth="1"/>
    <col min="777" max="777" width="20.36328125" style="12" bestFit="1" customWidth="1"/>
    <col min="778" max="779" width="20.36328125" style="12" customWidth="1"/>
    <col min="780" max="780" width="20" style="12" customWidth="1"/>
    <col min="781" max="781" width="18.08984375" style="12" bestFit="1" customWidth="1"/>
    <col min="782" max="782" width="8.81640625" style="12"/>
    <col min="783" max="783" width="16.26953125" style="12" bestFit="1" customWidth="1"/>
    <col min="784" max="784" width="9.81640625" style="12" bestFit="1" customWidth="1"/>
    <col min="785" max="785" width="17.26953125" style="12" customWidth="1"/>
    <col min="786" max="1024" width="8.81640625" style="12"/>
    <col min="1025" max="1025" width="4" style="12" customWidth="1"/>
    <col min="1026" max="1028" width="20" style="12" customWidth="1"/>
    <col min="1029" max="1029" width="10" style="12" customWidth="1"/>
    <col min="1030" max="1030" width="21.1796875" style="12" bestFit="1" customWidth="1"/>
    <col min="1031" max="1032" width="9.1796875" style="12" customWidth="1"/>
    <col min="1033" max="1033" width="20.36328125" style="12" bestFit="1" customWidth="1"/>
    <col min="1034" max="1035" width="20.36328125" style="12" customWidth="1"/>
    <col min="1036" max="1036" width="20" style="12" customWidth="1"/>
    <col min="1037" max="1037" width="18.08984375" style="12" bestFit="1" customWidth="1"/>
    <col min="1038" max="1038" width="8.81640625" style="12"/>
    <col min="1039" max="1039" width="16.26953125" style="12" bestFit="1" customWidth="1"/>
    <col min="1040" max="1040" width="9.81640625" style="12" bestFit="1" customWidth="1"/>
    <col min="1041" max="1041" width="17.26953125" style="12" customWidth="1"/>
    <col min="1042" max="1280" width="8.81640625" style="12"/>
    <col min="1281" max="1281" width="4" style="12" customWidth="1"/>
    <col min="1282" max="1284" width="20" style="12" customWidth="1"/>
    <col min="1285" max="1285" width="10" style="12" customWidth="1"/>
    <col min="1286" max="1286" width="21.1796875" style="12" bestFit="1" customWidth="1"/>
    <col min="1287" max="1288" width="9.1796875" style="12" customWidth="1"/>
    <col min="1289" max="1289" width="20.36328125" style="12" bestFit="1" customWidth="1"/>
    <col min="1290" max="1291" width="20.36328125" style="12" customWidth="1"/>
    <col min="1292" max="1292" width="20" style="12" customWidth="1"/>
    <col min="1293" max="1293" width="18.08984375" style="12" bestFit="1" customWidth="1"/>
    <col min="1294" max="1294" width="8.81640625" style="12"/>
    <col min="1295" max="1295" width="16.26953125" style="12" bestFit="1" customWidth="1"/>
    <col min="1296" max="1296" width="9.81640625" style="12" bestFit="1" customWidth="1"/>
    <col min="1297" max="1297" width="17.26953125" style="12" customWidth="1"/>
    <col min="1298" max="1536" width="8.81640625" style="12"/>
    <col min="1537" max="1537" width="4" style="12" customWidth="1"/>
    <col min="1538" max="1540" width="20" style="12" customWidth="1"/>
    <col min="1541" max="1541" width="10" style="12" customWidth="1"/>
    <col min="1542" max="1542" width="21.1796875" style="12" bestFit="1" customWidth="1"/>
    <col min="1543" max="1544" width="9.1796875" style="12" customWidth="1"/>
    <col min="1545" max="1545" width="20.36328125" style="12" bestFit="1" customWidth="1"/>
    <col min="1546" max="1547" width="20.36328125" style="12" customWidth="1"/>
    <col min="1548" max="1548" width="20" style="12" customWidth="1"/>
    <col min="1549" max="1549" width="18.08984375" style="12" bestFit="1" customWidth="1"/>
    <col min="1550" max="1550" width="8.81640625" style="12"/>
    <col min="1551" max="1551" width="16.26953125" style="12" bestFit="1" customWidth="1"/>
    <col min="1552" max="1552" width="9.81640625" style="12" bestFit="1" customWidth="1"/>
    <col min="1553" max="1553" width="17.26953125" style="12" customWidth="1"/>
    <col min="1554" max="1792" width="8.81640625" style="12"/>
    <col min="1793" max="1793" width="4" style="12" customWidth="1"/>
    <col min="1794" max="1796" width="20" style="12" customWidth="1"/>
    <col min="1797" max="1797" width="10" style="12" customWidth="1"/>
    <col min="1798" max="1798" width="21.1796875" style="12" bestFit="1" customWidth="1"/>
    <col min="1799" max="1800" width="9.1796875" style="12" customWidth="1"/>
    <col min="1801" max="1801" width="20.36328125" style="12" bestFit="1" customWidth="1"/>
    <col min="1802" max="1803" width="20.36328125" style="12" customWidth="1"/>
    <col min="1804" max="1804" width="20" style="12" customWidth="1"/>
    <col min="1805" max="1805" width="18.08984375" style="12" bestFit="1" customWidth="1"/>
    <col min="1806" max="1806" width="8.81640625" style="12"/>
    <col min="1807" max="1807" width="16.26953125" style="12" bestFit="1" customWidth="1"/>
    <col min="1808" max="1808" width="9.81640625" style="12" bestFit="1" customWidth="1"/>
    <col min="1809" max="1809" width="17.26953125" style="12" customWidth="1"/>
    <col min="1810" max="2048" width="8.81640625" style="12"/>
    <col min="2049" max="2049" width="4" style="12" customWidth="1"/>
    <col min="2050" max="2052" width="20" style="12" customWidth="1"/>
    <col min="2053" max="2053" width="10" style="12" customWidth="1"/>
    <col min="2054" max="2054" width="21.1796875" style="12" bestFit="1" customWidth="1"/>
    <col min="2055" max="2056" width="9.1796875" style="12" customWidth="1"/>
    <col min="2057" max="2057" width="20.36328125" style="12" bestFit="1" customWidth="1"/>
    <col min="2058" max="2059" width="20.36328125" style="12" customWidth="1"/>
    <col min="2060" max="2060" width="20" style="12" customWidth="1"/>
    <col min="2061" max="2061" width="18.08984375" style="12" bestFit="1" customWidth="1"/>
    <col min="2062" max="2062" width="8.81640625" style="12"/>
    <col min="2063" max="2063" width="16.26953125" style="12" bestFit="1" customWidth="1"/>
    <col min="2064" max="2064" width="9.81640625" style="12" bestFit="1" customWidth="1"/>
    <col min="2065" max="2065" width="17.26953125" style="12" customWidth="1"/>
    <col min="2066" max="2304" width="8.81640625" style="12"/>
    <col min="2305" max="2305" width="4" style="12" customWidth="1"/>
    <col min="2306" max="2308" width="20" style="12" customWidth="1"/>
    <col min="2309" max="2309" width="10" style="12" customWidth="1"/>
    <col min="2310" max="2310" width="21.1796875" style="12" bestFit="1" customWidth="1"/>
    <col min="2311" max="2312" width="9.1796875" style="12" customWidth="1"/>
    <col min="2313" max="2313" width="20.36328125" style="12" bestFit="1" customWidth="1"/>
    <col min="2314" max="2315" width="20.36328125" style="12" customWidth="1"/>
    <col min="2316" max="2316" width="20" style="12" customWidth="1"/>
    <col min="2317" max="2317" width="18.08984375" style="12" bestFit="1" customWidth="1"/>
    <col min="2318" max="2318" width="8.81640625" style="12"/>
    <col min="2319" max="2319" width="16.26953125" style="12" bestFit="1" customWidth="1"/>
    <col min="2320" max="2320" width="9.81640625" style="12" bestFit="1" customWidth="1"/>
    <col min="2321" max="2321" width="17.26953125" style="12" customWidth="1"/>
    <col min="2322" max="2560" width="8.81640625" style="12"/>
    <col min="2561" max="2561" width="4" style="12" customWidth="1"/>
    <col min="2562" max="2564" width="20" style="12" customWidth="1"/>
    <col min="2565" max="2565" width="10" style="12" customWidth="1"/>
    <col min="2566" max="2566" width="21.1796875" style="12" bestFit="1" customWidth="1"/>
    <col min="2567" max="2568" width="9.1796875" style="12" customWidth="1"/>
    <col min="2569" max="2569" width="20.36328125" style="12" bestFit="1" customWidth="1"/>
    <col min="2570" max="2571" width="20.36328125" style="12" customWidth="1"/>
    <col min="2572" max="2572" width="20" style="12" customWidth="1"/>
    <col min="2573" max="2573" width="18.08984375" style="12" bestFit="1" customWidth="1"/>
    <col min="2574" max="2574" width="8.81640625" style="12"/>
    <col min="2575" max="2575" width="16.26953125" style="12" bestFit="1" customWidth="1"/>
    <col min="2576" max="2576" width="9.81640625" style="12" bestFit="1" customWidth="1"/>
    <col min="2577" max="2577" width="17.26953125" style="12" customWidth="1"/>
    <col min="2578" max="2816" width="8.81640625" style="12"/>
    <col min="2817" max="2817" width="4" style="12" customWidth="1"/>
    <col min="2818" max="2820" width="20" style="12" customWidth="1"/>
    <col min="2821" max="2821" width="10" style="12" customWidth="1"/>
    <col min="2822" max="2822" width="21.1796875" style="12" bestFit="1" customWidth="1"/>
    <col min="2823" max="2824" width="9.1796875" style="12" customWidth="1"/>
    <col min="2825" max="2825" width="20.36328125" style="12" bestFit="1" customWidth="1"/>
    <col min="2826" max="2827" width="20.36328125" style="12" customWidth="1"/>
    <col min="2828" max="2828" width="20" style="12" customWidth="1"/>
    <col min="2829" max="2829" width="18.08984375" style="12" bestFit="1" customWidth="1"/>
    <col min="2830" max="2830" width="8.81640625" style="12"/>
    <col min="2831" max="2831" width="16.26953125" style="12" bestFit="1" customWidth="1"/>
    <col min="2832" max="2832" width="9.81640625" style="12" bestFit="1" customWidth="1"/>
    <col min="2833" max="2833" width="17.26953125" style="12" customWidth="1"/>
    <col min="2834" max="3072" width="8.81640625" style="12"/>
    <col min="3073" max="3073" width="4" style="12" customWidth="1"/>
    <col min="3074" max="3076" width="20" style="12" customWidth="1"/>
    <col min="3077" max="3077" width="10" style="12" customWidth="1"/>
    <col min="3078" max="3078" width="21.1796875" style="12" bestFit="1" customWidth="1"/>
    <col min="3079" max="3080" width="9.1796875" style="12" customWidth="1"/>
    <col min="3081" max="3081" width="20.36328125" style="12" bestFit="1" customWidth="1"/>
    <col min="3082" max="3083" width="20.36328125" style="12" customWidth="1"/>
    <col min="3084" max="3084" width="20" style="12" customWidth="1"/>
    <col min="3085" max="3085" width="18.08984375" style="12" bestFit="1" customWidth="1"/>
    <col min="3086" max="3086" width="8.81640625" style="12"/>
    <col min="3087" max="3087" width="16.26953125" style="12" bestFit="1" customWidth="1"/>
    <col min="3088" max="3088" width="9.81640625" style="12" bestFit="1" customWidth="1"/>
    <col min="3089" max="3089" width="17.26953125" style="12" customWidth="1"/>
    <col min="3090" max="3328" width="8.81640625" style="12"/>
    <col min="3329" max="3329" width="4" style="12" customWidth="1"/>
    <col min="3330" max="3332" width="20" style="12" customWidth="1"/>
    <col min="3333" max="3333" width="10" style="12" customWidth="1"/>
    <col min="3334" max="3334" width="21.1796875" style="12" bestFit="1" customWidth="1"/>
    <col min="3335" max="3336" width="9.1796875" style="12" customWidth="1"/>
    <col min="3337" max="3337" width="20.36328125" style="12" bestFit="1" customWidth="1"/>
    <col min="3338" max="3339" width="20.36328125" style="12" customWidth="1"/>
    <col min="3340" max="3340" width="20" style="12" customWidth="1"/>
    <col min="3341" max="3341" width="18.08984375" style="12" bestFit="1" customWidth="1"/>
    <col min="3342" max="3342" width="8.81640625" style="12"/>
    <col min="3343" max="3343" width="16.26953125" style="12" bestFit="1" customWidth="1"/>
    <col min="3344" max="3344" width="9.81640625" style="12" bestFit="1" customWidth="1"/>
    <col min="3345" max="3345" width="17.26953125" style="12" customWidth="1"/>
    <col min="3346" max="3584" width="8.81640625" style="12"/>
    <col min="3585" max="3585" width="4" style="12" customWidth="1"/>
    <col min="3586" max="3588" width="20" style="12" customWidth="1"/>
    <col min="3589" max="3589" width="10" style="12" customWidth="1"/>
    <col min="3590" max="3590" width="21.1796875" style="12" bestFit="1" customWidth="1"/>
    <col min="3591" max="3592" width="9.1796875" style="12" customWidth="1"/>
    <col min="3593" max="3593" width="20.36328125" style="12" bestFit="1" customWidth="1"/>
    <col min="3594" max="3595" width="20.36328125" style="12" customWidth="1"/>
    <col min="3596" max="3596" width="20" style="12" customWidth="1"/>
    <col min="3597" max="3597" width="18.08984375" style="12" bestFit="1" customWidth="1"/>
    <col min="3598" max="3598" width="8.81640625" style="12"/>
    <col min="3599" max="3599" width="16.26953125" style="12" bestFit="1" customWidth="1"/>
    <col min="3600" max="3600" width="9.81640625" style="12" bestFit="1" customWidth="1"/>
    <col min="3601" max="3601" width="17.26953125" style="12" customWidth="1"/>
    <col min="3602" max="3840" width="8.81640625" style="12"/>
    <col min="3841" max="3841" width="4" style="12" customWidth="1"/>
    <col min="3842" max="3844" width="20" style="12" customWidth="1"/>
    <col min="3845" max="3845" width="10" style="12" customWidth="1"/>
    <col min="3846" max="3846" width="21.1796875" style="12" bestFit="1" customWidth="1"/>
    <col min="3847" max="3848" width="9.1796875" style="12" customWidth="1"/>
    <col min="3849" max="3849" width="20.36328125" style="12" bestFit="1" customWidth="1"/>
    <col min="3850" max="3851" width="20.36328125" style="12" customWidth="1"/>
    <col min="3852" max="3852" width="20" style="12" customWidth="1"/>
    <col min="3853" max="3853" width="18.08984375" style="12" bestFit="1" customWidth="1"/>
    <col min="3854" max="3854" width="8.81640625" style="12"/>
    <col min="3855" max="3855" width="16.26953125" style="12" bestFit="1" customWidth="1"/>
    <col min="3856" max="3856" width="9.81640625" style="12" bestFit="1" customWidth="1"/>
    <col min="3857" max="3857" width="17.26953125" style="12" customWidth="1"/>
    <col min="3858" max="4096" width="8.81640625" style="12"/>
    <col min="4097" max="4097" width="4" style="12" customWidth="1"/>
    <col min="4098" max="4100" width="20" style="12" customWidth="1"/>
    <col min="4101" max="4101" width="10" style="12" customWidth="1"/>
    <col min="4102" max="4102" width="21.1796875" style="12" bestFit="1" customWidth="1"/>
    <col min="4103" max="4104" width="9.1796875" style="12" customWidth="1"/>
    <col min="4105" max="4105" width="20.36328125" style="12" bestFit="1" customWidth="1"/>
    <col min="4106" max="4107" width="20.36328125" style="12" customWidth="1"/>
    <col min="4108" max="4108" width="20" style="12" customWidth="1"/>
    <col min="4109" max="4109" width="18.08984375" style="12" bestFit="1" customWidth="1"/>
    <col min="4110" max="4110" width="8.81640625" style="12"/>
    <col min="4111" max="4111" width="16.26953125" style="12" bestFit="1" customWidth="1"/>
    <col min="4112" max="4112" width="9.81640625" style="12" bestFit="1" customWidth="1"/>
    <col min="4113" max="4113" width="17.26953125" style="12" customWidth="1"/>
    <col min="4114" max="4352" width="8.81640625" style="12"/>
    <col min="4353" max="4353" width="4" style="12" customWidth="1"/>
    <col min="4354" max="4356" width="20" style="12" customWidth="1"/>
    <col min="4357" max="4357" width="10" style="12" customWidth="1"/>
    <col min="4358" max="4358" width="21.1796875" style="12" bestFit="1" customWidth="1"/>
    <col min="4359" max="4360" width="9.1796875" style="12" customWidth="1"/>
    <col min="4361" max="4361" width="20.36328125" style="12" bestFit="1" customWidth="1"/>
    <col min="4362" max="4363" width="20.36328125" style="12" customWidth="1"/>
    <col min="4364" max="4364" width="20" style="12" customWidth="1"/>
    <col min="4365" max="4365" width="18.08984375" style="12" bestFit="1" customWidth="1"/>
    <col min="4366" max="4366" width="8.81640625" style="12"/>
    <col min="4367" max="4367" width="16.26953125" style="12" bestFit="1" customWidth="1"/>
    <col min="4368" max="4368" width="9.81640625" style="12" bestFit="1" customWidth="1"/>
    <col min="4369" max="4369" width="17.26953125" style="12" customWidth="1"/>
    <col min="4370" max="4608" width="8.81640625" style="12"/>
    <col min="4609" max="4609" width="4" style="12" customWidth="1"/>
    <col min="4610" max="4612" width="20" style="12" customWidth="1"/>
    <col min="4613" max="4613" width="10" style="12" customWidth="1"/>
    <col min="4614" max="4614" width="21.1796875" style="12" bestFit="1" customWidth="1"/>
    <col min="4615" max="4616" width="9.1796875" style="12" customWidth="1"/>
    <col min="4617" max="4617" width="20.36328125" style="12" bestFit="1" customWidth="1"/>
    <col min="4618" max="4619" width="20.36328125" style="12" customWidth="1"/>
    <col min="4620" max="4620" width="20" style="12" customWidth="1"/>
    <col min="4621" max="4621" width="18.08984375" style="12" bestFit="1" customWidth="1"/>
    <col min="4622" max="4622" width="8.81640625" style="12"/>
    <col min="4623" max="4623" width="16.26953125" style="12" bestFit="1" customWidth="1"/>
    <col min="4624" max="4624" width="9.81640625" style="12" bestFit="1" customWidth="1"/>
    <col min="4625" max="4625" width="17.26953125" style="12" customWidth="1"/>
    <col min="4626" max="4864" width="8.81640625" style="12"/>
    <col min="4865" max="4865" width="4" style="12" customWidth="1"/>
    <col min="4866" max="4868" width="20" style="12" customWidth="1"/>
    <col min="4869" max="4869" width="10" style="12" customWidth="1"/>
    <col min="4870" max="4870" width="21.1796875" style="12" bestFit="1" customWidth="1"/>
    <col min="4871" max="4872" width="9.1796875" style="12" customWidth="1"/>
    <col min="4873" max="4873" width="20.36328125" style="12" bestFit="1" customWidth="1"/>
    <col min="4874" max="4875" width="20.36328125" style="12" customWidth="1"/>
    <col min="4876" max="4876" width="20" style="12" customWidth="1"/>
    <col min="4877" max="4877" width="18.08984375" style="12" bestFit="1" customWidth="1"/>
    <col min="4878" max="4878" width="8.81640625" style="12"/>
    <col min="4879" max="4879" width="16.26953125" style="12" bestFit="1" customWidth="1"/>
    <col min="4880" max="4880" width="9.81640625" style="12" bestFit="1" customWidth="1"/>
    <col min="4881" max="4881" width="17.26953125" style="12" customWidth="1"/>
    <col min="4882" max="5120" width="8.81640625" style="12"/>
    <col min="5121" max="5121" width="4" style="12" customWidth="1"/>
    <col min="5122" max="5124" width="20" style="12" customWidth="1"/>
    <col min="5125" max="5125" width="10" style="12" customWidth="1"/>
    <col min="5126" max="5126" width="21.1796875" style="12" bestFit="1" customWidth="1"/>
    <col min="5127" max="5128" width="9.1796875" style="12" customWidth="1"/>
    <col min="5129" max="5129" width="20.36328125" style="12" bestFit="1" customWidth="1"/>
    <col min="5130" max="5131" width="20.36328125" style="12" customWidth="1"/>
    <col min="5132" max="5132" width="20" style="12" customWidth="1"/>
    <col min="5133" max="5133" width="18.08984375" style="12" bestFit="1" customWidth="1"/>
    <col min="5134" max="5134" width="8.81640625" style="12"/>
    <col min="5135" max="5135" width="16.26953125" style="12" bestFit="1" customWidth="1"/>
    <col min="5136" max="5136" width="9.81640625" style="12" bestFit="1" customWidth="1"/>
    <col min="5137" max="5137" width="17.26953125" style="12" customWidth="1"/>
    <col min="5138" max="5376" width="8.81640625" style="12"/>
    <col min="5377" max="5377" width="4" style="12" customWidth="1"/>
    <col min="5378" max="5380" width="20" style="12" customWidth="1"/>
    <col min="5381" max="5381" width="10" style="12" customWidth="1"/>
    <col min="5382" max="5382" width="21.1796875" style="12" bestFit="1" customWidth="1"/>
    <col min="5383" max="5384" width="9.1796875" style="12" customWidth="1"/>
    <col min="5385" max="5385" width="20.36328125" style="12" bestFit="1" customWidth="1"/>
    <col min="5386" max="5387" width="20.36328125" style="12" customWidth="1"/>
    <col min="5388" max="5388" width="20" style="12" customWidth="1"/>
    <col min="5389" max="5389" width="18.08984375" style="12" bestFit="1" customWidth="1"/>
    <col min="5390" max="5390" width="8.81640625" style="12"/>
    <col min="5391" max="5391" width="16.26953125" style="12" bestFit="1" customWidth="1"/>
    <col min="5392" max="5392" width="9.81640625" style="12" bestFit="1" customWidth="1"/>
    <col min="5393" max="5393" width="17.26953125" style="12" customWidth="1"/>
    <col min="5394" max="5632" width="8.81640625" style="12"/>
    <col min="5633" max="5633" width="4" style="12" customWidth="1"/>
    <col min="5634" max="5636" width="20" style="12" customWidth="1"/>
    <col min="5637" max="5637" width="10" style="12" customWidth="1"/>
    <col min="5638" max="5638" width="21.1796875" style="12" bestFit="1" customWidth="1"/>
    <col min="5639" max="5640" width="9.1796875" style="12" customWidth="1"/>
    <col min="5641" max="5641" width="20.36328125" style="12" bestFit="1" customWidth="1"/>
    <col min="5642" max="5643" width="20.36328125" style="12" customWidth="1"/>
    <col min="5644" max="5644" width="20" style="12" customWidth="1"/>
    <col min="5645" max="5645" width="18.08984375" style="12" bestFit="1" customWidth="1"/>
    <col min="5646" max="5646" width="8.81640625" style="12"/>
    <col min="5647" max="5647" width="16.26953125" style="12" bestFit="1" customWidth="1"/>
    <col min="5648" max="5648" width="9.81640625" style="12" bestFit="1" customWidth="1"/>
    <col min="5649" max="5649" width="17.26953125" style="12" customWidth="1"/>
    <col min="5650" max="5888" width="8.81640625" style="12"/>
    <col min="5889" max="5889" width="4" style="12" customWidth="1"/>
    <col min="5890" max="5892" width="20" style="12" customWidth="1"/>
    <col min="5893" max="5893" width="10" style="12" customWidth="1"/>
    <col min="5894" max="5894" width="21.1796875" style="12" bestFit="1" customWidth="1"/>
    <col min="5895" max="5896" width="9.1796875" style="12" customWidth="1"/>
    <col min="5897" max="5897" width="20.36328125" style="12" bestFit="1" customWidth="1"/>
    <col min="5898" max="5899" width="20.36328125" style="12" customWidth="1"/>
    <col min="5900" max="5900" width="20" style="12" customWidth="1"/>
    <col min="5901" max="5901" width="18.08984375" style="12" bestFit="1" customWidth="1"/>
    <col min="5902" max="5902" width="8.81640625" style="12"/>
    <col min="5903" max="5903" width="16.26953125" style="12" bestFit="1" customWidth="1"/>
    <col min="5904" max="5904" width="9.81640625" style="12" bestFit="1" customWidth="1"/>
    <col min="5905" max="5905" width="17.26953125" style="12" customWidth="1"/>
    <col min="5906" max="6144" width="8.81640625" style="12"/>
    <col min="6145" max="6145" width="4" style="12" customWidth="1"/>
    <col min="6146" max="6148" width="20" style="12" customWidth="1"/>
    <col min="6149" max="6149" width="10" style="12" customWidth="1"/>
    <col min="6150" max="6150" width="21.1796875" style="12" bestFit="1" customWidth="1"/>
    <col min="6151" max="6152" width="9.1796875" style="12" customWidth="1"/>
    <col min="6153" max="6153" width="20.36328125" style="12" bestFit="1" customWidth="1"/>
    <col min="6154" max="6155" width="20.36328125" style="12" customWidth="1"/>
    <col min="6156" max="6156" width="20" style="12" customWidth="1"/>
    <col min="6157" max="6157" width="18.08984375" style="12" bestFit="1" customWidth="1"/>
    <col min="6158" max="6158" width="8.81640625" style="12"/>
    <col min="6159" max="6159" width="16.26953125" style="12" bestFit="1" customWidth="1"/>
    <col min="6160" max="6160" width="9.81640625" style="12" bestFit="1" customWidth="1"/>
    <col min="6161" max="6161" width="17.26953125" style="12" customWidth="1"/>
    <col min="6162" max="6400" width="8.81640625" style="12"/>
    <col min="6401" max="6401" width="4" style="12" customWidth="1"/>
    <col min="6402" max="6404" width="20" style="12" customWidth="1"/>
    <col min="6405" max="6405" width="10" style="12" customWidth="1"/>
    <col min="6406" max="6406" width="21.1796875" style="12" bestFit="1" customWidth="1"/>
    <col min="6407" max="6408" width="9.1796875" style="12" customWidth="1"/>
    <col min="6409" max="6409" width="20.36328125" style="12" bestFit="1" customWidth="1"/>
    <col min="6410" max="6411" width="20.36328125" style="12" customWidth="1"/>
    <col min="6412" max="6412" width="20" style="12" customWidth="1"/>
    <col min="6413" max="6413" width="18.08984375" style="12" bestFit="1" customWidth="1"/>
    <col min="6414" max="6414" width="8.81640625" style="12"/>
    <col min="6415" max="6415" width="16.26953125" style="12" bestFit="1" customWidth="1"/>
    <col min="6416" max="6416" width="9.81640625" style="12" bestFit="1" customWidth="1"/>
    <col min="6417" max="6417" width="17.26953125" style="12" customWidth="1"/>
    <col min="6418" max="6656" width="8.81640625" style="12"/>
    <col min="6657" max="6657" width="4" style="12" customWidth="1"/>
    <col min="6658" max="6660" width="20" style="12" customWidth="1"/>
    <col min="6661" max="6661" width="10" style="12" customWidth="1"/>
    <col min="6662" max="6662" width="21.1796875" style="12" bestFit="1" customWidth="1"/>
    <col min="6663" max="6664" width="9.1796875" style="12" customWidth="1"/>
    <col min="6665" max="6665" width="20.36328125" style="12" bestFit="1" customWidth="1"/>
    <col min="6666" max="6667" width="20.36328125" style="12" customWidth="1"/>
    <col min="6668" max="6668" width="20" style="12" customWidth="1"/>
    <col min="6669" max="6669" width="18.08984375" style="12" bestFit="1" customWidth="1"/>
    <col min="6670" max="6670" width="8.81640625" style="12"/>
    <col min="6671" max="6671" width="16.26953125" style="12" bestFit="1" customWidth="1"/>
    <col min="6672" max="6672" width="9.81640625" style="12" bestFit="1" customWidth="1"/>
    <col min="6673" max="6673" width="17.26953125" style="12" customWidth="1"/>
    <col min="6674" max="6912" width="8.81640625" style="12"/>
    <col min="6913" max="6913" width="4" style="12" customWidth="1"/>
    <col min="6914" max="6916" width="20" style="12" customWidth="1"/>
    <col min="6917" max="6917" width="10" style="12" customWidth="1"/>
    <col min="6918" max="6918" width="21.1796875" style="12" bestFit="1" customWidth="1"/>
    <col min="6919" max="6920" width="9.1796875" style="12" customWidth="1"/>
    <col min="6921" max="6921" width="20.36328125" style="12" bestFit="1" customWidth="1"/>
    <col min="6922" max="6923" width="20.36328125" style="12" customWidth="1"/>
    <col min="6924" max="6924" width="20" style="12" customWidth="1"/>
    <col min="6925" max="6925" width="18.08984375" style="12" bestFit="1" customWidth="1"/>
    <col min="6926" max="6926" width="8.81640625" style="12"/>
    <col min="6927" max="6927" width="16.26953125" style="12" bestFit="1" customWidth="1"/>
    <col min="6928" max="6928" width="9.81640625" style="12" bestFit="1" customWidth="1"/>
    <col min="6929" max="6929" width="17.26953125" style="12" customWidth="1"/>
    <col min="6930" max="7168" width="8.81640625" style="12"/>
    <col min="7169" max="7169" width="4" style="12" customWidth="1"/>
    <col min="7170" max="7172" width="20" style="12" customWidth="1"/>
    <col min="7173" max="7173" width="10" style="12" customWidth="1"/>
    <col min="7174" max="7174" width="21.1796875" style="12" bestFit="1" customWidth="1"/>
    <col min="7175" max="7176" width="9.1796875" style="12" customWidth="1"/>
    <col min="7177" max="7177" width="20.36328125" style="12" bestFit="1" customWidth="1"/>
    <col min="7178" max="7179" width="20.36328125" style="12" customWidth="1"/>
    <col min="7180" max="7180" width="20" style="12" customWidth="1"/>
    <col min="7181" max="7181" width="18.08984375" style="12" bestFit="1" customWidth="1"/>
    <col min="7182" max="7182" width="8.81640625" style="12"/>
    <col min="7183" max="7183" width="16.26953125" style="12" bestFit="1" customWidth="1"/>
    <col min="7184" max="7184" width="9.81640625" style="12" bestFit="1" customWidth="1"/>
    <col min="7185" max="7185" width="17.26953125" style="12" customWidth="1"/>
    <col min="7186" max="7424" width="8.81640625" style="12"/>
    <col min="7425" max="7425" width="4" style="12" customWidth="1"/>
    <col min="7426" max="7428" width="20" style="12" customWidth="1"/>
    <col min="7429" max="7429" width="10" style="12" customWidth="1"/>
    <col min="7430" max="7430" width="21.1796875" style="12" bestFit="1" customWidth="1"/>
    <col min="7431" max="7432" width="9.1796875" style="12" customWidth="1"/>
    <col min="7433" max="7433" width="20.36328125" style="12" bestFit="1" customWidth="1"/>
    <col min="7434" max="7435" width="20.36328125" style="12" customWidth="1"/>
    <col min="7436" max="7436" width="20" style="12" customWidth="1"/>
    <col min="7437" max="7437" width="18.08984375" style="12" bestFit="1" customWidth="1"/>
    <col min="7438" max="7438" width="8.81640625" style="12"/>
    <col min="7439" max="7439" width="16.26953125" style="12" bestFit="1" customWidth="1"/>
    <col min="7440" max="7440" width="9.81640625" style="12" bestFit="1" customWidth="1"/>
    <col min="7441" max="7441" width="17.26953125" style="12" customWidth="1"/>
    <col min="7442" max="7680" width="8.81640625" style="12"/>
    <col min="7681" max="7681" width="4" style="12" customWidth="1"/>
    <col min="7682" max="7684" width="20" style="12" customWidth="1"/>
    <col min="7685" max="7685" width="10" style="12" customWidth="1"/>
    <col min="7686" max="7686" width="21.1796875" style="12" bestFit="1" customWidth="1"/>
    <col min="7687" max="7688" width="9.1796875" style="12" customWidth="1"/>
    <col min="7689" max="7689" width="20.36328125" style="12" bestFit="1" customWidth="1"/>
    <col min="7690" max="7691" width="20.36328125" style="12" customWidth="1"/>
    <col min="7692" max="7692" width="20" style="12" customWidth="1"/>
    <col min="7693" max="7693" width="18.08984375" style="12" bestFit="1" customWidth="1"/>
    <col min="7694" max="7694" width="8.81640625" style="12"/>
    <col min="7695" max="7695" width="16.26953125" style="12" bestFit="1" customWidth="1"/>
    <col min="7696" max="7696" width="9.81640625" style="12" bestFit="1" customWidth="1"/>
    <col min="7697" max="7697" width="17.26953125" style="12" customWidth="1"/>
    <col min="7698" max="7936" width="8.81640625" style="12"/>
    <col min="7937" max="7937" width="4" style="12" customWidth="1"/>
    <col min="7938" max="7940" width="20" style="12" customWidth="1"/>
    <col min="7941" max="7941" width="10" style="12" customWidth="1"/>
    <col min="7942" max="7942" width="21.1796875" style="12" bestFit="1" customWidth="1"/>
    <col min="7943" max="7944" width="9.1796875" style="12" customWidth="1"/>
    <col min="7945" max="7945" width="20.36328125" style="12" bestFit="1" customWidth="1"/>
    <col min="7946" max="7947" width="20.36328125" style="12" customWidth="1"/>
    <col min="7948" max="7948" width="20" style="12" customWidth="1"/>
    <col min="7949" max="7949" width="18.08984375" style="12" bestFit="1" customWidth="1"/>
    <col min="7950" max="7950" width="8.81640625" style="12"/>
    <col min="7951" max="7951" width="16.26953125" style="12" bestFit="1" customWidth="1"/>
    <col min="7952" max="7952" width="9.81640625" style="12" bestFit="1" customWidth="1"/>
    <col min="7953" max="7953" width="17.26953125" style="12" customWidth="1"/>
    <col min="7954" max="8192" width="8.81640625" style="12"/>
    <col min="8193" max="8193" width="4" style="12" customWidth="1"/>
    <col min="8194" max="8196" width="20" style="12" customWidth="1"/>
    <col min="8197" max="8197" width="10" style="12" customWidth="1"/>
    <col min="8198" max="8198" width="21.1796875" style="12" bestFit="1" customWidth="1"/>
    <col min="8199" max="8200" width="9.1796875" style="12" customWidth="1"/>
    <col min="8201" max="8201" width="20.36328125" style="12" bestFit="1" customWidth="1"/>
    <col min="8202" max="8203" width="20.36328125" style="12" customWidth="1"/>
    <col min="8204" max="8204" width="20" style="12" customWidth="1"/>
    <col min="8205" max="8205" width="18.08984375" style="12" bestFit="1" customWidth="1"/>
    <col min="8206" max="8206" width="8.81640625" style="12"/>
    <col min="8207" max="8207" width="16.26953125" style="12" bestFit="1" customWidth="1"/>
    <col min="8208" max="8208" width="9.81640625" style="12" bestFit="1" customWidth="1"/>
    <col min="8209" max="8209" width="17.26953125" style="12" customWidth="1"/>
    <col min="8210" max="8448" width="8.81640625" style="12"/>
    <col min="8449" max="8449" width="4" style="12" customWidth="1"/>
    <col min="8450" max="8452" width="20" style="12" customWidth="1"/>
    <col min="8453" max="8453" width="10" style="12" customWidth="1"/>
    <col min="8454" max="8454" width="21.1796875" style="12" bestFit="1" customWidth="1"/>
    <col min="8455" max="8456" width="9.1796875" style="12" customWidth="1"/>
    <col min="8457" max="8457" width="20.36328125" style="12" bestFit="1" customWidth="1"/>
    <col min="8458" max="8459" width="20.36328125" style="12" customWidth="1"/>
    <col min="8460" max="8460" width="20" style="12" customWidth="1"/>
    <col min="8461" max="8461" width="18.08984375" style="12" bestFit="1" customWidth="1"/>
    <col min="8462" max="8462" width="8.81640625" style="12"/>
    <col min="8463" max="8463" width="16.26953125" style="12" bestFit="1" customWidth="1"/>
    <col min="8464" max="8464" width="9.81640625" style="12" bestFit="1" customWidth="1"/>
    <col min="8465" max="8465" width="17.26953125" style="12" customWidth="1"/>
    <col min="8466" max="8704" width="8.81640625" style="12"/>
    <col min="8705" max="8705" width="4" style="12" customWidth="1"/>
    <col min="8706" max="8708" width="20" style="12" customWidth="1"/>
    <col min="8709" max="8709" width="10" style="12" customWidth="1"/>
    <col min="8710" max="8710" width="21.1796875" style="12" bestFit="1" customWidth="1"/>
    <col min="8711" max="8712" width="9.1796875" style="12" customWidth="1"/>
    <col min="8713" max="8713" width="20.36328125" style="12" bestFit="1" customWidth="1"/>
    <col min="8714" max="8715" width="20.36328125" style="12" customWidth="1"/>
    <col min="8716" max="8716" width="20" style="12" customWidth="1"/>
    <col min="8717" max="8717" width="18.08984375" style="12" bestFit="1" customWidth="1"/>
    <col min="8718" max="8718" width="8.81640625" style="12"/>
    <col min="8719" max="8719" width="16.26953125" style="12" bestFit="1" customWidth="1"/>
    <col min="8720" max="8720" width="9.81640625" style="12" bestFit="1" customWidth="1"/>
    <col min="8721" max="8721" width="17.26953125" style="12" customWidth="1"/>
    <col min="8722" max="8960" width="8.81640625" style="12"/>
    <col min="8961" max="8961" width="4" style="12" customWidth="1"/>
    <col min="8962" max="8964" width="20" style="12" customWidth="1"/>
    <col min="8965" max="8965" width="10" style="12" customWidth="1"/>
    <col min="8966" max="8966" width="21.1796875" style="12" bestFit="1" customWidth="1"/>
    <col min="8967" max="8968" width="9.1796875" style="12" customWidth="1"/>
    <col min="8969" max="8969" width="20.36328125" style="12" bestFit="1" customWidth="1"/>
    <col min="8970" max="8971" width="20.36328125" style="12" customWidth="1"/>
    <col min="8972" max="8972" width="20" style="12" customWidth="1"/>
    <col min="8973" max="8973" width="18.08984375" style="12" bestFit="1" customWidth="1"/>
    <col min="8974" max="8974" width="8.81640625" style="12"/>
    <col min="8975" max="8975" width="16.26953125" style="12" bestFit="1" customWidth="1"/>
    <col min="8976" max="8976" width="9.81640625" style="12" bestFit="1" customWidth="1"/>
    <col min="8977" max="8977" width="17.26953125" style="12" customWidth="1"/>
    <col min="8978" max="9216" width="8.81640625" style="12"/>
    <col min="9217" max="9217" width="4" style="12" customWidth="1"/>
    <col min="9218" max="9220" width="20" style="12" customWidth="1"/>
    <col min="9221" max="9221" width="10" style="12" customWidth="1"/>
    <col min="9222" max="9222" width="21.1796875" style="12" bestFit="1" customWidth="1"/>
    <col min="9223" max="9224" width="9.1796875" style="12" customWidth="1"/>
    <col min="9225" max="9225" width="20.36328125" style="12" bestFit="1" customWidth="1"/>
    <col min="9226" max="9227" width="20.36328125" style="12" customWidth="1"/>
    <col min="9228" max="9228" width="20" style="12" customWidth="1"/>
    <col min="9229" max="9229" width="18.08984375" style="12" bestFit="1" customWidth="1"/>
    <col min="9230" max="9230" width="8.81640625" style="12"/>
    <col min="9231" max="9231" width="16.26953125" style="12" bestFit="1" customWidth="1"/>
    <col min="9232" max="9232" width="9.81640625" style="12" bestFit="1" customWidth="1"/>
    <col min="9233" max="9233" width="17.26953125" style="12" customWidth="1"/>
    <col min="9234" max="9472" width="8.81640625" style="12"/>
    <col min="9473" max="9473" width="4" style="12" customWidth="1"/>
    <col min="9474" max="9476" width="20" style="12" customWidth="1"/>
    <col min="9477" max="9477" width="10" style="12" customWidth="1"/>
    <col min="9478" max="9478" width="21.1796875" style="12" bestFit="1" customWidth="1"/>
    <col min="9479" max="9480" width="9.1796875" style="12" customWidth="1"/>
    <col min="9481" max="9481" width="20.36328125" style="12" bestFit="1" customWidth="1"/>
    <col min="9482" max="9483" width="20.36328125" style="12" customWidth="1"/>
    <col min="9484" max="9484" width="20" style="12" customWidth="1"/>
    <col min="9485" max="9485" width="18.08984375" style="12" bestFit="1" customWidth="1"/>
    <col min="9486" max="9486" width="8.81640625" style="12"/>
    <col min="9487" max="9487" width="16.26953125" style="12" bestFit="1" customWidth="1"/>
    <col min="9488" max="9488" width="9.81640625" style="12" bestFit="1" customWidth="1"/>
    <col min="9489" max="9489" width="17.26953125" style="12" customWidth="1"/>
    <col min="9490" max="9728" width="8.81640625" style="12"/>
    <col min="9729" max="9729" width="4" style="12" customWidth="1"/>
    <col min="9730" max="9732" width="20" style="12" customWidth="1"/>
    <col min="9733" max="9733" width="10" style="12" customWidth="1"/>
    <col min="9734" max="9734" width="21.1796875" style="12" bestFit="1" customWidth="1"/>
    <col min="9735" max="9736" width="9.1796875" style="12" customWidth="1"/>
    <col min="9737" max="9737" width="20.36328125" style="12" bestFit="1" customWidth="1"/>
    <col min="9738" max="9739" width="20.36328125" style="12" customWidth="1"/>
    <col min="9740" max="9740" width="20" style="12" customWidth="1"/>
    <col min="9741" max="9741" width="18.08984375" style="12" bestFit="1" customWidth="1"/>
    <col min="9742" max="9742" width="8.81640625" style="12"/>
    <col min="9743" max="9743" width="16.26953125" style="12" bestFit="1" customWidth="1"/>
    <col min="9744" max="9744" width="9.81640625" style="12" bestFit="1" customWidth="1"/>
    <col min="9745" max="9745" width="17.26953125" style="12" customWidth="1"/>
    <col min="9746" max="9984" width="8.81640625" style="12"/>
    <col min="9985" max="9985" width="4" style="12" customWidth="1"/>
    <col min="9986" max="9988" width="20" style="12" customWidth="1"/>
    <col min="9989" max="9989" width="10" style="12" customWidth="1"/>
    <col min="9990" max="9990" width="21.1796875" style="12" bestFit="1" customWidth="1"/>
    <col min="9991" max="9992" width="9.1796875" style="12" customWidth="1"/>
    <col min="9993" max="9993" width="20.36328125" style="12" bestFit="1" customWidth="1"/>
    <col min="9994" max="9995" width="20.36328125" style="12" customWidth="1"/>
    <col min="9996" max="9996" width="20" style="12" customWidth="1"/>
    <col min="9997" max="9997" width="18.08984375" style="12" bestFit="1" customWidth="1"/>
    <col min="9998" max="9998" width="8.81640625" style="12"/>
    <col min="9999" max="9999" width="16.26953125" style="12" bestFit="1" customWidth="1"/>
    <col min="10000" max="10000" width="9.81640625" style="12" bestFit="1" customWidth="1"/>
    <col min="10001" max="10001" width="17.26953125" style="12" customWidth="1"/>
    <col min="10002" max="10240" width="8.81640625" style="12"/>
    <col min="10241" max="10241" width="4" style="12" customWidth="1"/>
    <col min="10242" max="10244" width="20" style="12" customWidth="1"/>
    <col min="10245" max="10245" width="10" style="12" customWidth="1"/>
    <col min="10246" max="10246" width="21.1796875" style="12" bestFit="1" customWidth="1"/>
    <col min="10247" max="10248" width="9.1796875" style="12" customWidth="1"/>
    <col min="10249" max="10249" width="20.36328125" style="12" bestFit="1" customWidth="1"/>
    <col min="10250" max="10251" width="20.36328125" style="12" customWidth="1"/>
    <col min="10252" max="10252" width="20" style="12" customWidth="1"/>
    <col min="10253" max="10253" width="18.08984375" style="12" bestFit="1" customWidth="1"/>
    <col min="10254" max="10254" width="8.81640625" style="12"/>
    <col min="10255" max="10255" width="16.26953125" style="12" bestFit="1" customWidth="1"/>
    <col min="10256" max="10256" width="9.81640625" style="12" bestFit="1" customWidth="1"/>
    <col min="10257" max="10257" width="17.26953125" style="12" customWidth="1"/>
    <col min="10258" max="10496" width="8.81640625" style="12"/>
    <col min="10497" max="10497" width="4" style="12" customWidth="1"/>
    <col min="10498" max="10500" width="20" style="12" customWidth="1"/>
    <col min="10501" max="10501" width="10" style="12" customWidth="1"/>
    <col min="10502" max="10502" width="21.1796875" style="12" bestFit="1" customWidth="1"/>
    <col min="10503" max="10504" width="9.1796875" style="12" customWidth="1"/>
    <col min="10505" max="10505" width="20.36328125" style="12" bestFit="1" customWidth="1"/>
    <col min="10506" max="10507" width="20.36328125" style="12" customWidth="1"/>
    <col min="10508" max="10508" width="20" style="12" customWidth="1"/>
    <col min="10509" max="10509" width="18.08984375" style="12" bestFit="1" customWidth="1"/>
    <col min="10510" max="10510" width="8.81640625" style="12"/>
    <col min="10511" max="10511" width="16.26953125" style="12" bestFit="1" customWidth="1"/>
    <col min="10512" max="10512" width="9.81640625" style="12" bestFit="1" customWidth="1"/>
    <col min="10513" max="10513" width="17.26953125" style="12" customWidth="1"/>
    <col min="10514" max="10752" width="8.81640625" style="12"/>
    <col min="10753" max="10753" width="4" style="12" customWidth="1"/>
    <col min="10754" max="10756" width="20" style="12" customWidth="1"/>
    <col min="10757" max="10757" width="10" style="12" customWidth="1"/>
    <col min="10758" max="10758" width="21.1796875" style="12" bestFit="1" customWidth="1"/>
    <col min="10759" max="10760" width="9.1796875" style="12" customWidth="1"/>
    <col min="10761" max="10761" width="20.36328125" style="12" bestFit="1" customWidth="1"/>
    <col min="10762" max="10763" width="20.36328125" style="12" customWidth="1"/>
    <col min="10764" max="10764" width="20" style="12" customWidth="1"/>
    <col min="10765" max="10765" width="18.08984375" style="12" bestFit="1" customWidth="1"/>
    <col min="10766" max="10766" width="8.81640625" style="12"/>
    <col min="10767" max="10767" width="16.26953125" style="12" bestFit="1" customWidth="1"/>
    <col min="10768" max="10768" width="9.81640625" style="12" bestFit="1" customWidth="1"/>
    <col min="10769" max="10769" width="17.26953125" style="12" customWidth="1"/>
    <col min="10770" max="11008" width="8.81640625" style="12"/>
    <col min="11009" max="11009" width="4" style="12" customWidth="1"/>
    <col min="11010" max="11012" width="20" style="12" customWidth="1"/>
    <col min="11013" max="11013" width="10" style="12" customWidth="1"/>
    <col min="11014" max="11014" width="21.1796875" style="12" bestFit="1" customWidth="1"/>
    <col min="11015" max="11016" width="9.1796875" style="12" customWidth="1"/>
    <col min="11017" max="11017" width="20.36328125" style="12" bestFit="1" customWidth="1"/>
    <col min="11018" max="11019" width="20.36328125" style="12" customWidth="1"/>
    <col min="11020" max="11020" width="20" style="12" customWidth="1"/>
    <col min="11021" max="11021" width="18.08984375" style="12" bestFit="1" customWidth="1"/>
    <col min="11022" max="11022" width="8.81640625" style="12"/>
    <col min="11023" max="11023" width="16.26953125" style="12" bestFit="1" customWidth="1"/>
    <col min="11024" max="11024" width="9.81640625" style="12" bestFit="1" customWidth="1"/>
    <col min="11025" max="11025" width="17.26953125" style="12" customWidth="1"/>
    <col min="11026" max="11264" width="8.81640625" style="12"/>
    <col min="11265" max="11265" width="4" style="12" customWidth="1"/>
    <col min="11266" max="11268" width="20" style="12" customWidth="1"/>
    <col min="11269" max="11269" width="10" style="12" customWidth="1"/>
    <col min="11270" max="11270" width="21.1796875" style="12" bestFit="1" customWidth="1"/>
    <col min="11271" max="11272" width="9.1796875" style="12" customWidth="1"/>
    <col min="11273" max="11273" width="20.36328125" style="12" bestFit="1" customWidth="1"/>
    <col min="11274" max="11275" width="20.36328125" style="12" customWidth="1"/>
    <col min="11276" max="11276" width="20" style="12" customWidth="1"/>
    <col min="11277" max="11277" width="18.08984375" style="12" bestFit="1" customWidth="1"/>
    <col min="11278" max="11278" width="8.81640625" style="12"/>
    <col min="11279" max="11279" width="16.26953125" style="12" bestFit="1" customWidth="1"/>
    <col min="11280" max="11280" width="9.81640625" style="12" bestFit="1" customWidth="1"/>
    <col min="11281" max="11281" width="17.26953125" style="12" customWidth="1"/>
    <col min="11282" max="11520" width="8.81640625" style="12"/>
    <col min="11521" max="11521" width="4" style="12" customWidth="1"/>
    <col min="11522" max="11524" width="20" style="12" customWidth="1"/>
    <col min="11525" max="11525" width="10" style="12" customWidth="1"/>
    <col min="11526" max="11526" width="21.1796875" style="12" bestFit="1" customWidth="1"/>
    <col min="11527" max="11528" width="9.1796875" style="12" customWidth="1"/>
    <col min="11529" max="11529" width="20.36328125" style="12" bestFit="1" customWidth="1"/>
    <col min="11530" max="11531" width="20.36328125" style="12" customWidth="1"/>
    <col min="11532" max="11532" width="20" style="12" customWidth="1"/>
    <col min="11533" max="11533" width="18.08984375" style="12" bestFit="1" customWidth="1"/>
    <col min="11534" max="11534" width="8.81640625" style="12"/>
    <col min="11535" max="11535" width="16.26953125" style="12" bestFit="1" customWidth="1"/>
    <col min="11536" max="11536" width="9.81640625" style="12" bestFit="1" customWidth="1"/>
    <col min="11537" max="11537" width="17.26953125" style="12" customWidth="1"/>
    <col min="11538" max="11776" width="8.81640625" style="12"/>
    <col min="11777" max="11777" width="4" style="12" customWidth="1"/>
    <col min="11778" max="11780" width="20" style="12" customWidth="1"/>
    <col min="11781" max="11781" width="10" style="12" customWidth="1"/>
    <col min="11782" max="11782" width="21.1796875" style="12" bestFit="1" customWidth="1"/>
    <col min="11783" max="11784" width="9.1796875" style="12" customWidth="1"/>
    <col min="11785" max="11785" width="20.36328125" style="12" bestFit="1" customWidth="1"/>
    <col min="11786" max="11787" width="20.36328125" style="12" customWidth="1"/>
    <col min="11788" max="11788" width="20" style="12" customWidth="1"/>
    <col min="11789" max="11789" width="18.08984375" style="12" bestFit="1" customWidth="1"/>
    <col min="11790" max="11790" width="8.81640625" style="12"/>
    <col min="11791" max="11791" width="16.26953125" style="12" bestFit="1" customWidth="1"/>
    <col min="11792" max="11792" width="9.81640625" style="12" bestFit="1" customWidth="1"/>
    <col min="11793" max="11793" width="17.26953125" style="12" customWidth="1"/>
    <col min="11794" max="12032" width="8.81640625" style="12"/>
    <col min="12033" max="12033" width="4" style="12" customWidth="1"/>
    <col min="12034" max="12036" width="20" style="12" customWidth="1"/>
    <col min="12037" max="12037" width="10" style="12" customWidth="1"/>
    <col min="12038" max="12038" width="21.1796875" style="12" bestFit="1" customWidth="1"/>
    <col min="12039" max="12040" width="9.1796875" style="12" customWidth="1"/>
    <col min="12041" max="12041" width="20.36328125" style="12" bestFit="1" customWidth="1"/>
    <col min="12042" max="12043" width="20.36328125" style="12" customWidth="1"/>
    <col min="12044" max="12044" width="20" style="12" customWidth="1"/>
    <col min="12045" max="12045" width="18.08984375" style="12" bestFit="1" customWidth="1"/>
    <col min="12046" max="12046" width="8.81640625" style="12"/>
    <col min="12047" max="12047" width="16.26953125" style="12" bestFit="1" customWidth="1"/>
    <col min="12048" max="12048" width="9.81640625" style="12" bestFit="1" customWidth="1"/>
    <col min="12049" max="12049" width="17.26953125" style="12" customWidth="1"/>
    <col min="12050" max="12288" width="8.81640625" style="12"/>
    <col min="12289" max="12289" width="4" style="12" customWidth="1"/>
    <col min="12290" max="12292" width="20" style="12" customWidth="1"/>
    <col min="12293" max="12293" width="10" style="12" customWidth="1"/>
    <col min="12294" max="12294" width="21.1796875" style="12" bestFit="1" customWidth="1"/>
    <col min="12295" max="12296" width="9.1796875" style="12" customWidth="1"/>
    <col min="12297" max="12297" width="20.36328125" style="12" bestFit="1" customWidth="1"/>
    <col min="12298" max="12299" width="20.36328125" style="12" customWidth="1"/>
    <col min="12300" max="12300" width="20" style="12" customWidth="1"/>
    <col min="12301" max="12301" width="18.08984375" style="12" bestFit="1" customWidth="1"/>
    <col min="12302" max="12302" width="8.81640625" style="12"/>
    <col min="12303" max="12303" width="16.26953125" style="12" bestFit="1" customWidth="1"/>
    <col min="12304" max="12304" width="9.81640625" style="12" bestFit="1" customWidth="1"/>
    <col min="12305" max="12305" width="17.26953125" style="12" customWidth="1"/>
    <col min="12306" max="12544" width="8.81640625" style="12"/>
    <col min="12545" max="12545" width="4" style="12" customWidth="1"/>
    <col min="12546" max="12548" width="20" style="12" customWidth="1"/>
    <col min="12549" max="12549" width="10" style="12" customWidth="1"/>
    <col min="12550" max="12550" width="21.1796875" style="12" bestFit="1" customWidth="1"/>
    <col min="12551" max="12552" width="9.1796875" style="12" customWidth="1"/>
    <col min="12553" max="12553" width="20.36328125" style="12" bestFit="1" customWidth="1"/>
    <col min="12554" max="12555" width="20.36328125" style="12" customWidth="1"/>
    <col min="12556" max="12556" width="20" style="12" customWidth="1"/>
    <col min="12557" max="12557" width="18.08984375" style="12" bestFit="1" customWidth="1"/>
    <col min="12558" max="12558" width="8.81640625" style="12"/>
    <col min="12559" max="12559" width="16.26953125" style="12" bestFit="1" customWidth="1"/>
    <col min="12560" max="12560" width="9.81640625" style="12" bestFit="1" customWidth="1"/>
    <col min="12561" max="12561" width="17.26953125" style="12" customWidth="1"/>
    <col min="12562" max="12800" width="8.81640625" style="12"/>
    <col min="12801" max="12801" width="4" style="12" customWidth="1"/>
    <col min="12802" max="12804" width="20" style="12" customWidth="1"/>
    <col min="12805" max="12805" width="10" style="12" customWidth="1"/>
    <col min="12806" max="12806" width="21.1796875" style="12" bestFit="1" customWidth="1"/>
    <col min="12807" max="12808" width="9.1796875" style="12" customWidth="1"/>
    <col min="12809" max="12809" width="20.36328125" style="12" bestFit="1" customWidth="1"/>
    <col min="12810" max="12811" width="20.36328125" style="12" customWidth="1"/>
    <col min="12812" max="12812" width="20" style="12" customWidth="1"/>
    <col min="12813" max="12813" width="18.08984375" style="12" bestFit="1" customWidth="1"/>
    <col min="12814" max="12814" width="8.81640625" style="12"/>
    <col min="12815" max="12815" width="16.26953125" style="12" bestFit="1" customWidth="1"/>
    <col min="12816" max="12816" width="9.81640625" style="12" bestFit="1" customWidth="1"/>
    <col min="12817" max="12817" width="17.26953125" style="12" customWidth="1"/>
    <col min="12818" max="13056" width="8.81640625" style="12"/>
    <col min="13057" max="13057" width="4" style="12" customWidth="1"/>
    <col min="13058" max="13060" width="20" style="12" customWidth="1"/>
    <col min="13061" max="13061" width="10" style="12" customWidth="1"/>
    <col min="13062" max="13062" width="21.1796875" style="12" bestFit="1" customWidth="1"/>
    <col min="13063" max="13064" width="9.1796875" style="12" customWidth="1"/>
    <col min="13065" max="13065" width="20.36328125" style="12" bestFit="1" customWidth="1"/>
    <col min="13066" max="13067" width="20.36328125" style="12" customWidth="1"/>
    <col min="13068" max="13068" width="20" style="12" customWidth="1"/>
    <col min="13069" max="13069" width="18.08984375" style="12" bestFit="1" customWidth="1"/>
    <col min="13070" max="13070" width="8.81640625" style="12"/>
    <col min="13071" max="13071" width="16.26953125" style="12" bestFit="1" customWidth="1"/>
    <col min="13072" max="13072" width="9.81640625" style="12" bestFit="1" customWidth="1"/>
    <col min="13073" max="13073" width="17.26953125" style="12" customWidth="1"/>
    <col min="13074" max="13312" width="8.81640625" style="12"/>
    <col min="13313" max="13313" width="4" style="12" customWidth="1"/>
    <col min="13314" max="13316" width="20" style="12" customWidth="1"/>
    <col min="13317" max="13317" width="10" style="12" customWidth="1"/>
    <col min="13318" max="13318" width="21.1796875" style="12" bestFit="1" customWidth="1"/>
    <col min="13319" max="13320" width="9.1796875" style="12" customWidth="1"/>
    <col min="13321" max="13321" width="20.36328125" style="12" bestFit="1" customWidth="1"/>
    <col min="13322" max="13323" width="20.36328125" style="12" customWidth="1"/>
    <col min="13324" max="13324" width="20" style="12" customWidth="1"/>
    <col min="13325" max="13325" width="18.08984375" style="12" bestFit="1" customWidth="1"/>
    <col min="13326" max="13326" width="8.81640625" style="12"/>
    <col min="13327" max="13327" width="16.26953125" style="12" bestFit="1" customWidth="1"/>
    <col min="13328" max="13328" width="9.81640625" style="12" bestFit="1" customWidth="1"/>
    <col min="13329" max="13329" width="17.26953125" style="12" customWidth="1"/>
    <col min="13330" max="13568" width="8.81640625" style="12"/>
    <col min="13569" max="13569" width="4" style="12" customWidth="1"/>
    <col min="13570" max="13572" width="20" style="12" customWidth="1"/>
    <col min="13573" max="13573" width="10" style="12" customWidth="1"/>
    <col min="13574" max="13574" width="21.1796875" style="12" bestFit="1" customWidth="1"/>
    <col min="13575" max="13576" width="9.1796875" style="12" customWidth="1"/>
    <col min="13577" max="13577" width="20.36328125" style="12" bestFit="1" customWidth="1"/>
    <col min="13578" max="13579" width="20.36328125" style="12" customWidth="1"/>
    <col min="13580" max="13580" width="20" style="12" customWidth="1"/>
    <col min="13581" max="13581" width="18.08984375" style="12" bestFit="1" customWidth="1"/>
    <col min="13582" max="13582" width="8.81640625" style="12"/>
    <col min="13583" max="13583" width="16.26953125" style="12" bestFit="1" customWidth="1"/>
    <col min="13584" max="13584" width="9.81640625" style="12" bestFit="1" customWidth="1"/>
    <col min="13585" max="13585" width="17.26953125" style="12" customWidth="1"/>
    <col min="13586" max="13824" width="8.81640625" style="12"/>
    <col min="13825" max="13825" width="4" style="12" customWidth="1"/>
    <col min="13826" max="13828" width="20" style="12" customWidth="1"/>
    <col min="13829" max="13829" width="10" style="12" customWidth="1"/>
    <col min="13830" max="13830" width="21.1796875" style="12" bestFit="1" customWidth="1"/>
    <col min="13831" max="13832" width="9.1796875" style="12" customWidth="1"/>
    <col min="13833" max="13833" width="20.36328125" style="12" bestFit="1" customWidth="1"/>
    <col min="13834" max="13835" width="20.36328125" style="12" customWidth="1"/>
    <col min="13836" max="13836" width="20" style="12" customWidth="1"/>
    <col min="13837" max="13837" width="18.08984375" style="12" bestFit="1" customWidth="1"/>
    <col min="13838" max="13838" width="8.81640625" style="12"/>
    <col min="13839" max="13839" width="16.26953125" style="12" bestFit="1" customWidth="1"/>
    <col min="13840" max="13840" width="9.81640625" style="12" bestFit="1" customWidth="1"/>
    <col min="13841" max="13841" width="17.26953125" style="12" customWidth="1"/>
    <col min="13842" max="14080" width="8.81640625" style="12"/>
    <col min="14081" max="14081" width="4" style="12" customWidth="1"/>
    <col min="14082" max="14084" width="20" style="12" customWidth="1"/>
    <col min="14085" max="14085" width="10" style="12" customWidth="1"/>
    <col min="14086" max="14086" width="21.1796875" style="12" bestFit="1" customWidth="1"/>
    <col min="14087" max="14088" width="9.1796875" style="12" customWidth="1"/>
    <col min="14089" max="14089" width="20.36328125" style="12" bestFit="1" customWidth="1"/>
    <col min="14090" max="14091" width="20.36328125" style="12" customWidth="1"/>
    <col min="14092" max="14092" width="20" style="12" customWidth="1"/>
    <col min="14093" max="14093" width="18.08984375" style="12" bestFit="1" customWidth="1"/>
    <col min="14094" max="14094" width="8.81640625" style="12"/>
    <col min="14095" max="14095" width="16.26953125" style="12" bestFit="1" customWidth="1"/>
    <col min="14096" max="14096" width="9.81640625" style="12" bestFit="1" customWidth="1"/>
    <col min="14097" max="14097" width="17.26953125" style="12" customWidth="1"/>
    <col min="14098" max="14336" width="8.81640625" style="12"/>
    <col min="14337" max="14337" width="4" style="12" customWidth="1"/>
    <col min="14338" max="14340" width="20" style="12" customWidth="1"/>
    <col min="14341" max="14341" width="10" style="12" customWidth="1"/>
    <col min="14342" max="14342" width="21.1796875" style="12" bestFit="1" customWidth="1"/>
    <col min="14343" max="14344" width="9.1796875" style="12" customWidth="1"/>
    <col min="14345" max="14345" width="20.36328125" style="12" bestFit="1" customWidth="1"/>
    <col min="14346" max="14347" width="20.36328125" style="12" customWidth="1"/>
    <col min="14348" max="14348" width="20" style="12" customWidth="1"/>
    <col min="14349" max="14349" width="18.08984375" style="12" bestFit="1" customWidth="1"/>
    <col min="14350" max="14350" width="8.81640625" style="12"/>
    <col min="14351" max="14351" width="16.26953125" style="12" bestFit="1" customWidth="1"/>
    <col min="14352" max="14352" width="9.81640625" style="12" bestFit="1" customWidth="1"/>
    <col min="14353" max="14353" width="17.26953125" style="12" customWidth="1"/>
    <col min="14354" max="14592" width="8.81640625" style="12"/>
    <col min="14593" max="14593" width="4" style="12" customWidth="1"/>
    <col min="14594" max="14596" width="20" style="12" customWidth="1"/>
    <col min="14597" max="14597" width="10" style="12" customWidth="1"/>
    <col min="14598" max="14598" width="21.1796875" style="12" bestFit="1" customWidth="1"/>
    <col min="14599" max="14600" width="9.1796875" style="12" customWidth="1"/>
    <col min="14601" max="14601" width="20.36328125" style="12" bestFit="1" customWidth="1"/>
    <col min="14602" max="14603" width="20.36328125" style="12" customWidth="1"/>
    <col min="14604" max="14604" width="20" style="12" customWidth="1"/>
    <col min="14605" max="14605" width="18.08984375" style="12" bestFit="1" customWidth="1"/>
    <col min="14606" max="14606" width="8.81640625" style="12"/>
    <col min="14607" max="14607" width="16.26953125" style="12" bestFit="1" customWidth="1"/>
    <col min="14608" max="14608" width="9.81640625" style="12" bestFit="1" customWidth="1"/>
    <col min="14609" max="14609" width="17.26953125" style="12" customWidth="1"/>
    <col min="14610" max="14848" width="8.81640625" style="12"/>
    <col min="14849" max="14849" width="4" style="12" customWidth="1"/>
    <col min="14850" max="14852" width="20" style="12" customWidth="1"/>
    <col min="14853" max="14853" width="10" style="12" customWidth="1"/>
    <col min="14854" max="14854" width="21.1796875" style="12" bestFit="1" customWidth="1"/>
    <col min="14855" max="14856" width="9.1796875" style="12" customWidth="1"/>
    <col min="14857" max="14857" width="20.36328125" style="12" bestFit="1" customWidth="1"/>
    <col min="14858" max="14859" width="20.36328125" style="12" customWidth="1"/>
    <col min="14860" max="14860" width="20" style="12" customWidth="1"/>
    <col min="14861" max="14861" width="18.08984375" style="12" bestFit="1" customWidth="1"/>
    <col min="14862" max="14862" width="8.81640625" style="12"/>
    <col min="14863" max="14863" width="16.26953125" style="12" bestFit="1" customWidth="1"/>
    <col min="14864" max="14864" width="9.81640625" style="12" bestFit="1" customWidth="1"/>
    <col min="14865" max="14865" width="17.26953125" style="12" customWidth="1"/>
    <col min="14866" max="15104" width="8.81640625" style="12"/>
    <col min="15105" max="15105" width="4" style="12" customWidth="1"/>
    <col min="15106" max="15108" width="20" style="12" customWidth="1"/>
    <col min="15109" max="15109" width="10" style="12" customWidth="1"/>
    <col min="15110" max="15110" width="21.1796875" style="12" bestFit="1" customWidth="1"/>
    <col min="15111" max="15112" width="9.1796875" style="12" customWidth="1"/>
    <col min="15113" max="15113" width="20.36328125" style="12" bestFit="1" customWidth="1"/>
    <col min="15114" max="15115" width="20.36328125" style="12" customWidth="1"/>
    <col min="15116" max="15116" width="20" style="12" customWidth="1"/>
    <col min="15117" max="15117" width="18.08984375" style="12" bestFit="1" customWidth="1"/>
    <col min="15118" max="15118" width="8.81640625" style="12"/>
    <col min="15119" max="15119" width="16.26953125" style="12" bestFit="1" customWidth="1"/>
    <col min="15120" max="15120" width="9.81640625" style="12" bestFit="1" customWidth="1"/>
    <col min="15121" max="15121" width="17.26953125" style="12" customWidth="1"/>
    <col min="15122" max="15360" width="8.81640625" style="12"/>
    <col min="15361" max="15361" width="4" style="12" customWidth="1"/>
    <col min="15362" max="15364" width="20" style="12" customWidth="1"/>
    <col min="15365" max="15365" width="10" style="12" customWidth="1"/>
    <col min="15366" max="15366" width="21.1796875" style="12" bestFit="1" customWidth="1"/>
    <col min="15367" max="15368" width="9.1796875" style="12" customWidth="1"/>
    <col min="15369" max="15369" width="20.36328125" style="12" bestFit="1" customWidth="1"/>
    <col min="15370" max="15371" width="20.36328125" style="12" customWidth="1"/>
    <col min="15372" max="15372" width="20" style="12" customWidth="1"/>
    <col min="15373" max="15373" width="18.08984375" style="12" bestFit="1" customWidth="1"/>
    <col min="15374" max="15374" width="8.81640625" style="12"/>
    <col min="15375" max="15375" width="16.26953125" style="12" bestFit="1" customWidth="1"/>
    <col min="15376" max="15376" width="9.81640625" style="12" bestFit="1" customWidth="1"/>
    <col min="15377" max="15377" width="17.26953125" style="12" customWidth="1"/>
    <col min="15378" max="15616" width="8.81640625" style="12"/>
    <col min="15617" max="15617" width="4" style="12" customWidth="1"/>
    <col min="15618" max="15620" width="20" style="12" customWidth="1"/>
    <col min="15621" max="15621" width="10" style="12" customWidth="1"/>
    <col min="15622" max="15622" width="21.1796875" style="12" bestFit="1" customWidth="1"/>
    <col min="15623" max="15624" width="9.1796875" style="12" customWidth="1"/>
    <col min="15625" max="15625" width="20.36328125" style="12" bestFit="1" customWidth="1"/>
    <col min="15626" max="15627" width="20.36328125" style="12" customWidth="1"/>
    <col min="15628" max="15628" width="20" style="12" customWidth="1"/>
    <col min="15629" max="15629" width="18.08984375" style="12" bestFit="1" customWidth="1"/>
    <col min="15630" max="15630" width="8.81640625" style="12"/>
    <col min="15631" max="15631" width="16.26953125" style="12" bestFit="1" customWidth="1"/>
    <col min="15632" max="15632" width="9.81640625" style="12" bestFit="1" customWidth="1"/>
    <col min="15633" max="15633" width="17.26953125" style="12" customWidth="1"/>
    <col min="15634" max="15872" width="8.81640625" style="12"/>
    <col min="15873" max="15873" width="4" style="12" customWidth="1"/>
    <col min="15874" max="15876" width="20" style="12" customWidth="1"/>
    <col min="15877" max="15877" width="10" style="12" customWidth="1"/>
    <col min="15878" max="15878" width="21.1796875" style="12" bestFit="1" customWidth="1"/>
    <col min="15879" max="15880" width="9.1796875" style="12" customWidth="1"/>
    <col min="15881" max="15881" width="20.36328125" style="12" bestFit="1" customWidth="1"/>
    <col min="15882" max="15883" width="20.36328125" style="12" customWidth="1"/>
    <col min="15884" max="15884" width="20" style="12" customWidth="1"/>
    <col min="15885" max="15885" width="18.08984375" style="12" bestFit="1" customWidth="1"/>
    <col min="15886" max="15886" width="8.81640625" style="12"/>
    <col min="15887" max="15887" width="16.26953125" style="12" bestFit="1" customWidth="1"/>
    <col min="15888" max="15888" width="9.81640625" style="12" bestFit="1" customWidth="1"/>
    <col min="15889" max="15889" width="17.26953125" style="12" customWidth="1"/>
    <col min="15890" max="16128" width="8.81640625" style="12"/>
    <col min="16129" max="16129" width="4" style="12" customWidth="1"/>
    <col min="16130" max="16132" width="20" style="12" customWidth="1"/>
    <col min="16133" max="16133" width="10" style="12" customWidth="1"/>
    <col min="16134" max="16134" width="21.1796875" style="12" bestFit="1" customWidth="1"/>
    <col min="16135" max="16136" width="9.1796875" style="12" customWidth="1"/>
    <col min="16137" max="16137" width="20.36328125" style="12" bestFit="1" customWidth="1"/>
    <col min="16138" max="16139" width="20.36328125" style="12" customWidth="1"/>
    <col min="16140" max="16140" width="20" style="12" customWidth="1"/>
    <col min="16141" max="16141" width="18.08984375" style="12" bestFit="1" customWidth="1"/>
    <col min="16142" max="16142" width="8.81640625" style="12"/>
    <col min="16143" max="16143" width="16.26953125" style="12" bestFit="1" customWidth="1"/>
    <col min="16144" max="16144" width="9.81640625" style="12" bestFit="1" customWidth="1"/>
    <col min="16145" max="16145" width="17.26953125" style="12" customWidth="1"/>
    <col min="16146" max="16384" width="8.81640625" style="12"/>
  </cols>
  <sheetData>
    <row r="1" spans="1:14" x14ac:dyDescent="0.35">
      <c r="A1" s="11" t="s">
        <v>1942</v>
      </c>
    </row>
    <row r="2" spans="1:14" x14ac:dyDescent="0.35">
      <c r="A2" s="11" t="s">
        <v>1922</v>
      </c>
    </row>
    <row r="3" spans="1:14" x14ac:dyDescent="0.35">
      <c r="A3" s="14" t="s">
        <v>1923</v>
      </c>
      <c r="B3" s="14" t="s">
        <v>1924</v>
      </c>
      <c r="C3" s="14" t="s">
        <v>1925</v>
      </c>
      <c r="D3" s="14" t="s">
        <v>1926</v>
      </c>
      <c r="E3" s="14" t="s">
        <v>1943</v>
      </c>
      <c r="F3" s="14" t="s">
        <v>1944</v>
      </c>
      <c r="G3" s="14" t="s">
        <v>1945</v>
      </c>
      <c r="H3" s="14" t="s">
        <v>1928</v>
      </c>
      <c r="I3" s="5" t="s">
        <v>1929</v>
      </c>
      <c r="J3" s="5" t="s">
        <v>1930</v>
      </c>
      <c r="K3" s="5" t="s">
        <v>1931</v>
      </c>
      <c r="L3" s="5" t="s">
        <v>1932</v>
      </c>
      <c r="M3" s="5" t="s">
        <v>1930</v>
      </c>
      <c r="N3" s="5" t="s">
        <v>1931</v>
      </c>
    </row>
    <row r="4" spans="1:14" x14ac:dyDescent="0.35">
      <c r="A4" s="12">
        <v>1</v>
      </c>
      <c r="B4" s="12" t="s">
        <v>1934</v>
      </c>
      <c r="C4" s="12">
        <v>131</v>
      </c>
      <c r="D4" s="2" t="s">
        <v>128</v>
      </c>
      <c r="E4" s="2">
        <v>2093</v>
      </c>
      <c r="F4" s="2" t="s">
        <v>802</v>
      </c>
      <c r="G4" s="12" t="s">
        <v>1935</v>
      </c>
      <c r="H4" s="12" t="s">
        <v>1936</v>
      </c>
      <c r="I4" s="7">
        <v>1</v>
      </c>
      <c r="J4" s="8">
        <f>VLOOKUP(E4,Sheet12!$A$5:$C$32,2,FALSE)</f>
        <v>1</v>
      </c>
      <c r="K4" s="9">
        <f t="shared" ref="K4:K31" si="0">J4-I4</f>
        <v>0</v>
      </c>
      <c r="L4" s="7">
        <v>2</v>
      </c>
      <c r="M4" s="8">
        <f>VLOOKUP(E4,Sheet12!$A$5:$C$32,3,FALSE)</f>
        <v>2</v>
      </c>
      <c r="N4" s="9">
        <f t="shared" ref="N4:N31" si="1">M4-L4</f>
        <v>0</v>
      </c>
    </row>
    <row r="5" spans="1:14" x14ac:dyDescent="0.35">
      <c r="A5" s="12">
        <v>2</v>
      </c>
      <c r="B5" s="12" t="s">
        <v>1934</v>
      </c>
      <c r="C5" s="12">
        <v>324</v>
      </c>
      <c r="D5" s="2" t="s">
        <v>51</v>
      </c>
      <c r="E5" s="2">
        <v>2145</v>
      </c>
      <c r="F5" s="2" t="s">
        <v>1006</v>
      </c>
      <c r="G5" s="12" t="s">
        <v>1935</v>
      </c>
      <c r="H5" s="12" t="s">
        <v>1936</v>
      </c>
      <c r="I5" s="7">
        <v>1</v>
      </c>
      <c r="J5" s="8">
        <f>VLOOKUP(E5,Sheet12!$A$5:$C$32,2,FALSE)</f>
        <v>1</v>
      </c>
      <c r="K5" s="9">
        <f t="shared" si="0"/>
        <v>0</v>
      </c>
      <c r="L5" s="7">
        <v>1</v>
      </c>
      <c r="M5" s="8">
        <f>VLOOKUP(E5,Sheet12!$A$5:$C$32,3,FALSE)</f>
        <v>1</v>
      </c>
      <c r="N5" s="9">
        <f t="shared" si="1"/>
        <v>0</v>
      </c>
    </row>
    <row r="6" spans="1:14" x14ac:dyDescent="0.35">
      <c r="A6" s="12">
        <v>3</v>
      </c>
      <c r="B6" s="12" t="s">
        <v>1934</v>
      </c>
      <c r="C6" s="12">
        <v>164</v>
      </c>
      <c r="D6" s="2" t="s">
        <v>87</v>
      </c>
      <c r="E6" s="2">
        <v>670</v>
      </c>
      <c r="F6" s="2" t="s">
        <v>1946</v>
      </c>
      <c r="G6" s="12" t="s">
        <v>1935</v>
      </c>
      <c r="H6" s="12" t="s">
        <v>1936</v>
      </c>
      <c r="I6" s="7">
        <v>2</v>
      </c>
      <c r="J6" s="8">
        <f>VLOOKUP(E6,Sheet12!$A$5:$C$32,2,FALSE)</f>
        <v>2</v>
      </c>
      <c r="K6" s="9">
        <f t="shared" si="0"/>
        <v>0</v>
      </c>
      <c r="L6" s="7">
        <v>1</v>
      </c>
      <c r="M6" s="8">
        <f>VLOOKUP(E6,Sheet12!$A$5:$C$32,3,FALSE)</f>
        <v>1</v>
      </c>
      <c r="N6" s="9">
        <f t="shared" si="1"/>
        <v>0</v>
      </c>
    </row>
    <row r="7" spans="1:14" x14ac:dyDescent="0.35">
      <c r="A7" s="12">
        <v>4</v>
      </c>
      <c r="B7" s="12" t="s">
        <v>1934</v>
      </c>
      <c r="C7" s="12">
        <v>164</v>
      </c>
      <c r="D7" s="2" t="s">
        <v>87</v>
      </c>
      <c r="E7" s="2">
        <v>1100</v>
      </c>
      <c r="F7" s="2" t="s">
        <v>550</v>
      </c>
      <c r="G7" s="12" t="s">
        <v>1935</v>
      </c>
      <c r="H7" s="12" t="s">
        <v>1936</v>
      </c>
      <c r="I7" s="7">
        <v>2</v>
      </c>
      <c r="J7" s="8">
        <f>VLOOKUP(E7,Sheet12!$A$5:$C$32,2,FALSE)</f>
        <v>2</v>
      </c>
      <c r="K7" s="9">
        <f t="shared" si="0"/>
        <v>0</v>
      </c>
      <c r="L7" s="7">
        <v>1</v>
      </c>
      <c r="M7" s="8">
        <f>VLOOKUP(E7,Sheet12!$A$5:$C$32,3,FALSE)</f>
        <v>1</v>
      </c>
      <c r="N7" s="9">
        <f t="shared" si="1"/>
        <v>0</v>
      </c>
    </row>
    <row r="8" spans="1:14" x14ac:dyDescent="0.35">
      <c r="A8" s="12">
        <v>5</v>
      </c>
      <c r="B8" s="12" t="s">
        <v>1934</v>
      </c>
      <c r="C8" s="12">
        <v>607</v>
      </c>
      <c r="D8" s="2" t="s">
        <v>162</v>
      </c>
      <c r="E8" s="2">
        <v>2292</v>
      </c>
      <c r="F8" s="2" t="s">
        <v>1947</v>
      </c>
      <c r="G8" s="12" t="s">
        <v>1937</v>
      </c>
      <c r="H8" s="12" t="s">
        <v>1936</v>
      </c>
      <c r="I8" s="7">
        <v>2</v>
      </c>
      <c r="J8" s="8">
        <f>VLOOKUP(E8,Sheet12!$A$5:$C$32,2,FALSE)</f>
        <v>2</v>
      </c>
      <c r="K8" s="9">
        <f t="shared" si="0"/>
        <v>0</v>
      </c>
      <c r="L8" s="7">
        <v>1</v>
      </c>
      <c r="M8" s="8">
        <f>VLOOKUP(E8,Sheet12!$A$5:$C$32,3,FALSE)</f>
        <v>1</v>
      </c>
      <c r="N8" s="9">
        <f t="shared" si="1"/>
        <v>0</v>
      </c>
    </row>
    <row r="9" spans="1:14" x14ac:dyDescent="0.35">
      <c r="A9" s="12">
        <v>6</v>
      </c>
      <c r="B9" s="12" t="s">
        <v>1934</v>
      </c>
      <c r="C9" s="12">
        <v>184</v>
      </c>
      <c r="D9" s="2" t="s">
        <v>123</v>
      </c>
      <c r="E9" s="2">
        <v>2279</v>
      </c>
      <c r="F9" s="2" t="s">
        <v>1079</v>
      </c>
      <c r="G9" s="12" t="s">
        <v>1935</v>
      </c>
      <c r="H9" s="12" t="s">
        <v>1936</v>
      </c>
      <c r="I9" s="7">
        <v>2</v>
      </c>
      <c r="J9" s="8">
        <f>VLOOKUP(E9,Sheet12!$A$5:$C$32,2,FALSE)</f>
        <v>2</v>
      </c>
      <c r="K9" s="9">
        <f t="shared" si="0"/>
        <v>0</v>
      </c>
      <c r="L9" s="7">
        <v>1</v>
      </c>
      <c r="M9" s="8">
        <f>VLOOKUP(E9,Sheet12!$A$5:$C$32,3,FALSE)</f>
        <v>1</v>
      </c>
      <c r="N9" s="9">
        <f t="shared" si="1"/>
        <v>0</v>
      </c>
    </row>
    <row r="10" spans="1:14" x14ac:dyDescent="0.35">
      <c r="A10" s="12">
        <v>7</v>
      </c>
      <c r="B10" s="12" t="s">
        <v>1934</v>
      </c>
      <c r="C10" s="12">
        <v>63</v>
      </c>
      <c r="D10" s="2" t="s">
        <v>246</v>
      </c>
      <c r="E10" s="2">
        <v>2091</v>
      </c>
      <c r="F10" s="2" t="s">
        <v>249</v>
      </c>
      <c r="G10" s="12" t="s">
        <v>1938</v>
      </c>
      <c r="H10" s="12" t="s">
        <v>1936</v>
      </c>
      <c r="I10" s="7">
        <v>1</v>
      </c>
      <c r="J10" s="8">
        <f>VLOOKUP(E10,Sheet12!$A$5:$C$32,2,FALSE)</f>
        <v>1</v>
      </c>
      <c r="K10" s="9">
        <f t="shared" si="0"/>
        <v>0</v>
      </c>
      <c r="L10" s="7">
        <v>1</v>
      </c>
      <c r="M10" s="8">
        <f>VLOOKUP(E10,Sheet12!$A$5:$C$32,3,FALSE)</f>
        <v>1</v>
      </c>
      <c r="N10" s="9">
        <f t="shared" si="1"/>
        <v>0</v>
      </c>
    </row>
    <row r="11" spans="1:14" x14ac:dyDescent="0.35">
      <c r="A11" s="12">
        <v>8</v>
      </c>
      <c r="B11" s="12" t="s">
        <v>1934</v>
      </c>
      <c r="C11" s="12">
        <v>324</v>
      </c>
      <c r="D11" s="2" t="s">
        <v>51</v>
      </c>
      <c r="E11" s="2">
        <v>2090</v>
      </c>
      <c r="F11" s="2" t="s">
        <v>827</v>
      </c>
      <c r="G11" s="12" t="s">
        <v>1935</v>
      </c>
      <c r="H11" s="12" t="s">
        <v>1936</v>
      </c>
      <c r="I11" s="7">
        <v>1</v>
      </c>
      <c r="J11" s="8">
        <f>VLOOKUP(E11,Sheet12!$A$5:$C$32,2,FALSE)</f>
        <v>1</v>
      </c>
      <c r="K11" s="9">
        <f t="shared" si="0"/>
        <v>0</v>
      </c>
      <c r="L11" s="7">
        <v>1</v>
      </c>
      <c r="M11" s="8">
        <f>VLOOKUP(E11,Sheet12!$A$5:$C$32,3,FALSE)</f>
        <v>1</v>
      </c>
      <c r="N11" s="9">
        <f t="shared" si="1"/>
        <v>0</v>
      </c>
    </row>
    <row r="12" spans="1:14" x14ac:dyDescent="0.35">
      <c r="A12" s="12">
        <v>9</v>
      </c>
      <c r="B12" s="12" t="s">
        <v>1934</v>
      </c>
      <c r="C12" s="12">
        <v>63</v>
      </c>
      <c r="D12" s="2" t="s">
        <v>246</v>
      </c>
      <c r="E12" s="2">
        <v>2194</v>
      </c>
      <c r="F12" s="2" t="s">
        <v>1614</v>
      </c>
      <c r="G12" s="12" t="s">
        <v>1938</v>
      </c>
      <c r="H12" s="12" t="s">
        <v>1936</v>
      </c>
      <c r="I12" s="7">
        <v>1</v>
      </c>
      <c r="J12" s="8">
        <f>VLOOKUP(E12,Sheet12!$A$5:$C$32,2,FALSE)</f>
        <v>1</v>
      </c>
      <c r="K12" s="9">
        <f t="shared" si="0"/>
        <v>0</v>
      </c>
      <c r="L12" s="7">
        <v>1</v>
      </c>
      <c r="M12" s="8">
        <f>VLOOKUP(E12,Sheet12!$A$5:$C$32,3,FALSE)</f>
        <v>1</v>
      </c>
      <c r="N12" s="9">
        <f t="shared" si="1"/>
        <v>0</v>
      </c>
    </row>
    <row r="13" spans="1:14" x14ac:dyDescent="0.35">
      <c r="A13" s="12">
        <v>10</v>
      </c>
      <c r="B13" s="12" t="s">
        <v>1934</v>
      </c>
      <c r="C13" s="12">
        <v>63</v>
      </c>
      <c r="D13" s="2" t="s">
        <v>246</v>
      </c>
      <c r="E13" s="2">
        <v>2193</v>
      </c>
      <c r="F13" s="2" t="s">
        <v>953</v>
      </c>
      <c r="G13" s="12" t="s">
        <v>1938</v>
      </c>
      <c r="H13" s="12" t="s">
        <v>1936</v>
      </c>
      <c r="I13" s="7">
        <v>1</v>
      </c>
      <c r="J13" s="8">
        <f>VLOOKUP(E13,Sheet12!$A$5:$C$32,2,FALSE)</f>
        <v>1</v>
      </c>
      <c r="K13" s="9">
        <f t="shared" si="0"/>
        <v>0</v>
      </c>
      <c r="L13" s="7">
        <v>1</v>
      </c>
      <c r="M13" s="8">
        <f>VLOOKUP(E13,Sheet12!$A$5:$C$32,3,FALSE)</f>
        <v>1</v>
      </c>
      <c r="N13" s="9">
        <f t="shared" si="1"/>
        <v>0</v>
      </c>
    </row>
    <row r="14" spans="1:14" x14ac:dyDescent="0.35">
      <c r="A14" s="12">
        <v>11</v>
      </c>
      <c r="B14" s="12" t="s">
        <v>1934</v>
      </c>
      <c r="C14" s="12">
        <v>342</v>
      </c>
      <c r="D14" s="2" t="s">
        <v>57</v>
      </c>
      <c r="E14" s="2">
        <v>1103</v>
      </c>
      <c r="F14" s="2" t="s">
        <v>541</v>
      </c>
      <c r="G14" s="12" t="s">
        <v>1939</v>
      </c>
      <c r="H14" s="12" t="s">
        <v>1936</v>
      </c>
      <c r="I14" s="7">
        <v>2</v>
      </c>
      <c r="J14" s="8">
        <f>VLOOKUP(E14,Sheet12!$A$5:$C$32,2,FALSE)</f>
        <v>2</v>
      </c>
      <c r="K14" s="9">
        <f t="shared" si="0"/>
        <v>0</v>
      </c>
      <c r="L14" s="7">
        <v>1</v>
      </c>
      <c r="M14" s="8">
        <f>VLOOKUP(E14,Sheet12!$A$5:$C$32,3,FALSE)</f>
        <v>1</v>
      </c>
      <c r="N14" s="9">
        <f t="shared" si="1"/>
        <v>0</v>
      </c>
    </row>
    <row r="15" spans="1:14" x14ac:dyDescent="0.35">
      <c r="A15" s="12">
        <v>12</v>
      </c>
      <c r="B15" s="12" t="s">
        <v>1934</v>
      </c>
      <c r="C15" s="12">
        <v>342</v>
      </c>
      <c r="D15" s="2" t="s">
        <v>57</v>
      </c>
      <c r="E15" s="2">
        <v>2206</v>
      </c>
      <c r="F15" s="2" t="s">
        <v>55</v>
      </c>
      <c r="G15" s="12" t="s">
        <v>1939</v>
      </c>
      <c r="H15" s="12" t="s">
        <v>1936</v>
      </c>
      <c r="I15" s="7">
        <v>2</v>
      </c>
      <c r="J15" s="8">
        <f>VLOOKUP(E15,Sheet12!$A$5:$C$32,2,FALSE)</f>
        <v>2</v>
      </c>
      <c r="K15" s="9">
        <f t="shared" si="0"/>
        <v>0</v>
      </c>
      <c r="L15" s="7">
        <v>1</v>
      </c>
      <c r="M15" s="8">
        <f>VLOOKUP(E15,Sheet12!$A$5:$C$32,3,FALSE)</f>
        <v>1</v>
      </c>
      <c r="N15" s="9">
        <f t="shared" si="1"/>
        <v>0</v>
      </c>
    </row>
    <row r="16" spans="1:14" x14ac:dyDescent="0.35">
      <c r="A16" s="12">
        <v>13</v>
      </c>
      <c r="B16" s="12" t="s">
        <v>1934</v>
      </c>
      <c r="C16" s="12">
        <v>342</v>
      </c>
      <c r="D16" s="2" t="s">
        <v>57</v>
      </c>
      <c r="E16" s="2">
        <v>2089</v>
      </c>
      <c r="F16" s="2" t="s">
        <v>517</v>
      </c>
      <c r="G16" s="12" t="s">
        <v>1939</v>
      </c>
      <c r="H16" s="12" t="s">
        <v>1936</v>
      </c>
      <c r="I16" s="7">
        <v>2</v>
      </c>
      <c r="J16" s="8">
        <f>VLOOKUP(E16,Sheet12!$A$5:$C$32,2,FALSE)</f>
        <v>2</v>
      </c>
      <c r="K16" s="9">
        <f t="shared" si="0"/>
        <v>0</v>
      </c>
      <c r="L16" s="7">
        <v>1</v>
      </c>
      <c r="M16" s="8">
        <f>VLOOKUP(E16,Sheet12!$A$5:$C$32,3,FALSE)</f>
        <v>1</v>
      </c>
      <c r="N16" s="9">
        <f t="shared" si="1"/>
        <v>0</v>
      </c>
    </row>
    <row r="17" spans="1:14" x14ac:dyDescent="0.35">
      <c r="A17" s="12">
        <v>14</v>
      </c>
      <c r="B17" s="12" t="s">
        <v>1934</v>
      </c>
      <c r="C17" s="12">
        <v>342</v>
      </c>
      <c r="D17" s="2" t="s">
        <v>57</v>
      </c>
      <c r="E17" s="2">
        <v>2205</v>
      </c>
      <c r="F17" s="2" t="s">
        <v>114</v>
      </c>
      <c r="G17" s="12" t="s">
        <v>1939</v>
      </c>
      <c r="H17" s="12" t="s">
        <v>1936</v>
      </c>
      <c r="I17" s="7">
        <v>2</v>
      </c>
      <c r="J17" s="8">
        <f>VLOOKUP(E17,Sheet12!$A$5:$C$32,2,FALSE)</f>
        <v>2</v>
      </c>
      <c r="K17" s="9">
        <f t="shared" si="0"/>
        <v>0</v>
      </c>
      <c r="L17" s="7">
        <v>1</v>
      </c>
      <c r="M17" s="8">
        <f>VLOOKUP(E17,Sheet12!$A$5:$C$32,3,FALSE)</f>
        <v>1</v>
      </c>
      <c r="N17" s="9">
        <f t="shared" si="1"/>
        <v>0</v>
      </c>
    </row>
    <row r="18" spans="1:14" x14ac:dyDescent="0.35">
      <c r="A18" s="12">
        <v>15</v>
      </c>
      <c r="B18" s="12" t="s">
        <v>1934</v>
      </c>
      <c r="C18" s="12">
        <v>342</v>
      </c>
      <c r="D18" s="2" t="s">
        <v>57</v>
      </c>
      <c r="E18" s="2">
        <v>2174</v>
      </c>
      <c r="F18" s="2" t="s">
        <v>1948</v>
      </c>
      <c r="G18" s="12" t="s">
        <v>1939</v>
      </c>
      <c r="H18" s="12" t="s">
        <v>1936</v>
      </c>
      <c r="I18" s="7">
        <v>2</v>
      </c>
      <c r="J18" s="8">
        <f>VLOOKUP(E18,Sheet12!$A$5:$C$32,2,FALSE)</f>
        <v>2</v>
      </c>
      <c r="K18" s="9">
        <f t="shared" si="0"/>
        <v>0</v>
      </c>
      <c r="L18" s="7">
        <v>2</v>
      </c>
      <c r="M18" s="8">
        <f>VLOOKUP(E18,Sheet12!$A$5:$C$32,3,FALSE)</f>
        <v>2</v>
      </c>
      <c r="N18" s="9">
        <f t="shared" si="1"/>
        <v>0</v>
      </c>
    </row>
    <row r="19" spans="1:14" x14ac:dyDescent="0.35">
      <c r="A19" s="12">
        <v>16</v>
      </c>
      <c r="B19" s="12" t="s">
        <v>1934</v>
      </c>
      <c r="C19" s="12">
        <v>59</v>
      </c>
      <c r="D19" s="2" t="s">
        <v>73</v>
      </c>
      <c r="E19" s="2">
        <v>1104</v>
      </c>
      <c r="F19" s="2" t="s">
        <v>446</v>
      </c>
      <c r="G19" s="12" t="s">
        <v>1940</v>
      </c>
      <c r="H19" s="12" t="s">
        <v>1936</v>
      </c>
      <c r="I19" s="7">
        <v>1</v>
      </c>
      <c r="J19" s="8">
        <f>VLOOKUP(E19,Sheet12!$A$5:$C$32,2,FALSE)</f>
        <v>1</v>
      </c>
      <c r="K19" s="9">
        <f t="shared" si="0"/>
        <v>0</v>
      </c>
      <c r="L19" s="7">
        <v>1</v>
      </c>
      <c r="M19" s="8">
        <f>VLOOKUP(E19,Sheet12!$A$5:$C$32,3,FALSE)</f>
        <v>1</v>
      </c>
      <c r="N19" s="9">
        <f t="shared" si="1"/>
        <v>0</v>
      </c>
    </row>
    <row r="20" spans="1:14" x14ac:dyDescent="0.35">
      <c r="A20" s="12">
        <v>17</v>
      </c>
      <c r="B20" s="12" t="s">
        <v>1934</v>
      </c>
      <c r="C20" s="12">
        <v>59</v>
      </c>
      <c r="D20" s="2" t="s">
        <v>73</v>
      </c>
      <c r="E20" s="2">
        <v>1001</v>
      </c>
      <c r="F20" s="2" t="s">
        <v>185</v>
      </c>
      <c r="G20" s="12" t="s">
        <v>1940</v>
      </c>
      <c r="H20" s="12" t="s">
        <v>1936</v>
      </c>
      <c r="I20" s="7">
        <v>1</v>
      </c>
      <c r="J20" s="8">
        <f>VLOOKUP(E20,Sheet12!$A$5:$C$32,2,FALSE)</f>
        <v>1</v>
      </c>
      <c r="K20" s="9">
        <f t="shared" si="0"/>
        <v>0</v>
      </c>
      <c r="L20" s="7">
        <v>1</v>
      </c>
      <c r="M20" s="8">
        <f>VLOOKUP(E20,Sheet12!$A$5:$C$32,3,FALSE)</f>
        <v>1</v>
      </c>
      <c r="N20" s="9">
        <f t="shared" si="1"/>
        <v>0</v>
      </c>
    </row>
    <row r="21" spans="1:14" x14ac:dyDescent="0.35">
      <c r="A21" s="12">
        <v>18</v>
      </c>
      <c r="B21" s="12" t="s">
        <v>1934</v>
      </c>
      <c r="C21" s="12">
        <v>59</v>
      </c>
      <c r="D21" s="2" t="s">
        <v>73</v>
      </c>
      <c r="E21" s="2">
        <v>2278</v>
      </c>
      <c r="F21" s="2" t="s">
        <v>556</v>
      </c>
      <c r="G21" s="12" t="s">
        <v>1940</v>
      </c>
      <c r="H21" s="12" t="s">
        <v>1936</v>
      </c>
      <c r="I21" s="7">
        <v>1</v>
      </c>
      <c r="J21" s="8">
        <f>VLOOKUP(E21,Sheet12!$A$5:$C$32,2,FALSE)</f>
        <v>1</v>
      </c>
      <c r="K21" s="9">
        <f t="shared" si="0"/>
        <v>0</v>
      </c>
      <c r="L21" s="7">
        <v>1</v>
      </c>
      <c r="M21" s="8">
        <f>VLOOKUP(E21,Sheet12!$A$5:$C$32,3,FALSE)</f>
        <v>1</v>
      </c>
      <c r="N21" s="9">
        <f t="shared" si="1"/>
        <v>0</v>
      </c>
    </row>
    <row r="22" spans="1:14" x14ac:dyDescent="0.35">
      <c r="A22" s="12">
        <v>19</v>
      </c>
      <c r="B22" s="12" t="s">
        <v>1934</v>
      </c>
      <c r="C22" s="12">
        <v>128</v>
      </c>
      <c r="D22" s="2" t="s">
        <v>36</v>
      </c>
      <c r="E22" s="2">
        <v>1102</v>
      </c>
      <c r="F22" s="2" t="s">
        <v>301</v>
      </c>
      <c r="G22" s="12" t="s">
        <v>1937</v>
      </c>
      <c r="H22" s="12" t="s">
        <v>1936</v>
      </c>
      <c r="I22" s="7">
        <v>2</v>
      </c>
      <c r="J22" s="8">
        <f>VLOOKUP(E22,Sheet12!$A$5:$C$32,2,FALSE)</f>
        <v>2</v>
      </c>
      <c r="K22" s="9">
        <f t="shared" si="0"/>
        <v>0</v>
      </c>
      <c r="L22" s="7">
        <v>1</v>
      </c>
      <c r="M22" s="8">
        <f>VLOOKUP(E22,Sheet12!$A$5:$C$32,3,FALSE)</f>
        <v>1</v>
      </c>
      <c r="N22" s="9">
        <f t="shared" si="1"/>
        <v>0</v>
      </c>
    </row>
    <row r="23" spans="1:14" x14ac:dyDescent="0.35">
      <c r="A23" s="12">
        <v>20</v>
      </c>
      <c r="B23" s="12" t="s">
        <v>1934</v>
      </c>
      <c r="C23" s="12">
        <v>315</v>
      </c>
      <c r="D23" s="2" t="s">
        <v>322</v>
      </c>
      <c r="E23" s="2">
        <v>2239</v>
      </c>
      <c r="F23" s="2" t="s">
        <v>1001</v>
      </c>
      <c r="G23" s="12" t="s">
        <v>1937</v>
      </c>
      <c r="H23" s="12" t="s">
        <v>1936</v>
      </c>
      <c r="I23" s="7">
        <v>1</v>
      </c>
      <c r="J23" s="8">
        <f>VLOOKUP(E23,Sheet12!$A$5:$C$32,2,FALSE)</f>
        <v>1</v>
      </c>
      <c r="K23" s="9">
        <f t="shared" si="0"/>
        <v>0</v>
      </c>
      <c r="L23" s="7">
        <v>1</v>
      </c>
      <c r="M23" s="8">
        <f>VLOOKUP(E23,Sheet12!$A$5:$C$32,3,FALSE)</f>
        <v>1</v>
      </c>
      <c r="N23" s="9">
        <f t="shared" si="1"/>
        <v>0</v>
      </c>
    </row>
    <row r="24" spans="1:14" x14ac:dyDescent="0.35">
      <c r="A24" s="12">
        <v>21</v>
      </c>
      <c r="B24" s="12" t="s">
        <v>1934</v>
      </c>
      <c r="C24" s="12">
        <v>40</v>
      </c>
      <c r="D24" s="2" t="s">
        <v>78</v>
      </c>
      <c r="E24" s="2">
        <v>2076</v>
      </c>
      <c r="F24" s="2" t="s">
        <v>1275</v>
      </c>
      <c r="G24" s="12" t="s">
        <v>1935</v>
      </c>
      <c r="H24" s="12" t="s">
        <v>1936</v>
      </c>
      <c r="I24" s="7">
        <v>1</v>
      </c>
      <c r="J24" s="8">
        <f>VLOOKUP(E24,Sheet12!$A$5:$C$32,2,FALSE)</f>
        <v>1</v>
      </c>
      <c r="K24" s="9">
        <f t="shared" si="0"/>
        <v>0</v>
      </c>
      <c r="L24" s="7">
        <v>1</v>
      </c>
      <c r="M24" s="8">
        <f>VLOOKUP(E24,Sheet12!$A$5:$C$32,3,FALSE)</f>
        <v>1</v>
      </c>
      <c r="N24" s="9">
        <f t="shared" si="1"/>
        <v>0</v>
      </c>
    </row>
    <row r="25" spans="1:14" x14ac:dyDescent="0.35">
      <c r="A25" s="12">
        <v>22</v>
      </c>
      <c r="B25" s="12" t="s">
        <v>1934</v>
      </c>
      <c r="C25" s="12">
        <v>179</v>
      </c>
      <c r="D25" s="2" t="s">
        <v>148</v>
      </c>
      <c r="E25" s="2">
        <v>2207</v>
      </c>
      <c r="F25" s="2" t="s">
        <v>1949</v>
      </c>
      <c r="G25" s="12" t="s">
        <v>1935</v>
      </c>
      <c r="H25" s="12" t="s">
        <v>1936</v>
      </c>
      <c r="I25" s="7">
        <v>2</v>
      </c>
      <c r="J25" s="8">
        <f>VLOOKUP(E25,Sheet12!$A$5:$C$32,2,FALSE)</f>
        <v>2</v>
      </c>
      <c r="K25" s="9">
        <f t="shared" si="0"/>
        <v>0</v>
      </c>
      <c r="L25" s="7">
        <v>2</v>
      </c>
      <c r="M25" s="8">
        <f>VLOOKUP(E25,Sheet12!$A$5:$C$32,3,FALSE)</f>
        <v>2</v>
      </c>
      <c r="N25" s="9">
        <f t="shared" si="1"/>
        <v>0</v>
      </c>
    </row>
    <row r="26" spans="1:14" x14ac:dyDescent="0.35">
      <c r="A26" s="12">
        <v>23</v>
      </c>
      <c r="B26" s="12" t="s">
        <v>1934</v>
      </c>
      <c r="C26" s="12">
        <v>30</v>
      </c>
      <c r="D26" s="2" t="s">
        <v>22</v>
      </c>
      <c r="E26" s="2">
        <v>2088</v>
      </c>
      <c r="F26" s="2" t="s">
        <v>1950</v>
      </c>
      <c r="G26" s="12" t="s">
        <v>1941</v>
      </c>
      <c r="H26" s="12" t="s">
        <v>1936</v>
      </c>
      <c r="I26" s="7">
        <v>2</v>
      </c>
      <c r="J26" s="8">
        <f>VLOOKUP(E26,Sheet12!$A$5:$C$32,2,FALSE)</f>
        <v>2</v>
      </c>
      <c r="K26" s="9">
        <f t="shared" si="0"/>
        <v>0</v>
      </c>
      <c r="L26" s="7">
        <v>1</v>
      </c>
      <c r="M26" s="8">
        <f>VLOOKUP(E26,Sheet12!$A$5:$C$32,3,FALSE)</f>
        <v>1</v>
      </c>
      <c r="N26" s="9">
        <f t="shared" si="1"/>
        <v>0</v>
      </c>
    </row>
    <row r="27" spans="1:14" x14ac:dyDescent="0.35">
      <c r="A27" s="12">
        <v>24</v>
      </c>
      <c r="B27" s="12" t="s">
        <v>1934</v>
      </c>
      <c r="C27" s="12">
        <v>30</v>
      </c>
      <c r="D27" s="2" t="s">
        <v>22</v>
      </c>
      <c r="E27" s="2">
        <v>2272</v>
      </c>
      <c r="F27" s="2" t="s">
        <v>291</v>
      </c>
      <c r="G27" s="12" t="s">
        <v>1941</v>
      </c>
      <c r="H27" s="12" t="s">
        <v>1936</v>
      </c>
      <c r="I27" s="7">
        <v>2</v>
      </c>
      <c r="J27" s="8">
        <f>VLOOKUP(E27,Sheet12!$A$5:$C$32,2,FALSE)</f>
        <v>2</v>
      </c>
      <c r="K27" s="9">
        <f t="shared" si="0"/>
        <v>0</v>
      </c>
      <c r="L27" s="7">
        <v>1</v>
      </c>
      <c r="M27" s="8">
        <f>VLOOKUP(E27,Sheet12!$A$5:$C$32,3,FALSE)</f>
        <v>1</v>
      </c>
      <c r="N27" s="9">
        <f t="shared" si="1"/>
        <v>0</v>
      </c>
    </row>
    <row r="28" spans="1:14" x14ac:dyDescent="0.35">
      <c r="A28" s="12">
        <v>25</v>
      </c>
      <c r="B28" s="12" t="s">
        <v>1934</v>
      </c>
      <c r="C28" s="12">
        <v>20</v>
      </c>
      <c r="D28" s="2" t="s">
        <v>235</v>
      </c>
      <c r="E28" s="2">
        <v>2277</v>
      </c>
      <c r="F28" s="2" t="s">
        <v>1630</v>
      </c>
      <c r="G28" s="12" t="s">
        <v>1939</v>
      </c>
      <c r="H28" s="12" t="s">
        <v>1936</v>
      </c>
      <c r="I28" s="7">
        <v>1</v>
      </c>
      <c r="J28" s="8">
        <f>VLOOKUP(E28,Sheet12!$A$5:$C$32,2,FALSE)</f>
        <v>1</v>
      </c>
      <c r="K28" s="9">
        <f t="shared" si="0"/>
        <v>0</v>
      </c>
      <c r="L28" s="7">
        <v>1</v>
      </c>
      <c r="M28" s="8">
        <f>VLOOKUP(E28,Sheet12!$A$5:$C$32,3,FALSE)</f>
        <v>1</v>
      </c>
      <c r="N28" s="9">
        <f t="shared" si="1"/>
        <v>0</v>
      </c>
    </row>
    <row r="29" spans="1:14" x14ac:dyDescent="0.35">
      <c r="A29" s="12">
        <v>26</v>
      </c>
      <c r="B29" s="12" t="s">
        <v>1934</v>
      </c>
      <c r="C29" s="12">
        <v>20</v>
      </c>
      <c r="D29" s="2" t="s">
        <v>235</v>
      </c>
      <c r="E29" s="2">
        <v>2015</v>
      </c>
      <c r="F29" s="2" t="s">
        <v>1412</v>
      </c>
      <c r="G29" s="12" t="s">
        <v>1939</v>
      </c>
      <c r="H29" s="12" t="s">
        <v>1936</v>
      </c>
      <c r="I29" s="7">
        <v>2</v>
      </c>
      <c r="J29" s="8">
        <f>VLOOKUP(E29,Sheet12!$A$5:$C$32,2,FALSE)</f>
        <v>2</v>
      </c>
      <c r="K29" s="9">
        <f t="shared" si="0"/>
        <v>0</v>
      </c>
      <c r="L29" s="7">
        <v>1</v>
      </c>
      <c r="M29" s="8">
        <f>VLOOKUP(E29,Sheet12!$A$5:$C$32,3,FALSE)</f>
        <v>1</v>
      </c>
      <c r="N29" s="9">
        <f t="shared" si="1"/>
        <v>0</v>
      </c>
    </row>
    <row r="30" spans="1:14" x14ac:dyDescent="0.35">
      <c r="A30" s="12">
        <v>27</v>
      </c>
      <c r="B30" s="12" t="s">
        <v>1934</v>
      </c>
      <c r="C30" s="12">
        <v>8</v>
      </c>
      <c r="D30" s="2" t="s">
        <v>62</v>
      </c>
      <c r="E30" s="2">
        <v>2263</v>
      </c>
      <c r="F30" s="2" t="s">
        <v>665</v>
      </c>
      <c r="G30" s="12" t="s">
        <v>1935</v>
      </c>
      <c r="H30" s="12" t="s">
        <v>1936</v>
      </c>
      <c r="I30" s="7">
        <v>1</v>
      </c>
      <c r="J30" s="8">
        <f>VLOOKUP(E30,Sheet12!$A$5:$C$32,2,FALSE)</f>
        <v>1</v>
      </c>
      <c r="K30" s="9">
        <f t="shared" si="0"/>
        <v>0</v>
      </c>
      <c r="L30" s="7">
        <v>1</v>
      </c>
      <c r="M30" s="8">
        <f>VLOOKUP(E30,Sheet12!$A$5:$C$32,3,FALSE)</f>
        <v>1</v>
      </c>
      <c r="N30" s="9">
        <f t="shared" si="1"/>
        <v>0</v>
      </c>
    </row>
    <row r="31" spans="1:14" x14ac:dyDescent="0.35">
      <c r="A31" s="12">
        <v>28</v>
      </c>
      <c r="B31" s="12" t="s">
        <v>1934</v>
      </c>
      <c r="C31" s="12">
        <v>8</v>
      </c>
      <c r="D31" s="2" t="s">
        <v>62</v>
      </c>
      <c r="E31" s="2">
        <v>697</v>
      </c>
      <c r="F31" s="2" t="s">
        <v>1547</v>
      </c>
      <c r="G31" s="12" t="s">
        <v>1935</v>
      </c>
      <c r="H31" s="12" t="s">
        <v>1936</v>
      </c>
      <c r="I31" s="7">
        <v>2</v>
      </c>
      <c r="J31" s="8">
        <f>VLOOKUP(E31,Sheet12!$A$5:$C$32,2,FALSE)</f>
        <v>1</v>
      </c>
      <c r="K31" s="9">
        <f t="shared" si="0"/>
        <v>-1</v>
      </c>
      <c r="L31" s="7">
        <v>1</v>
      </c>
      <c r="M31" s="8">
        <f>VLOOKUP(E31,Sheet12!$A$5:$C$32,3,FALSE)</f>
        <v>1</v>
      </c>
      <c r="N31" s="9">
        <f t="shared" si="1"/>
        <v>0</v>
      </c>
    </row>
    <row r="32" spans="1:14" x14ac:dyDescent="0.35">
      <c r="I32" s="15">
        <f t="shared" ref="I32:N32" si="2">SUM(I4:I31)</f>
        <v>43</v>
      </c>
      <c r="J32" s="15">
        <f t="shared" si="2"/>
        <v>42</v>
      </c>
      <c r="K32" s="15">
        <f t="shared" si="2"/>
        <v>-1</v>
      </c>
      <c r="L32" s="15">
        <f t="shared" si="2"/>
        <v>31</v>
      </c>
      <c r="M32" s="15">
        <f t="shared" si="2"/>
        <v>31</v>
      </c>
      <c r="N32" s="15">
        <f t="shared" si="2"/>
        <v>0</v>
      </c>
    </row>
    <row r="35" spans="16:16" x14ac:dyDescent="0.35">
      <c r="P35" s="13"/>
    </row>
    <row r="36" spans="16:16" x14ac:dyDescent="0.35">
      <c r="P36" s="13"/>
    </row>
  </sheetData>
  <sheetProtection formatCells="0" formatColumns="0" formatRows="0" insertColumns="0" insertRows="0" insertHyperlinks="0" deleteColumns="0" deleteRows="0" sort="0" autoFilter="0" pivotTables="0"/>
  <autoFilter ref="A3:N32" xr:uid="{BE172511-552D-434A-B45D-15D0E15797F0}"/>
  <pageMargins left="0.7" right="0.7" top="0.75" bottom="0.75" header="0.3" footer="0.3"/>
  <pageSetup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DA767-D89E-4562-822A-9C0691D75C49}">
  <dimension ref="A3:G25"/>
  <sheetViews>
    <sheetView topLeftCell="A2" zoomScale="85" zoomScaleNormal="85" workbookViewId="0">
      <selection activeCell="B26" sqref="B26"/>
    </sheetView>
  </sheetViews>
  <sheetFormatPr defaultRowHeight="14.5" x14ac:dyDescent="0.35"/>
  <cols>
    <col min="1" max="1" width="20.54296875" bestFit="1" customWidth="1"/>
    <col min="2" max="2" width="33.08984375" bestFit="1" customWidth="1"/>
    <col min="3" max="3" width="13.54296875" bestFit="1" customWidth="1"/>
    <col min="4" max="4" width="10.6328125" bestFit="1" customWidth="1"/>
    <col min="5" max="5" width="23.08984375" bestFit="1" customWidth="1"/>
    <col min="6" max="6" width="14.54296875" bestFit="1" customWidth="1"/>
    <col min="7" max="7" width="11.6328125" bestFit="1" customWidth="1"/>
  </cols>
  <sheetData>
    <row r="3" spans="1:7" x14ac:dyDescent="0.35">
      <c r="A3" s="20" t="s">
        <v>2212</v>
      </c>
      <c r="B3" t="s">
        <v>2229</v>
      </c>
      <c r="C3" t="s">
        <v>2224</v>
      </c>
      <c r="D3" t="s">
        <v>2225</v>
      </c>
      <c r="E3" t="s">
        <v>2230</v>
      </c>
      <c r="F3" t="s">
        <v>2227</v>
      </c>
      <c r="G3" t="s">
        <v>2228</v>
      </c>
    </row>
    <row r="4" spans="1:7" x14ac:dyDescent="0.35">
      <c r="A4" s="21" t="s">
        <v>157</v>
      </c>
      <c r="B4">
        <v>20</v>
      </c>
      <c r="C4">
        <v>11</v>
      </c>
      <c r="D4">
        <v>-9</v>
      </c>
      <c r="E4">
        <v>10</v>
      </c>
      <c r="F4">
        <v>10</v>
      </c>
      <c r="G4">
        <v>0</v>
      </c>
    </row>
    <row r="5" spans="1:7" x14ac:dyDescent="0.35">
      <c r="A5" s="21" t="s">
        <v>354</v>
      </c>
      <c r="B5">
        <v>14</v>
      </c>
      <c r="C5">
        <v>13</v>
      </c>
      <c r="D5">
        <v>-1</v>
      </c>
      <c r="E5">
        <v>11</v>
      </c>
      <c r="F5">
        <v>11</v>
      </c>
      <c r="G5">
        <v>0</v>
      </c>
    </row>
    <row r="6" spans="1:7" x14ac:dyDescent="0.35">
      <c r="A6" s="21" t="s">
        <v>62</v>
      </c>
      <c r="B6">
        <v>30</v>
      </c>
      <c r="C6">
        <v>28</v>
      </c>
      <c r="D6">
        <v>-2</v>
      </c>
      <c r="E6">
        <v>24</v>
      </c>
      <c r="F6">
        <v>23</v>
      </c>
      <c r="G6">
        <v>0</v>
      </c>
    </row>
    <row r="7" spans="1:7" x14ac:dyDescent="0.35">
      <c r="A7" s="21" t="s">
        <v>235</v>
      </c>
      <c r="B7">
        <v>19</v>
      </c>
      <c r="C7">
        <v>16</v>
      </c>
      <c r="D7">
        <v>-3</v>
      </c>
      <c r="E7">
        <v>13</v>
      </c>
      <c r="F7">
        <v>11</v>
      </c>
      <c r="G7">
        <v>-2</v>
      </c>
    </row>
    <row r="8" spans="1:7" x14ac:dyDescent="0.35">
      <c r="A8" s="21" t="s">
        <v>22</v>
      </c>
      <c r="B8">
        <v>31</v>
      </c>
      <c r="C8">
        <v>31</v>
      </c>
      <c r="D8">
        <v>0</v>
      </c>
      <c r="E8">
        <v>25</v>
      </c>
      <c r="F8">
        <v>25</v>
      </c>
      <c r="G8">
        <v>0</v>
      </c>
    </row>
    <row r="9" spans="1:7" x14ac:dyDescent="0.35">
      <c r="A9" s="21" t="s">
        <v>148</v>
      </c>
      <c r="B9">
        <v>19</v>
      </c>
      <c r="C9">
        <v>19</v>
      </c>
      <c r="D9">
        <v>0</v>
      </c>
      <c r="E9">
        <v>14</v>
      </c>
      <c r="F9">
        <v>14</v>
      </c>
      <c r="G9">
        <v>0</v>
      </c>
    </row>
    <row r="10" spans="1:7" x14ac:dyDescent="0.35">
      <c r="A10" s="21" t="s">
        <v>78</v>
      </c>
      <c r="B10">
        <v>14</v>
      </c>
      <c r="C10">
        <v>11</v>
      </c>
      <c r="D10">
        <v>-3</v>
      </c>
      <c r="E10">
        <v>12</v>
      </c>
      <c r="F10">
        <v>12</v>
      </c>
      <c r="G10">
        <v>0</v>
      </c>
    </row>
    <row r="11" spans="1:7" x14ac:dyDescent="0.35">
      <c r="A11" s="21" t="s">
        <v>143</v>
      </c>
      <c r="B11">
        <v>25</v>
      </c>
      <c r="C11">
        <v>25</v>
      </c>
      <c r="D11">
        <v>0</v>
      </c>
      <c r="E11">
        <v>15</v>
      </c>
      <c r="F11">
        <v>14</v>
      </c>
      <c r="G11">
        <v>-1</v>
      </c>
    </row>
    <row r="12" spans="1:7" x14ac:dyDescent="0.35">
      <c r="A12" s="21" t="s">
        <v>322</v>
      </c>
      <c r="B12">
        <v>17</v>
      </c>
      <c r="C12">
        <v>17</v>
      </c>
      <c r="D12">
        <v>0</v>
      </c>
      <c r="E12">
        <v>11</v>
      </c>
      <c r="F12">
        <v>11</v>
      </c>
      <c r="G12">
        <v>0</v>
      </c>
    </row>
    <row r="13" spans="1:7" x14ac:dyDescent="0.35">
      <c r="A13" s="21" t="s">
        <v>169</v>
      </c>
      <c r="B13">
        <v>10</v>
      </c>
      <c r="C13">
        <v>10</v>
      </c>
      <c r="D13">
        <v>0</v>
      </c>
      <c r="E13">
        <v>9</v>
      </c>
      <c r="F13">
        <v>9</v>
      </c>
      <c r="G13">
        <v>0</v>
      </c>
    </row>
    <row r="14" spans="1:7" x14ac:dyDescent="0.35">
      <c r="A14" s="21" t="s">
        <v>36</v>
      </c>
      <c r="B14">
        <v>18</v>
      </c>
      <c r="C14">
        <v>20</v>
      </c>
      <c r="D14">
        <v>2</v>
      </c>
      <c r="E14">
        <v>15</v>
      </c>
      <c r="F14">
        <v>17</v>
      </c>
      <c r="G14">
        <v>2</v>
      </c>
    </row>
    <row r="15" spans="1:7" x14ac:dyDescent="0.35">
      <c r="A15" s="21" t="s">
        <v>315</v>
      </c>
      <c r="B15">
        <v>9</v>
      </c>
      <c r="C15">
        <v>9</v>
      </c>
      <c r="D15">
        <v>0</v>
      </c>
      <c r="E15">
        <v>7</v>
      </c>
      <c r="F15">
        <v>7</v>
      </c>
      <c r="G15">
        <v>0</v>
      </c>
    </row>
    <row r="16" spans="1:7" x14ac:dyDescent="0.35">
      <c r="A16" s="21" t="s">
        <v>73</v>
      </c>
      <c r="B16">
        <v>25</v>
      </c>
      <c r="C16">
        <v>23</v>
      </c>
      <c r="D16">
        <v>-2</v>
      </c>
      <c r="E16">
        <v>17</v>
      </c>
      <c r="F16">
        <v>17</v>
      </c>
      <c r="G16">
        <v>0</v>
      </c>
    </row>
    <row r="17" spans="1:7" x14ac:dyDescent="0.35">
      <c r="A17" s="21" t="s">
        <v>57</v>
      </c>
      <c r="B17">
        <v>27</v>
      </c>
      <c r="C17">
        <v>27</v>
      </c>
      <c r="D17">
        <v>0</v>
      </c>
      <c r="E17">
        <v>15</v>
      </c>
      <c r="F17">
        <v>14</v>
      </c>
      <c r="G17">
        <v>-1</v>
      </c>
    </row>
    <row r="18" spans="1:7" x14ac:dyDescent="0.35">
      <c r="A18" s="21" t="s">
        <v>246</v>
      </c>
      <c r="B18">
        <v>18</v>
      </c>
      <c r="C18">
        <v>19</v>
      </c>
      <c r="D18">
        <v>1</v>
      </c>
      <c r="E18">
        <v>15</v>
      </c>
      <c r="F18">
        <v>16</v>
      </c>
      <c r="G18">
        <v>1</v>
      </c>
    </row>
    <row r="19" spans="1:7" x14ac:dyDescent="0.35">
      <c r="A19" s="21" t="s">
        <v>123</v>
      </c>
      <c r="B19">
        <v>17</v>
      </c>
      <c r="C19">
        <v>15</v>
      </c>
      <c r="D19">
        <v>-2</v>
      </c>
      <c r="E19">
        <v>13</v>
      </c>
      <c r="F19">
        <v>13</v>
      </c>
      <c r="G19">
        <v>0</v>
      </c>
    </row>
    <row r="20" spans="1:7" x14ac:dyDescent="0.35">
      <c r="A20" s="21" t="s">
        <v>162</v>
      </c>
      <c r="B20">
        <v>14</v>
      </c>
      <c r="C20">
        <v>14</v>
      </c>
      <c r="D20">
        <v>0</v>
      </c>
      <c r="E20">
        <v>11</v>
      </c>
      <c r="F20">
        <v>11</v>
      </c>
      <c r="G20">
        <v>0</v>
      </c>
    </row>
    <row r="21" spans="1:7" x14ac:dyDescent="0.35">
      <c r="A21" s="21" t="s">
        <v>232</v>
      </c>
      <c r="B21">
        <v>12</v>
      </c>
      <c r="C21">
        <v>9</v>
      </c>
      <c r="D21">
        <v>-3</v>
      </c>
      <c r="E21">
        <v>10</v>
      </c>
      <c r="F21">
        <v>10</v>
      </c>
      <c r="G21">
        <v>0</v>
      </c>
    </row>
    <row r="22" spans="1:7" x14ac:dyDescent="0.35">
      <c r="A22" s="21" t="s">
        <v>87</v>
      </c>
      <c r="B22">
        <v>22</v>
      </c>
      <c r="C22">
        <v>20</v>
      </c>
      <c r="D22">
        <v>-2</v>
      </c>
      <c r="E22">
        <v>16</v>
      </c>
      <c r="F22">
        <v>16</v>
      </c>
      <c r="G22">
        <v>0</v>
      </c>
    </row>
    <row r="23" spans="1:7" x14ac:dyDescent="0.35">
      <c r="A23" s="21" t="s">
        <v>51</v>
      </c>
      <c r="B23">
        <v>18</v>
      </c>
      <c r="C23">
        <v>18</v>
      </c>
      <c r="D23">
        <v>0</v>
      </c>
      <c r="E23">
        <v>17</v>
      </c>
      <c r="F23">
        <v>14</v>
      </c>
      <c r="G23">
        <v>-3</v>
      </c>
    </row>
    <row r="24" spans="1:7" x14ac:dyDescent="0.35">
      <c r="A24" s="21" t="s">
        <v>128</v>
      </c>
      <c r="B24">
        <v>12</v>
      </c>
      <c r="C24">
        <v>12</v>
      </c>
      <c r="D24">
        <v>0</v>
      </c>
      <c r="E24">
        <v>10</v>
      </c>
      <c r="F24">
        <v>10</v>
      </c>
      <c r="G24">
        <v>0</v>
      </c>
    </row>
    <row r="25" spans="1:7" x14ac:dyDescent="0.35">
      <c r="A25" s="21" t="s">
        <v>2214</v>
      </c>
      <c r="B25">
        <v>391</v>
      </c>
      <c r="C25">
        <v>367</v>
      </c>
      <c r="D25">
        <v>-24</v>
      </c>
      <c r="E25">
        <v>290</v>
      </c>
      <c r="F25">
        <v>285</v>
      </c>
      <c r="G25">
        <v>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2E711-6E5A-4E19-B291-127178064152}">
  <dimension ref="A1:N275"/>
  <sheetViews>
    <sheetView showRuler="0" topLeftCell="A3" zoomScale="55" zoomScaleNormal="55" workbookViewId="0">
      <pane ySplit="1" topLeftCell="A4" activePane="bottomLeft" state="frozen"/>
      <selection activeCell="H4" sqref="H4"/>
      <selection pane="bottomLeft" activeCell="H280" sqref="H280"/>
    </sheetView>
  </sheetViews>
  <sheetFormatPr defaultColWidth="8.81640625" defaultRowHeight="14.5" x14ac:dyDescent="0.35"/>
  <cols>
    <col min="1" max="1" width="4" style="12" customWidth="1"/>
    <col min="2" max="2" width="20" style="12" customWidth="1"/>
    <col min="3" max="3" width="10.6328125" style="12" customWidth="1"/>
    <col min="4" max="4" width="20" style="12" customWidth="1"/>
    <col min="5" max="5" width="15.81640625" style="12" bestFit="1" customWidth="1"/>
    <col min="6" max="6" width="31" style="12" bestFit="1" customWidth="1"/>
    <col min="7" max="7" width="35.81640625" style="12" bestFit="1" customWidth="1"/>
    <col min="8" max="8" width="41.90625" style="13" bestFit="1" customWidth="1"/>
    <col min="9" max="13" width="20" style="13" customWidth="1"/>
    <col min="14" max="256" width="8.81640625" style="12"/>
    <col min="257" max="257" width="4" style="12" customWidth="1"/>
    <col min="258" max="258" width="20" style="12" customWidth="1"/>
    <col min="259" max="259" width="10.6328125" style="12" customWidth="1"/>
    <col min="260" max="260" width="20" style="12" customWidth="1"/>
    <col min="261" max="261" width="15.81640625" style="12" bestFit="1" customWidth="1"/>
    <col min="262" max="262" width="31" style="12" bestFit="1" customWidth="1"/>
    <col min="263" max="263" width="35.81640625" style="12" bestFit="1" customWidth="1"/>
    <col min="264" max="264" width="41.90625" style="12" bestFit="1" customWidth="1"/>
    <col min="265" max="269" width="20" style="12" customWidth="1"/>
    <col min="270" max="512" width="8.81640625" style="12"/>
    <col min="513" max="513" width="4" style="12" customWidth="1"/>
    <col min="514" max="514" width="20" style="12" customWidth="1"/>
    <col min="515" max="515" width="10.6328125" style="12" customWidth="1"/>
    <col min="516" max="516" width="20" style="12" customWidth="1"/>
    <col min="517" max="517" width="15.81640625" style="12" bestFit="1" customWidth="1"/>
    <col min="518" max="518" width="31" style="12" bestFit="1" customWidth="1"/>
    <col min="519" max="519" width="35.81640625" style="12" bestFit="1" customWidth="1"/>
    <col min="520" max="520" width="41.90625" style="12" bestFit="1" customWidth="1"/>
    <col min="521" max="525" width="20" style="12" customWidth="1"/>
    <col min="526" max="768" width="8.81640625" style="12"/>
    <col min="769" max="769" width="4" style="12" customWidth="1"/>
    <col min="770" max="770" width="20" style="12" customWidth="1"/>
    <col min="771" max="771" width="10.6328125" style="12" customWidth="1"/>
    <col min="772" max="772" width="20" style="12" customWidth="1"/>
    <col min="773" max="773" width="15.81640625" style="12" bestFit="1" customWidth="1"/>
    <col min="774" max="774" width="31" style="12" bestFit="1" customWidth="1"/>
    <col min="775" max="775" width="35.81640625" style="12" bestFit="1" customWidth="1"/>
    <col min="776" max="776" width="41.90625" style="12" bestFit="1" customWidth="1"/>
    <col min="777" max="781" width="20" style="12" customWidth="1"/>
    <col min="782" max="1024" width="8.81640625" style="12"/>
    <col min="1025" max="1025" width="4" style="12" customWidth="1"/>
    <col min="1026" max="1026" width="20" style="12" customWidth="1"/>
    <col min="1027" max="1027" width="10.6328125" style="12" customWidth="1"/>
    <col min="1028" max="1028" width="20" style="12" customWidth="1"/>
    <col min="1029" max="1029" width="15.81640625" style="12" bestFit="1" customWidth="1"/>
    <col min="1030" max="1030" width="31" style="12" bestFit="1" customWidth="1"/>
    <col min="1031" max="1031" width="35.81640625" style="12" bestFit="1" customWidth="1"/>
    <col min="1032" max="1032" width="41.90625" style="12" bestFit="1" customWidth="1"/>
    <col min="1033" max="1037" width="20" style="12" customWidth="1"/>
    <col min="1038" max="1280" width="8.81640625" style="12"/>
    <col min="1281" max="1281" width="4" style="12" customWidth="1"/>
    <col min="1282" max="1282" width="20" style="12" customWidth="1"/>
    <col min="1283" max="1283" width="10.6328125" style="12" customWidth="1"/>
    <col min="1284" max="1284" width="20" style="12" customWidth="1"/>
    <col min="1285" max="1285" width="15.81640625" style="12" bestFit="1" customWidth="1"/>
    <col min="1286" max="1286" width="31" style="12" bestFit="1" customWidth="1"/>
    <col min="1287" max="1287" width="35.81640625" style="12" bestFit="1" customWidth="1"/>
    <col min="1288" max="1288" width="41.90625" style="12" bestFit="1" customWidth="1"/>
    <col min="1289" max="1293" width="20" style="12" customWidth="1"/>
    <col min="1294" max="1536" width="8.81640625" style="12"/>
    <col min="1537" max="1537" width="4" style="12" customWidth="1"/>
    <col min="1538" max="1538" width="20" style="12" customWidth="1"/>
    <col min="1539" max="1539" width="10.6328125" style="12" customWidth="1"/>
    <col min="1540" max="1540" width="20" style="12" customWidth="1"/>
    <col min="1541" max="1541" width="15.81640625" style="12" bestFit="1" customWidth="1"/>
    <col min="1542" max="1542" width="31" style="12" bestFit="1" customWidth="1"/>
    <col min="1543" max="1543" width="35.81640625" style="12" bestFit="1" customWidth="1"/>
    <col min="1544" max="1544" width="41.90625" style="12" bestFit="1" customWidth="1"/>
    <col min="1545" max="1549" width="20" style="12" customWidth="1"/>
    <col min="1550" max="1792" width="8.81640625" style="12"/>
    <col min="1793" max="1793" width="4" style="12" customWidth="1"/>
    <col min="1794" max="1794" width="20" style="12" customWidth="1"/>
    <col min="1795" max="1795" width="10.6328125" style="12" customWidth="1"/>
    <col min="1796" max="1796" width="20" style="12" customWidth="1"/>
    <col min="1797" max="1797" width="15.81640625" style="12" bestFit="1" customWidth="1"/>
    <col min="1798" max="1798" width="31" style="12" bestFit="1" customWidth="1"/>
    <col min="1799" max="1799" width="35.81640625" style="12" bestFit="1" customWidth="1"/>
    <col min="1800" max="1800" width="41.90625" style="12" bestFit="1" customWidth="1"/>
    <col min="1801" max="1805" width="20" style="12" customWidth="1"/>
    <col min="1806" max="2048" width="8.81640625" style="12"/>
    <col min="2049" max="2049" width="4" style="12" customWidth="1"/>
    <col min="2050" max="2050" width="20" style="12" customWidth="1"/>
    <col min="2051" max="2051" width="10.6328125" style="12" customWidth="1"/>
    <col min="2052" max="2052" width="20" style="12" customWidth="1"/>
    <col min="2053" max="2053" width="15.81640625" style="12" bestFit="1" customWidth="1"/>
    <col min="2054" max="2054" width="31" style="12" bestFit="1" customWidth="1"/>
    <col min="2055" max="2055" width="35.81640625" style="12" bestFit="1" customWidth="1"/>
    <col min="2056" max="2056" width="41.90625" style="12" bestFit="1" customWidth="1"/>
    <col min="2057" max="2061" width="20" style="12" customWidth="1"/>
    <col min="2062" max="2304" width="8.81640625" style="12"/>
    <col min="2305" max="2305" width="4" style="12" customWidth="1"/>
    <col min="2306" max="2306" width="20" style="12" customWidth="1"/>
    <col min="2307" max="2307" width="10.6328125" style="12" customWidth="1"/>
    <col min="2308" max="2308" width="20" style="12" customWidth="1"/>
    <col min="2309" max="2309" width="15.81640625" style="12" bestFit="1" customWidth="1"/>
    <col min="2310" max="2310" width="31" style="12" bestFit="1" customWidth="1"/>
    <col min="2311" max="2311" width="35.81640625" style="12" bestFit="1" customWidth="1"/>
    <col min="2312" max="2312" width="41.90625" style="12" bestFit="1" customWidth="1"/>
    <col min="2313" max="2317" width="20" style="12" customWidth="1"/>
    <col min="2318" max="2560" width="8.81640625" style="12"/>
    <col min="2561" max="2561" width="4" style="12" customWidth="1"/>
    <col min="2562" max="2562" width="20" style="12" customWidth="1"/>
    <col min="2563" max="2563" width="10.6328125" style="12" customWidth="1"/>
    <col min="2564" max="2564" width="20" style="12" customWidth="1"/>
    <col min="2565" max="2565" width="15.81640625" style="12" bestFit="1" customWidth="1"/>
    <col min="2566" max="2566" width="31" style="12" bestFit="1" customWidth="1"/>
    <col min="2567" max="2567" width="35.81640625" style="12" bestFit="1" customWidth="1"/>
    <col min="2568" max="2568" width="41.90625" style="12" bestFit="1" customWidth="1"/>
    <col min="2569" max="2573" width="20" style="12" customWidth="1"/>
    <col min="2574" max="2816" width="8.81640625" style="12"/>
    <col min="2817" max="2817" width="4" style="12" customWidth="1"/>
    <col min="2818" max="2818" width="20" style="12" customWidth="1"/>
    <col min="2819" max="2819" width="10.6328125" style="12" customWidth="1"/>
    <col min="2820" max="2820" width="20" style="12" customWidth="1"/>
    <col min="2821" max="2821" width="15.81640625" style="12" bestFit="1" customWidth="1"/>
    <col min="2822" max="2822" width="31" style="12" bestFit="1" customWidth="1"/>
    <col min="2823" max="2823" width="35.81640625" style="12" bestFit="1" customWidth="1"/>
    <col min="2824" max="2824" width="41.90625" style="12" bestFit="1" customWidth="1"/>
    <col min="2825" max="2829" width="20" style="12" customWidth="1"/>
    <col min="2830" max="3072" width="8.81640625" style="12"/>
    <col min="3073" max="3073" width="4" style="12" customWidth="1"/>
    <col min="3074" max="3074" width="20" style="12" customWidth="1"/>
    <col min="3075" max="3075" width="10.6328125" style="12" customWidth="1"/>
    <col min="3076" max="3076" width="20" style="12" customWidth="1"/>
    <col min="3077" max="3077" width="15.81640625" style="12" bestFit="1" customWidth="1"/>
    <col min="3078" max="3078" width="31" style="12" bestFit="1" customWidth="1"/>
    <col min="3079" max="3079" width="35.81640625" style="12" bestFit="1" customWidth="1"/>
    <col min="3080" max="3080" width="41.90625" style="12" bestFit="1" customWidth="1"/>
    <col min="3081" max="3085" width="20" style="12" customWidth="1"/>
    <col min="3086" max="3328" width="8.81640625" style="12"/>
    <col min="3329" max="3329" width="4" style="12" customWidth="1"/>
    <col min="3330" max="3330" width="20" style="12" customWidth="1"/>
    <col min="3331" max="3331" width="10.6328125" style="12" customWidth="1"/>
    <col min="3332" max="3332" width="20" style="12" customWidth="1"/>
    <col min="3333" max="3333" width="15.81640625" style="12" bestFit="1" customWidth="1"/>
    <col min="3334" max="3334" width="31" style="12" bestFit="1" customWidth="1"/>
    <col min="3335" max="3335" width="35.81640625" style="12" bestFit="1" customWidth="1"/>
    <col min="3336" max="3336" width="41.90625" style="12" bestFit="1" customWidth="1"/>
    <col min="3337" max="3341" width="20" style="12" customWidth="1"/>
    <col min="3342" max="3584" width="8.81640625" style="12"/>
    <col min="3585" max="3585" width="4" style="12" customWidth="1"/>
    <col min="3586" max="3586" width="20" style="12" customWidth="1"/>
    <col min="3587" max="3587" width="10.6328125" style="12" customWidth="1"/>
    <col min="3588" max="3588" width="20" style="12" customWidth="1"/>
    <col min="3589" max="3589" width="15.81640625" style="12" bestFit="1" customWidth="1"/>
    <col min="3590" max="3590" width="31" style="12" bestFit="1" customWidth="1"/>
    <col min="3591" max="3591" width="35.81640625" style="12" bestFit="1" customWidth="1"/>
    <col min="3592" max="3592" width="41.90625" style="12" bestFit="1" customWidth="1"/>
    <col min="3593" max="3597" width="20" style="12" customWidth="1"/>
    <col min="3598" max="3840" width="8.81640625" style="12"/>
    <col min="3841" max="3841" width="4" style="12" customWidth="1"/>
    <col min="3842" max="3842" width="20" style="12" customWidth="1"/>
    <col min="3843" max="3843" width="10.6328125" style="12" customWidth="1"/>
    <col min="3844" max="3844" width="20" style="12" customWidth="1"/>
    <col min="3845" max="3845" width="15.81640625" style="12" bestFit="1" customWidth="1"/>
    <col min="3846" max="3846" width="31" style="12" bestFit="1" customWidth="1"/>
    <col min="3847" max="3847" width="35.81640625" style="12" bestFit="1" customWidth="1"/>
    <col min="3848" max="3848" width="41.90625" style="12" bestFit="1" customWidth="1"/>
    <col min="3849" max="3853" width="20" style="12" customWidth="1"/>
    <col min="3854" max="4096" width="8.81640625" style="12"/>
    <col min="4097" max="4097" width="4" style="12" customWidth="1"/>
    <col min="4098" max="4098" width="20" style="12" customWidth="1"/>
    <col min="4099" max="4099" width="10.6328125" style="12" customWidth="1"/>
    <col min="4100" max="4100" width="20" style="12" customWidth="1"/>
    <col min="4101" max="4101" width="15.81640625" style="12" bestFit="1" customWidth="1"/>
    <col min="4102" max="4102" width="31" style="12" bestFit="1" customWidth="1"/>
    <col min="4103" max="4103" width="35.81640625" style="12" bestFit="1" customWidth="1"/>
    <col min="4104" max="4104" width="41.90625" style="12" bestFit="1" customWidth="1"/>
    <col min="4105" max="4109" width="20" style="12" customWidth="1"/>
    <col min="4110" max="4352" width="8.81640625" style="12"/>
    <col min="4353" max="4353" width="4" style="12" customWidth="1"/>
    <col min="4354" max="4354" width="20" style="12" customWidth="1"/>
    <col min="4355" max="4355" width="10.6328125" style="12" customWidth="1"/>
    <col min="4356" max="4356" width="20" style="12" customWidth="1"/>
    <col min="4357" max="4357" width="15.81640625" style="12" bestFit="1" customWidth="1"/>
    <col min="4358" max="4358" width="31" style="12" bestFit="1" customWidth="1"/>
    <col min="4359" max="4359" width="35.81640625" style="12" bestFit="1" customWidth="1"/>
    <col min="4360" max="4360" width="41.90625" style="12" bestFit="1" customWidth="1"/>
    <col min="4361" max="4365" width="20" style="12" customWidth="1"/>
    <col min="4366" max="4608" width="8.81640625" style="12"/>
    <col min="4609" max="4609" width="4" style="12" customWidth="1"/>
    <col min="4610" max="4610" width="20" style="12" customWidth="1"/>
    <col min="4611" max="4611" width="10.6328125" style="12" customWidth="1"/>
    <col min="4612" max="4612" width="20" style="12" customWidth="1"/>
    <col min="4613" max="4613" width="15.81640625" style="12" bestFit="1" customWidth="1"/>
    <col min="4614" max="4614" width="31" style="12" bestFit="1" customWidth="1"/>
    <col min="4615" max="4615" width="35.81640625" style="12" bestFit="1" customWidth="1"/>
    <col min="4616" max="4616" width="41.90625" style="12" bestFit="1" customWidth="1"/>
    <col min="4617" max="4621" width="20" style="12" customWidth="1"/>
    <col min="4622" max="4864" width="8.81640625" style="12"/>
    <col min="4865" max="4865" width="4" style="12" customWidth="1"/>
    <col min="4866" max="4866" width="20" style="12" customWidth="1"/>
    <col min="4867" max="4867" width="10.6328125" style="12" customWidth="1"/>
    <col min="4868" max="4868" width="20" style="12" customWidth="1"/>
    <col min="4869" max="4869" width="15.81640625" style="12" bestFit="1" customWidth="1"/>
    <col min="4870" max="4870" width="31" style="12" bestFit="1" customWidth="1"/>
    <col min="4871" max="4871" width="35.81640625" style="12" bestFit="1" customWidth="1"/>
    <col min="4872" max="4872" width="41.90625" style="12" bestFit="1" customWidth="1"/>
    <col min="4873" max="4877" width="20" style="12" customWidth="1"/>
    <col min="4878" max="5120" width="8.81640625" style="12"/>
    <col min="5121" max="5121" width="4" style="12" customWidth="1"/>
    <col min="5122" max="5122" width="20" style="12" customWidth="1"/>
    <col min="5123" max="5123" width="10.6328125" style="12" customWidth="1"/>
    <col min="5124" max="5124" width="20" style="12" customWidth="1"/>
    <col min="5125" max="5125" width="15.81640625" style="12" bestFit="1" customWidth="1"/>
    <col min="5126" max="5126" width="31" style="12" bestFit="1" customWidth="1"/>
    <col min="5127" max="5127" width="35.81640625" style="12" bestFit="1" customWidth="1"/>
    <col min="5128" max="5128" width="41.90625" style="12" bestFit="1" customWidth="1"/>
    <col min="5129" max="5133" width="20" style="12" customWidth="1"/>
    <col min="5134" max="5376" width="8.81640625" style="12"/>
    <col min="5377" max="5377" width="4" style="12" customWidth="1"/>
    <col min="5378" max="5378" width="20" style="12" customWidth="1"/>
    <col min="5379" max="5379" width="10.6328125" style="12" customWidth="1"/>
    <col min="5380" max="5380" width="20" style="12" customWidth="1"/>
    <col min="5381" max="5381" width="15.81640625" style="12" bestFit="1" customWidth="1"/>
    <col min="5382" max="5382" width="31" style="12" bestFit="1" customWidth="1"/>
    <col min="5383" max="5383" width="35.81640625" style="12" bestFit="1" customWidth="1"/>
    <col min="5384" max="5384" width="41.90625" style="12" bestFit="1" customWidth="1"/>
    <col min="5385" max="5389" width="20" style="12" customWidth="1"/>
    <col min="5390" max="5632" width="8.81640625" style="12"/>
    <col min="5633" max="5633" width="4" style="12" customWidth="1"/>
    <col min="5634" max="5634" width="20" style="12" customWidth="1"/>
    <col min="5635" max="5635" width="10.6328125" style="12" customWidth="1"/>
    <col min="5636" max="5636" width="20" style="12" customWidth="1"/>
    <col min="5637" max="5637" width="15.81640625" style="12" bestFit="1" customWidth="1"/>
    <col min="5638" max="5638" width="31" style="12" bestFit="1" customWidth="1"/>
    <col min="5639" max="5639" width="35.81640625" style="12" bestFit="1" customWidth="1"/>
    <col min="5640" max="5640" width="41.90625" style="12" bestFit="1" customWidth="1"/>
    <col min="5641" max="5645" width="20" style="12" customWidth="1"/>
    <col min="5646" max="5888" width="8.81640625" style="12"/>
    <col min="5889" max="5889" width="4" style="12" customWidth="1"/>
    <col min="5890" max="5890" width="20" style="12" customWidth="1"/>
    <col min="5891" max="5891" width="10.6328125" style="12" customWidth="1"/>
    <col min="5892" max="5892" width="20" style="12" customWidth="1"/>
    <col min="5893" max="5893" width="15.81640625" style="12" bestFit="1" customWidth="1"/>
    <col min="5894" max="5894" width="31" style="12" bestFit="1" customWidth="1"/>
    <col min="5895" max="5895" width="35.81640625" style="12" bestFit="1" customWidth="1"/>
    <col min="5896" max="5896" width="41.90625" style="12" bestFit="1" customWidth="1"/>
    <col min="5897" max="5901" width="20" style="12" customWidth="1"/>
    <col min="5902" max="6144" width="8.81640625" style="12"/>
    <col min="6145" max="6145" width="4" style="12" customWidth="1"/>
    <col min="6146" max="6146" width="20" style="12" customWidth="1"/>
    <col min="6147" max="6147" width="10.6328125" style="12" customWidth="1"/>
    <col min="6148" max="6148" width="20" style="12" customWidth="1"/>
    <col min="6149" max="6149" width="15.81640625" style="12" bestFit="1" customWidth="1"/>
    <col min="6150" max="6150" width="31" style="12" bestFit="1" customWidth="1"/>
    <col min="6151" max="6151" width="35.81640625" style="12" bestFit="1" customWidth="1"/>
    <col min="6152" max="6152" width="41.90625" style="12" bestFit="1" customWidth="1"/>
    <col min="6153" max="6157" width="20" style="12" customWidth="1"/>
    <col min="6158" max="6400" width="8.81640625" style="12"/>
    <col min="6401" max="6401" width="4" style="12" customWidth="1"/>
    <col min="6402" max="6402" width="20" style="12" customWidth="1"/>
    <col min="6403" max="6403" width="10.6328125" style="12" customWidth="1"/>
    <col min="6404" max="6404" width="20" style="12" customWidth="1"/>
    <col min="6405" max="6405" width="15.81640625" style="12" bestFit="1" customWidth="1"/>
    <col min="6406" max="6406" width="31" style="12" bestFit="1" customWidth="1"/>
    <col min="6407" max="6407" width="35.81640625" style="12" bestFit="1" customWidth="1"/>
    <col min="6408" max="6408" width="41.90625" style="12" bestFit="1" customWidth="1"/>
    <col min="6409" max="6413" width="20" style="12" customWidth="1"/>
    <col min="6414" max="6656" width="8.81640625" style="12"/>
    <col min="6657" max="6657" width="4" style="12" customWidth="1"/>
    <col min="6658" max="6658" width="20" style="12" customWidth="1"/>
    <col min="6659" max="6659" width="10.6328125" style="12" customWidth="1"/>
    <col min="6660" max="6660" width="20" style="12" customWidth="1"/>
    <col min="6661" max="6661" width="15.81640625" style="12" bestFit="1" customWidth="1"/>
    <col min="6662" max="6662" width="31" style="12" bestFit="1" customWidth="1"/>
    <col min="6663" max="6663" width="35.81640625" style="12" bestFit="1" customWidth="1"/>
    <col min="6664" max="6664" width="41.90625" style="12" bestFit="1" customWidth="1"/>
    <col min="6665" max="6669" width="20" style="12" customWidth="1"/>
    <col min="6670" max="6912" width="8.81640625" style="12"/>
    <col min="6913" max="6913" width="4" style="12" customWidth="1"/>
    <col min="6914" max="6914" width="20" style="12" customWidth="1"/>
    <col min="6915" max="6915" width="10.6328125" style="12" customWidth="1"/>
    <col min="6916" max="6916" width="20" style="12" customWidth="1"/>
    <col min="6917" max="6917" width="15.81640625" style="12" bestFit="1" customWidth="1"/>
    <col min="6918" max="6918" width="31" style="12" bestFit="1" customWidth="1"/>
    <col min="6919" max="6919" width="35.81640625" style="12" bestFit="1" customWidth="1"/>
    <col min="6920" max="6920" width="41.90625" style="12" bestFit="1" customWidth="1"/>
    <col min="6921" max="6925" width="20" style="12" customWidth="1"/>
    <col min="6926" max="7168" width="8.81640625" style="12"/>
    <col min="7169" max="7169" width="4" style="12" customWidth="1"/>
    <col min="7170" max="7170" width="20" style="12" customWidth="1"/>
    <col min="7171" max="7171" width="10.6328125" style="12" customWidth="1"/>
    <col min="7172" max="7172" width="20" style="12" customWidth="1"/>
    <col min="7173" max="7173" width="15.81640625" style="12" bestFit="1" customWidth="1"/>
    <col min="7174" max="7174" width="31" style="12" bestFit="1" customWidth="1"/>
    <col min="7175" max="7175" width="35.81640625" style="12" bestFit="1" customWidth="1"/>
    <col min="7176" max="7176" width="41.90625" style="12" bestFit="1" customWidth="1"/>
    <col min="7177" max="7181" width="20" style="12" customWidth="1"/>
    <col min="7182" max="7424" width="8.81640625" style="12"/>
    <col min="7425" max="7425" width="4" style="12" customWidth="1"/>
    <col min="7426" max="7426" width="20" style="12" customWidth="1"/>
    <col min="7427" max="7427" width="10.6328125" style="12" customWidth="1"/>
    <col min="7428" max="7428" width="20" style="12" customWidth="1"/>
    <col min="7429" max="7429" width="15.81640625" style="12" bestFit="1" customWidth="1"/>
    <col min="7430" max="7430" width="31" style="12" bestFit="1" customWidth="1"/>
    <col min="7431" max="7431" width="35.81640625" style="12" bestFit="1" customWidth="1"/>
    <col min="7432" max="7432" width="41.90625" style="12" bestFit="1" customWidth="1"/>
    <col min="7433" max="7437" width="20" style="12" customWidth="1"/>
    <col min="7438" max="7680" width="8.81640625" style="12"/>
    <col min="7681" max="7681" width="4" style="12" customWidth="1"/>
    <col min="7682" max="7682" width="20" style="12" customWidth="1"/>
    <col min="7683" max="7683" width="10.6328125" style="12" customWidth="1"/>
    <col min="7684" max="7684" width="20" style="12" customWidth="1"/>
    <col min="7685" max="7685" width="15.81640625" style="12" bestFit="1" customWidth="1"/>
    <col min="7686" max="7686" width="31" style="12" bestFit="1" customWidth="1"/>
    <col min="7687" max="7687" width="35.81640625" style="12" bestFit="1" customWidth="1"/>
    <col min="7688" max="7688" width="41.90625" style="12" bestFit="1" customWidth="1"/>
    <col min="7689" max="7693" width="20" style="12" customWidth="1"/>
    <col min="7694" max="7936" width="8.81640625" style="12"/>
    <col min="7937" max="7937" width="4" style="12" customWidth="1"/>
    <col min="7938" max="7938" width="20" style="12" customWidth="1"/>
    <col min="7939" max="7939" width="10.6328125" style="12" customWidth="1"/>
    <col min="7940" max="7940" width="20" style="12" customWidth="1"/>
    <col min="7941" max="7941" width="15.81640625" style="12" bestFit="1" customWidth="1"/>
    <col min="7942" max="7942" width="31" style="12" bestFit="1" customWidth="1"/>
    <col min="7943" max="7943" width="35.81640625" style="12" bestFit="1" customWidth="1"/>
    <col min="7944" max="7944" width="41.90625" style="12" bestFit="1" customWidth="1"/>
    <col min="7945" max="7949" width="20" style="12" customWidth="1"/>
    <col min="7950" max="8192" width="8.81640625" style="12"/>
    <col min="8193" max="8193" width="4" style="12" customWidth="1"/>
    <col min="8194" max="8194" width="20" style="12" customWidth="1"/>
    <col min="8195" max="8195" width="10.6328125" style="12" customWidth="1"/>
    <col min="8196" max="8196" width="20" style="12" customWidth="1"/>
    <col min="8197" max="8197" width="15.81640625" style="12" bestFit="1" customWidth="1"/>
    <col min="8198" max="8198" width="31" style="12" bestFit="1" customWidth="1"/>
    <col min="8199" max="8199" width="35.81640625" style="12" bestFit="1" customWidth="1"/>
    <col min="8200" max="8200" width="41.90625" style="12" bestFit="1" customWidth="1"/>
    <col min="8201" max="8205" width="20" style="12" customWidth="1"/>
    <col min="8206" max="8448" width="8.81640625" style="12"/>
    <col min="8449" max="8449" width="4" style="12" customWidth="1"/>
    <col min="8450" max="8450" width="20" style="12" customWidth="1"/>
    <col min="8451" max="8451" width="10.6328125" style="12" customWidth="1"/>
    <col min="8452" max="8452" width="20" style="12" customWidth="1"/>
    <col min="8453" max="8453" width="15.81640625" style="12" bestFit="1" customWidth="1"/>
    <col min="8454" max="8454" width="31" style="12" bestFit="1" customWidth="1"/>
    <col min="8455" max="8455" width="35.81640625" style="12" bestFit="1" customWidth="1"/>
    <col min="8456" max="8456" width="41.90625" style="12" bestFit="1" customWidth="1"/>
    <col min="8457" max="8461" width="20" style="12" customWidth="1"/>
    <col min="8462" max="8704" width="8.81640625" style="12"/>
    <col min="8705" max="8705" width="4" style="12" customWidth="1"/>
    <col min="8706" max="8706" width="20" style="12" customWidth="1"/>
    <col min="8707" max="8707" width="10.6328125" style="12" customWidth="1"/>
    <col min="8708" max="8708" width="20" style="12" customWidth="1"/>
    <col min="8709" max="8709" width="15.81640625" style="12" bestFit="1" customWidth="1"/>
    <col min="8710" max="8710" width="31" style="12" bestFit="1" customWidth="1"/>
    <col min="8711" max="8711" width="35.81640625" style="12" bestFit="1" customWidth="1"/>
    <col min="8712" max="8712" width="41.90625" style="12" bestFit="1" customWidth="1"/>
    <col min="8713" max="8717" width="20" style="12" customWidth="1"/>
    <col min="8718" max="8960" width="8.81640625" style="12"/>
    <col min="8961" max="8961" width="4" style="12" customWidth="1"/>
    <col min="8962" max="8962" width="20" style="12" customWidth="1"/>
    <col min="8963" max="8963" width="10.6328125" style="12" customWidth="1"/>
    <col min="8964" max="8964" width="20" style="12" customWidth="1"/>
    <col min="8965" max="8965" width="15.81640625" style="12" bestFit="1" customWidth="1"/>
    <col min="8966" max="8966" width="31" style="12" bestFit="1" customWidth="1"/>
    <col min="8967" max="8967" width="35.81640625" style="12" bestFit="1" customWidth="1"/>
    <col min="8968" max="8968" width="41.90625" style="12" bestFit="1" customWidth="1"/>
    <col min="8969" max="8973" width="20" style="12" customWidth="1"/>
    <col min="8974" max="9216" width="8.81640625" style="12"/>
    <col min="9217" max="9217" width="4" style="12" customWidth="1"/>
    <col min="9218" max="9218" width="20" style="12" customWidth="1"/>
    <col min="9219" max="9219" width="10.6328125" style="12" customWidth="1"/>
    <col min="9220" max="9220" width="20" style="12" customWidth="1"/>
    <col min="9221" max="9221" width="15.81640625" style="12" bestFit="1" customWidth="1"/>
    <col min="9222" max="9222" width="31" style="12" bestFit="1" customWidth="1"/>
    <col min="9223" max="9223" width="35.81640625" style="12" bestFit="1" customWidth="1"/>
    <col min="9224" max="9224" width="41.90625" style="12" bestFit="1" customWidth="1"/>
    <col min="9225" max="9229" width="20" style="12" customWidth="1"/>
    <col min="9230" max="9472" width="8.81640625" style="12"/>
    <col min="9473" max="9473" width="4" style="12" customWidth="1"/>
    <col min="9474" max="9474" width="20" style="12" customWidth="1"/>
    <col min="9475" max="9475" width="10.6328125" style="12" customWidth="1"/>
    <col min="9476" max="9476" width="20" style="12" customWidth="1"/>
    <col min="9477" max="9477" width="15.81640625" style="12" bestFit="1" customWidth="1"/>
    <col min="9478" max="9478" width="31" style="12" bestFit="1" customWidth="1"/>
    <col min="9479" max="9479" width="35.81640625" style="12" bestFit="1" customWidth="1"/>
    <col min="9480" max="9480" width="41.90625" style="12" bestFit="1" customWidth="1"/>
    <col min="9481" max="9485" width="20" style="12" customWidth="1"/>
    <col min="9486" max="9728" width="8.81640625" style="12"/>
    <col min="9729" max="9729" width="4" style="12" customWidth="1"/>
    <col min="9730" max="9730" width="20" style="12" customWidth="1"/>
    <col min="9731" max="9731" width="10.6328125" style="12" customWidth="1"/>
    <col min="9732" max="9732" width="20" style="12" customWidth="1"/>
    <col min="9733" max="9733" width="15.81640625" style="12" bestFit="1" customWidth="1"/>
    <col min="9734" max="9734" width="31" style="12" bestFit="1" customWidth="1"/>
    <col min="9735" max="9735" width="35.81640625" style="12" bestFit="1" customWidth="1"/>
    <col min="9736" max="9736" width="41.90625" style="12" bestFit="1" customWidth="1"/>
    <col min="9737" max="9741" width="20" style="12" customWidth="1"/>
    <col min="9742" max="9984" width="8.81640625" style="12"/>
    <col min="9985" max="9985" width="4" style="12" customWidth="1"/>
    <col min="9986" max="9986" width="20" style="12" customWidth="1"/>
    <col min="9987" max="9987" width="10.6328125" style="12" customWidth="1"/>
    <col min="9988" max="9988" width="20" style="12" customWidth="1"/>
    <col min="9989" max="9989" width="15.81640625" style="12" bestFit="1" customWidth="1"/>
    <col min="9990" max="9990" width="31" style="12" bestFit="1" customWidth="1"/>
    <col min="9991" max="9991" width="35.81640625" style="12" bestFit="1" customWidth="1"/>
    <col min="9992" max="9992" width="41.90625" style="12" bestFit="1" customWidth="1"/>
    <col min="9993" max="9997" width="20" style="12" customWidth="1"/>
    <col min="9998" max="10240" width="8.81640625" style="12"/>
    <col min="10241" max="10241" width="4" style="12" customWidth="1"/>
    <col min="10242" max="10242" width="20" style="12" customWidth="1"/>
    <col min="10243" max="10243" width="10.6328125" style="12" customWidth="1"/>
    <col min="10244" max="10244" width="20" style="12" customWidth="1"/>
    <col min="10245" max="10245" width="15.81640625" style="12" bestFit="1" customWidth="1"/>
    <col min="10246" max="10246" width="31" style="12" bestFit="1" customWidth="1"/>
    <col min="10247" max="10247" width="35.81640625" style="12" bestFit="1" customWidth="1"/>
    <col min="10248" max="10248" width="41.90625" style="12" bestFit="1" customWidth="1"/>
    <col min="10249" max="10253" width="20" style="12" customWidth="1"/>
    <col min="10254" max="10496" width="8.81640625" style="12"/>
    <col min="10497" max="10497" width="4" style="12" customWidth="1"/>
    <col min="10498" max="10498" width="20" style="12" customWidth="1"/>
    <col min="10499" max="10499" width="10.6328125" style="12" customWidth="1"/>
    <col min="10500" max="10500" width="20" style="12" customWidth="1"/>
    <col min="10501" max="10501" width="15.81640625" style="12" bestFit="1" customWidth="1"/>
    <col min="10502" max="10502" width="31" style="12" bestFit="1" customWidth="1"/>
    <col min="10503" max="10503" width="35.81640625" style="12" bestFit="1" customWidth="1"/>
    <col min="10504" max="10504" width="41.90625" style="12" bestFit="1" customWidth="1"/>
    <col min="10505" max="10509" width="20" style="12" customWidth="1"/>
    <col min="10510" max="10752" width="8.81640625" style="12"/>
    <col min="10753" max="10753" width="4" style="12" customWidth="1"/>
    <col min="10754" max="10754" width="20" style="12" customWidth="1"/>
    <col min="10755" max="10755" width="10.6328125" style="12" customWidth="1"/>
    <col min="10756" max="10756" width="20" style="12" customWidth="1"/>
    <col min="10757" max="10757" width="15.81640625" style="12" bestFit="1" customWidth="1"/>
    <col min="10758" max="10758" width="31" style="12" bestFit="1" customWidth="1"/>
    <col min="10759" max="10759" width="35.81640625" style="12" bestFit="1" customWidth="1"/>
    <col min="10760" max="10760" width="41.90625" style="12" bestFit="1" customWidth="1"/>
    <col min="10761" max="10765" width="20" style="12" customWidth="1"/>
    <col min="10766" max="11008" width="8.81640625" style="12"/>
    <col min="11009" max="11009" width="4" style="12" customWidth="1"/>
    <col min="11010" max="11010" width="20" style="12" customWidth="1"/>
    <col min="11011" max="11011" width="10.6328125" style="12" customWidth="1"/>
    <col min="11012" max="11012" width="20" style="12" customWidth="1"/>
    <col min="11013" max="11013" width="15.81640625" style="12" bestFit="1" customWidth="1"/>
    <col min="11014" max="11014" width="31" style="12" bestFit="1" customWidth="1"/>
    <col min="11015" max="11015" width="35.81640625" style="12" bestFit="1" customWidth="1"/>
    <col min="11016" max="11016" width="41.90625" style="12" bestFit="1" customWidth="1"/>
    <col min="11017" max="11021" width="20" style="12" customWidth="1"/>
    <col min="11022" max="11264" width="8.81640625" style="12"/>
    <col min="11265" max="11265" width="4" style="12" customWidth="1"/>
    <col min="11266" max="11266" width="20" style="12" customWidth="1"/>
    <col min="11267" max="11267" width="10.6328125" style="12" customWidth="1"/>
    <col min="11268" max="11268" width="20" style="12" customWidth="1"/>
    <col min="11269" max="11269" width="15.81640625" style="12" bestFit="1" customWidth="1"/>
    <col min="11270" max="11270" width="31" style="12" bestFit="1" customWidth="1"/>
    <col min="11271" max="11271" width="35.81640625" style="12" bestFit="1" customWidth="1"/>
    <col min="11272" max="11272" width="41.90625" style="12" bestFit="1" customWidth="1"/>
    <col min="11273" max="11277" width="20" style="12" customWidth="1"/>
    <col min="11278" max="11520" width="8.81640625" style="12"/>
    <col min="11521" max="11521" width="4" style="12" customWidth="1"/>
    <col min="11522" max="11522" width="20" style="12" customWidth="1"/>
    <col min="11523" max="11523" width="10.6328125" style="12" customWidth="1"/>
    <col min="11524" max="11524" width="20" style="12" customWidth="1"/>
    <col min="11525" max="11525" width="15.81640625" style="12" bestFit="1" customWidth="1"/>
    <col min="11526" max="11526" width="31" style="12" bestFit="1" customWidth="1"/>
    <col min="11527" max="11527" width="35.81640625" style="12" bestFit="1" customWidth="1"/>
    <col min="11528" max="11528" width="41.90625" style="12" bestFit="1" customWidth="1"/>
    <col min="11529" max="11533" width="20" style="12" customWidth="1"/>
    <col min="11534" max="11776" width="8.81640625" style="12"/>
    <col min="11777" max="11777" width="4" style="12" customWidth="1"/>
    <col min="11778" max="11778" width="20" style="12" customWidth="1"/>
    <col min="11779" max="11779" width="10.6328125" style="12" customWidth="1"/>
    <col min="11780" max="11780" width="20" style="12" customWidth="1"/>
    <col min="11781" max="11781" width="15.81640625" style="12" bestFit="1" customWidth="1"/>
    <col min="11782" max="11782" width="31" style="12" bestFit="1" customWidth="1"/>
    <col min="11783" max="11783" width="35.81640625" style="12" bestFit="1" customWidth="1"/>
    <col min="11784" max="11784" width="41.90625" style="12" bestFit="1" customWidth="1"/>
    <col min="11785" max="11789" width="20" style="12" customWidth="1"/>
    <col min="11790" max="12032" width="8.81640625" style="12"/>
    <col min="12033" max="12033" width="4" style="12" customWidth="1"/>
    <col min="12034" max="12034" width="20" style="12" customWidth="1"/>
    <col min="12035" max="12035" width="10.6328125" style="12" customWidth="1"/>
    <col min="12036" max="12036" width="20" style="12" customWidth="1"/>
    <col min="12037" max="12037" width="15.81640625" style="12" bestFit="1" customWidth="1"/>
    <col min="12038" max="12038" width="31" style="12" bestFit="1" customWidth="1"/>
    <col min="12039" max="12039" width="35.81640625" style="12" bestFit="1" customWidth="1"/>
    <col min="12040" max="12040" width="41.90625" style="12" bestFit="1" customWidth="1"/>
    <col min="12041" max="12045" width="20" style="12" customWidth="1"/>
    <col min="12046" max="12288" width="8.81640625" style="12"/>
    <col min="12289" max="12289" width="4" style="12" customWidth="1"/>
    <col min="12290" max="12290" width="20" style="12" customWidth="1"/>
    <col min="12291" max="12291" width="10.6328125" style="12" customWidth="1"/>
    <col min="12292" max="12292" width="20" style="12" customWidth="1"/>
    <col min="12293" max="12293" width="15.81640625" style="12" bestFit="1" customWidth="1"/>
    <col min="12294" max="12294" width="31" style="12" bestFit="1" customWidth="1"/>
    <col min="12295" max="12295" width="35.81640625" style="12" bestFit="1" customWidth="1"/>
    <col min="12296" max="12296" width="41.90625" style="12" bestFit="1" customWidth="1"/>
    <col min="12297" max="12301" width="20" style="12" customWidth="1"/>
    <col min="12302" max="12544" width="8.81640625" style="12"/>
    <col min="12545" max="12545" width="4" style="12" customWidth="1"/>
    <col min="12546" max="12546" width="20" style="12" customWidth="1"/>
    <col min="12547" max="12547" width="10.6328125" style="12" customWidth="1"/>
    <col min="12548" max="12548" width="20" style="12" customWidth="1"/>
    <col min="12549" max="12549" width="15.81640625" style="12" bestFit="1" customWidth="1"/>
    <col min="12550" max="12550" width="31" style="12" bestFit="1" customWidth="1"/>
    <col min="12551" max="12551" width="35.81640625" style="12" bestFit="1" customWidth="1"/>
    <col min="12552" max="12552" width="41.90625" style="12" bestFit="1" customWidth="1"/>
    <col min="12553" max="12557" width="20" style="12" customWidth="1"/>
    <col min="12558" max="12800" width="8.81640625" style="12"/>
    <col min="12801" max="12801" width="4" style="12" customWidth="1"/>
    <col min="12802" max="12802" width="20" style="12" customWidth="1"/>
    <col min="12803" max="12803" width="10.6328125" style="12" customWidth="1"/>
    <col min="12804" max="12804" width="20" style="12" customWidth="1"/>
    <col min="12805" max="12805" width="15.81640625" style="12" bestFit="1" customWidth="1"/>
    <col min="12806" max="12806" width="31" style="12" bestFit="1" customWidth="1"/>
    <col min="12807" max="12807" width="35.81640625" style="12" bestFit="1" customWidth="1"/>
    <col min="12808" max="12808" width="41.90625" style="12" bestFit="1" customWidth="1"/>
    <col min="12809" max="12813" width="20" style="12" customWidth="1"/>
    <col min="12814" max="13056" width="8.81640625" style="12"/>
    <col min="13057" max="13057" width="4" style="12" customWidth="1"/>
    <col min="13058" max="13058" width="20" style="12" customWidth="1"/>
    <col min="13059" max="13059" width="10.6328125" style="12" customWidth="1"/>
    <col min="13060" max="13060" width="20" style="12" customWidth="1"/>
    <col min="13061" max="13061" width="15.81640625" style="12" bestFit="1" customWidth="1"/>
    <col min="13062" max="13062" width="31" style="12" bestFit="1" customWidth="1"/>
    <col min="13063" max="13063" width="35.81640625" style="12" bestFit="1" customWidth="1"/>
    <col min="13064" max="13064" width="41.90625" style="12" bestFit="1" customWidth="1"/>
    <col min="13065" max="13069" width="20" style="12" customWidth="1"/>
    <col min="13070" max="13312" width="8.81640625" style="12"/>
    <col min="13313" max="13313" width="4" style="12" customWidth="1"/>
    <col min="13314" max="13314" width="20" style="12" customWidth="1"/>
    <col min="13315" max="13315" width="10.6328125" style="12" customWidth="1"/>
    <col min="13316" max="13316" width="20" style="12" customWidth="1"/>
    <col min="13317" max="13317" width="15.81640625" style="12" bestFit="1" customWidth="1"/>
    <col min="13318" max="13318" width="31" style="12" bestFit="1" customWidth="1"/>
    <col min="13319" max="13319" width="35.81640625" style="12" bestFit="1" customWidth="1"/>
    <col min="13320" max="13320" width="41.90625" style="12" bestFit="1" customWidth="1"/>
    <col min="13321" max="13325" width="20" style="12" customWidth="1"/>
    <col min="13326" max="13568" width="8.81640625" style="12"/>
    <col min="13569" max="13569" width="4" style="12" customWidth="1"/>
    <col min="13570" max="13570" width="20" style="12" customWidth="1"/>
    <col min="13571" max="13571" width="10.6328125" style="12" customWidth="1"/>
    <col min="13572" max="13572" width="20" style="12" customWidth="1"/>
    <col min="13573" max="13573" width="15.81640625" style="12" bestFit="1" customWidth="1"/>
    <col min="13574" max="13574" width="31" style="12" bestFit="1" customWidth="1"/>
    <col min="13575" max="13575" width="35.81640625" style="12" bestFit="1" customWidth="1"/>
    <col min="13576" max="13576" width="41.90625" style="12" bestFit="1" customWidth="1"/>
    <col min="13577" max="13581" width="20" style="12" customWidth="1"/>
    <col min="13582" max="13824" width="8.81640625" style="12"/>
    <col min="13825" max="13825" width="4" style="12" customWidth="1"/>
    <col min="13826" max="13826" width="20" style="12" customWidth="1"/>
    <col min="13827" max="13827" width="10.6328125" style="12" customWidth="1"/>
    <col min="13828" max="13828" width="20" style="12" customWidth="1"/>
    <col min="13829" max="13829" width="15.81640625" style="12" bestFit="1" customWidth="1"/>
    <col min="13830" max="13830" width="31" style="12" bestFit="1" customWidth="1"/>
    <col min="13831" max="13831" width="35.81640625" style="12" bestFit="1" customWidth="1"/>
    <col min="13832" max="13832" width="41.90625" style="12" bestFit="1" customWidth="1"/>
    <col min="13833" max="13837" width="20" style="12" customWidth="1"/>
    <col min="13838" max="14080" width="8.81640625" style="12"/>
    <col min="14081" max="14081" width="4" style="12" customWidth="1"/>
    <col min="14082" max="14082" width="20" style="12" customWidth="1"/>
    <col min="14083" max="14083" width="10.6328125" style="12" customWidth="1"/>
    <col min="14084" max="14084" width="20" style="12" customWidth="1"/>
    <col min="14085" max="14085" width="15.81640625" style="12" bestFit="1" customWidth="1"/>
    <col min="14086" max="14086" width="31" style="12" bestFit="1" customWidth="1"/>
    <col min="14087" max="14087" width="35.81640625" style="12" bestFit="1" customWidth="1"/>
    <col min="14088" max="14088" width="41.90625" style="12" bestFit="1" customWidth="1"/>
    <col min="14089" max="14093" width="20" style="12" customWidth="1"/>
    <col min="14094" max="14336" width="8.81640625" style="12"/>
    <col min="14337" max="14337" width="4" style="12" customWidth="1"/>
    <col min="14338" max="14338" width="20" style="12" customWidth="1"/>
    <col min="14339" max="14339" width="10.6328125" style="12" customWidth="1"/>
    <col min="14340" max="14340" width="20" style="12" customWidth="1"/>
    <col min="14341" max="14341" width="15.81640625" style="12" bestFit="1" customWidth="1"/>
    <col min="14342" max="14342" width="31" style="12" bestFit="1" customWidth="1"/>
    <col min="14343" max="14343" width="35.81640625" style="12" bestFit="1" customWidth="1"/>
    <col min="14344" max="14344" width="41.90625" style="12" bestFit="1" customWidth="1"/>
    <col min="14345" max="14349" width="20" style="12" customWidth="1"/>
    <col min="14350" max="14592" width="8.81640625" style="12"/>
    <col min="14593" max="14593" width="4" style="12" customWidth="1"/>
    <col min="14594" max="14594" width="20" style="12" customWidth="1"/>
    <col min="14595" max="14595" width="10.6328125" style="12" customWidth="1"/>
    <col min="14596" max="14596" width="20" style="12" customWidth="1"/>
    <col min="14597" max="14597" width="15.81640625" style="12" bestFit="1" customWidth="1"/>
    <col min="14598" max="14598" width="31" style="12" bestFit="1" customWidth="1"/>
    <col min="14599" max="14599" width="35.81640625" style="12" bestFit="1" customWidth="1"/>
    <col min="14600" max="14600" width="41.90625" style="12" bestFit="1" customWidth="1"/>
    <col min="14601" max="14605" width="20" style="12" customWidth="1"/>
    <col min="14606" max="14848" width="8.81640625" style="12"/>
    <col min="14849" max="14849" width="4" style="12" customWidth="1"/>
    <col min="14850" max="14850" width="20" style="12" customWidth="1"/>
    <col min="14851" max="14851" width="10.6328125" style="12" customWidth="1"/>
    <col min="14852" max="14852" width="20" style="12" customWidth="1"/>
    <col min="14853" max="14853" width="15.81640625" style="12" bestFit="1" customWidth="1"/>
    <col min="14854" max="14854" width="31" style="12" bestFit="1" customWidth="1"/>
    <col min="14855" max="14855" width="35.81640625" style="12" bestFit="1" customWidth="1"/>
    <col min="14856" max="14856" width="41.90625" style="12" bestFit="1" customWidth="1"/>
    <col min="14857" max="14861" width="20" style="12" customWidth="1"/>
    <col min="14862" max="15104" width="8.81640625" style="12"/>
    <col min="15105" max="15105" width="4" style="12" customWidth="1"/>
    <col min="15106" max="15106" width="20" style="12" customWidth="1"/>
    <col min="15107" max="15107" width="10.6328125" style="12" customWidth="1"/>
    <col min="15108" max="15108" width="20" style="12" customWidth="1"/>
    <col min="15109" max="15109" width="15.81640625" style="12" bestFit="1" customWidth="1"/>
    <col min="15110" max="15110" width="31" style="12" bestFit="1" customWidth="1"/>
    <col min="15111" max="15111" width="35.81640625" style="12" bestFit="1" customWidth="1"/>
    <col min="15112" max="15112" width="41.90625" style="12" bestFit="1" customWidth="1"/>
    <col min="15113" max="15117" width="20" style="12" customWidth="1"/>
    <col min="15118" max="15360" width="8.81640625" style="12"/>
    <col min="15361" max="15361" width="4" style="12" customWidth="1"/>
    <col min="15362" max="15362" width="20" style="12" customWidth="1"/>
    <col min="15363" max="15363" width="10.6328125" style="12" customWidth="1"/>
    <col min="15364" max="15364" width="20" style="12" customWidth="1"/>
    <col min="15365" max="15365" width="15.81640625" style="12" bestFit="1" customWidth="1"/>
    <col min="15366" max="15366" width="31" style="12" bestFit="1" customWidth="1"/>
    <col min="15367" max="15367" width="35.81640625" style="12" bestFit="1" customWidth="1"/>
    <col min="15368" max="15368" width="41.90625" style="12" bestFit="1" customWidth="1"/>
    <col min="15369" max="15373" width="20" style="12" customWidth="1"/>
    <col min="15374" max="15616" width="8.81640625" style="12"/>
    <col min="15617" max="15617" width="4" style="12" customWidth="1"/>
    <col min="15618" max="15618" width="20" style="12" customWidth="1"/>
    <col min="15619" max="15619" width="10.6328125" style="12" customWidth="1"/>
    <col min="15620" max="15620" width="20" style="12" customWidth="1"/>
    <col min="15621" max="15621" width="15.81640625" style="12" bestFit="1" customWidth="1"/>
    <col min="15622" max="15622" width="31" style="12" bestFit="1" customWidth="1"/>
    <col min="15623" max="15623" width="35.81640625" style="12" bestFit="1" customWidth="1"/>
    <col min="15624" max="15624" width="41.90625" style="12" bestFit="1" customWidth="1"/>
    <col min="15625" max="15629" width="20" style="12" customWidth="1"/>
    <col min="15630" max="15872" width="8.81640625" style="12"/>
    <col min="15873" max="15873" width="4" style="12" customWidth="1"/>
    <col min="15874" max="15874" width="20" style="12" customWidth="1"/>
    <col min="15875" max="15875" width="10.6328125" style="12" customWidth="1"/>
    <col min="15876" max="15876" width="20" style="12" customWidth="1"/>
    <col min="15877" max="15877" width="15.81640625" style="12" bestFit="1" customWidth="1"/>
    <col min="15878" max="15878" width="31" style="12" bestFit="1" customWidth="1"/>
    <col min="15879" max="15879" width="35.81640625" style="12" bestFit="1" customWidth="1"/>
    <col min="15880" max="15880" width="41.90625" style="12" bestFit="1" customWidth="1"/>
    <col min="15881" max="15885" width="20" style="12" customWidth="1"/>
    <col min="15886" max="16128" width="8.81640625" style="12"/>
    <col min="16129" max="16129" width="4" style="12" customWidth="1"/>
    <col min="16130" max="16130" width="20" style="12" customWidth="1"/>
    <col min="16131" max="16131" width="10.6328125" style="12" customWidth="1"/>
    <col min="16132" max="16132" width="20" style="12" customWidth="1"/>
    <col min="16133" max="16133" width="15.81640625" style="12" bestFit="1" customWidth="1"/>
    <col min="16134" max="16134" width="31" style="12" bestFit="1" customWidth="1"/>
    <col min="16135" max="16135" width="35.81640625" style="12" bestFit="1" customWidth="1"/>
    <col min="16136" max="16136" width="41.90625" style="12" bestFit="1" customWidth="1"/>
    <col min="16137" max="16141" width="20" style="12" customWidth="1"/>
    <col min="16142" max="16384" width="8.81640625" style="12"/>
  </cols>
  <sheetData>
    <row r="1" spans="1:13" x14ac:dyDescent="0.35">
      <c r="A1" s="11" t="s">
        <v>1951</v>
      </c>
    </row>
    <row r="2" spans="1:13" ht="16" customHeight="1" x14ac:dyDescent="0.35">
      <c r="A2" s="11" t="s">
        <v>1922</v>
      </c>
      <c r="K2" s="15" t="s">
        <v>1952</v>
      </c>
      <c r="L2" s="15"/>
      <c r="M2" s="15"/>
    </row>
    <row r="3" spans="1:13" x14ac:dyDescent="0.35">
      <c r="A3" s="14" t="s">
        <v>1923</v>
      </c>
      <c r="B3" s="14" t="s">
        <v>1924</v>
      </c>
      <c r="C3" s="14" t="s">
        <v>1925</v>
      </c>
      <c r="D3" s="14" t="s">
        <v>1926</v>
      </c>
      <c r="E3" s="14" t="s">
        <v>1953</v>
      </c>
      <c r="F3" s="14" t="s">
        <v>1954</v>
      </c>
      <c r="G3" s="14" t="s">
        <v>1955</v>
      </c>
      <c r="H3" s="5" t="s">
        <v>1956</v>
      </c>
      <c r="I3" s="5" t="s">
        <v>1930</v>
      </c>
      <c r="J3" s="5" t="s">
        <v>1931</v>
      </c>
      <c r="K3" s="5" t="s">
        <v>1957</v>
      </c>
      <c r="L3" s="5" t="s">
        <v>1930</v>
      </c>
      <c r="M3" s="5" t="s">
        <v>1931</v>
      </c>
    </row>
    <row r="4" spans="1:13" x14ac:dyDescent="0.35">
      <c r="A4" s="2">
        <v>1</v>
      </c>
      <c r="B4" s="2" t="s">
        <v>1934</v>
      </c>
      <c r="C4" s="2">
        <v>604</v>
      </c>
      <c r="D4" s="2" t="s">
        <v>232</v>
      </c>
      <c r="E4" s="2">
        <v>8062</v>
      </c>
      <c r="F4" s="2"/>
      <c r="G4" s="2" t="s">
        <v>1958</v>
      </c>
      <c r="H4" s="16">
        <v>1</v>
      </c>
      <c r="I4" s="8">
        <f>VLOOKUP(E4,Sheet13!$A$5:$C$33,2,FALSE)</f>
        <v>1</v>
      </c>
      <c r="J4" s="24">
        <f t="shared" ref="J4:J67" si="0">I4-H4</f>
        <v>0</v>
      </c>
      <c r="K4" s="17">
        <v>1</v>
      </c>
      <c r="L4" s="8">
        <f>VLOOKUP(E4,Sheet13!$A$5:$C$33,3,FALSE)</f>
        <v>1</v>
      </c>
      <c r="M4" s="22">
        <f t="shared" ref="M4:M65" si="1">L4-K4</f>
        <v>0</v>
      </c>
    </row>
    <row r="5" spans="1:13" x14ac:dyDescent="0.35">
      <c r="A5" s="2">
        <v>2</v>
      </c>
      <c r="B5" s="2" t="s">
        <v>1934</v>
      </c>
      <c r="C5" s="2">
        <v>63</v>
      </c>
      <c r="D5" s="2" t="s">
        <v>246</v>
      </c>
      <c r="E5" s="2">
        <v>7142</v>
      </c>
      <c r="F5" s="2"/>
      <c r="G5" s="2" t="s">
        <v>1959</v>
      </c>
      <c r="H5" s="16">
        <v>1</v>
      </c>
      <c r="I5" s="8">
        <f>VLOOKUP(E5,Sheet13!$A$5:$C$33,2,FALSE)</f>
        <v>1</v>
      </c>
      <c r="J5" s="24">
        <f t="shared" si="0"/>
        <v>0</v>
      </c>
      <c r="K5" s="17">
        <v>1</v>
      </c>
      <c r="L5" s="8">
        <f>VLOOKUP(E5,Sheet13!$A$5:$C$33,3,FALSE)</f>
        <v>1</v>
      </c>
      <c r="M5" s="22">
        <f t="shared" si="1"/>
        <v>0</v>
      </c>
    </row>
    <row r="6" spans="1:13" x14ac:dyDescent="0.35">
      <c r="A6" s="2">
        <v>3</v>
      </c>
      <c r="B6" s="2" t="s">
        <v>1934</v>
      </c>
      <c r="C6" s="2">
        <v>131</v>
      </c>
      <c r="D6" s="2" t="s">
        <v>128</v>
      </c>
      <c r="E6" s="2">
        <v>5806</v>
      </c>
      <c r="F6" s="2"/>
      <c r="G6" s="2" t="s">
        <v>1960</v>
      </c>
      <c r="H6" s="16">
        <v>1</v>
      </c>
      <c r="I6" s="8">
        <f>VLOOKUP(E6,Sheet13!$A$5:$C$33,2,FALSE)</f>
        <v>1</v>
      </c>
      <c r="J6" s="24">
        <f t="shared" si="0"/>
        <v>0</v>
      </c>
      <c r="K6" s="17">
        <v>1</v>
      </c>
      <c r="L6" s="8">
        <f>VLOOKUP(E6,Sheet13!$A$5:$C$33,3,FALSE)</f>
        <v>1</v>
      </c>
      <c r="M6" s="22">
        <f t="shared" si="1"/>
        <v>0</v>
      </c>
    </row>
    <row r="7" spans="1:13" x14ac:dyDescent="0.35">
      <c r="A7" s="2">
        <v>4</v>
      </c>
      <c r="B7" s="2" t="s">
        <v>1934</v>
      </c>
      <c r="C7" s="2">
        <v>342</v>
      </c>
      <c r="D7" s="2" t="s">
        <v>57</v>
      </c>
      <c r="E7" s="2">
        <v>5788</v>
      </c>
      <c r="F7" s="2"/>
      <c r="G7" s="2" t="s">
        <v>1961</v>
      </c>
      <c r="H7" s="16">
        <v>1</v>
      </c>
      <c r="I7" s="8">
        <f>VLOOKUP(E7,Sheet13!$A$5:$C$33,2,FALSE)</f>
        <v>1</v>
      </c>
      <c r="J7" s="24">
        <f t="shared" si="0"/>
        <v>0</v>
      </c>
      <c r="K7" s="17">
        <v>1</v>
      </c>
      <c r="L7" s="8">
        <f>VLOOKUP(E7,Sheet13!$A$5:$C$33,3,FALSE)</f>
        <v>1</v>
      </c>
      <c r="M7" s="22">
        <f t="shared" si="1"/>
        <v>0</v>
      </c>
    </row>
    <row r="8" spans="1:13" x14ac:dyDescent="0.35">
      <c r="A8" s="2">
        <v>5</v>
      </c>
      <c r="B8" s="2" t="s">
        <v>1934</v>
      </c>
      <c r="C8" s="2">
        <v>63</v>
      </c>
      <c r="D8" s="2" t="s">
        <v>246</v>
      </c>
      <c r="E8" s="2">
        <v>5765</v>
      </c>
      <c r="F8" s="2"/>
      <c r="G8" s="2" t="s">
        <v>1962</v>
      </c>
      <c r="H8" s="16">
        <v>1</v>
      </c>
      <c r="I8" s="8">
        <f>VLOOKUP(E8,Sheet13!$A$5:$C$33,2,FALSE)</f>
        <v>1</v>
      </c>
      <c r="J8" s="24">
        <f t="shared" si="0"/>
        <v>0</v>
      </c>
      <c r="K8" s="17">
        <v>1</v>
      </c>
      <c r="L8" s="8">
        <f>VLOOKUP(E8,Sheet13!$A$5:$C$33,3,FALSE)</f>
        <v>1</v>
      </c>
      <c r="M8" s="22">
        <f t="shared" si="1"/>
        <v>0</v>
      </c>
    </row>
    <row r="9" spans="1:13" x14ac:dyDescent="0.35">
      <c r="A9" s="2">
        <v>6</v>
      </c>
      <c r="B9" s="2" t="s">
        <v>1934</v>
      </c>
      <c r="C9" s="2">
        <v>63</v>
      </c>
      <c r="D9" s="2" t="s">
        <v>246</v>
      </c>
      <c r="E9" s="2">
        <v>5764</v>
      </c>
      <c r="F9" s="2"/>
      <c r="G9" s="2" t="s">
        <v>1963</v>
      </c>
      <c r="H9" s="16">
        <v>1</v>
      </c>
      <c r="I9" s="8">
        <f>VLOOKUP(E9,Sheet13!$A$5:$C$33,2,FALSE)</f>
        <v>1</v>
      </c>
      <c r="J9" s="24">
        <f t="shared" si="0"/>
        <v>0</v>
      </c>
      <c r="K9" s="17">
        <v>1</v>
      </c>
      <c r="L9" s="8">
        <f>VLOOKUP(E9,Sheet13!$A$5:$C$33,3,FALSE)</f>
        <v>1</v>
      </c>
      <c r="M9" s="22">
        <f t="shared" si="1"/>
        <v>0</v>
      </c>
    </row>
    <row r="10" spans="1:13" x14ac:dyDescent="0.35">
      <c r="A10" s="2">
        <v>7</v>
      </c>
      <c r="B10" s="2" t="s">
        <v>1934</v>
      </c>
      <c r="C10" s="2">
        <v>342</v>
      </c>
      <c r="D10" s="2" t="s">
        <v>57</v>
      </c>
      <c r="E10" s="2">
        <v>5761</v>
      </c>
      <c r="F10" s="2"/>
      <c r="G10" s="2" t="s">
        <v>1964</v>
      </c>
      <c r="H10" s="16">
        <v>1</v>
      </c>
      <c r="I10" s="8">
        <f>VLOOKUP(E10,Sheet13!$A$5:$C$33,2,FALSE)</f>
        <v>1</v>
      </c>
      <c r="J10" s="24">
        <f t="shared" si="0"/>
        <v>0</v>
      </c>
      <c r="K10" s="17">
        <v>1</v>
      </c>
      <c r="L10" s="8">
        <f>VLOOKUP(E10,Sheet13!$A$5:$C$33,3,FALSE)</f>
        <v>1</v>
      </c>
      <c r="M10" s="22">
        <f t="shared" si="1"/>
        <v>0</v>
      </c>
    </row>
    <row r="11" spans="1:13" x14ac:dyDescent="0.35">
      <c r="A11" s="2">
        <v>8</v>
      </c>
      <c r="B11" s="2" t="s">
        <v>1934</v>
      </c>
      <c r="C11" s="2">
        <v>342</v>
      </c>
      <c r="D11" s="2" t="s">
        <v>57</v>
      </c>
      <c r="E11" s="2">
        <v>5739</v>
      </c>
      <c r="F11" s="2"/>
      <c r="G11" s="2" t="s">
        <v>1965</v>
      </c>
      <c r="H11" s="16">
        <v>1</v>
      </c>
      <c r="I11" s="8">
        <f>VLOOKUP(E11,Sheet13!$A$5:$C$33,2,FALSE)</f>
        <v>1</v>
      </c>
      <c r="J11" s="24">
        <f t="shared" si="0"/>
        <v>0</v>
      </c>
      <c r="K11" s="17">
        <v>1</v>
      </c>
      <c r="L11" s="8">
        <f>VLOOKUP(E11,Sheet13!$A$5:$C$33,3,FALSE)</f>
        <v>1</v>
      </c>
      <c r="M11" s="22">
        <f t="shared" si="1"/>
        <v>0</v>
      </c>
    </row>
    <row r="12" spans="1:13" x14ac:dyDescent="0.35">
      <c r="A12" s="2">
        <v>9</v>
      </c>
      <c r="B12" s="2" t="s">
        <v>1934</v>
      </c>
      <c r="C12" s="2">
        <v>138</v>
      </c>
      <c r="D12" s="2" t="s">
        <v>315</v>
      </c>
      <c r="E12" s="2">
        <v>5736</v>
      </c>
      <c r="F12" s="2"/>
      <c r="G12" s="2" t="s">
        <v>1966</v>
      </c>
      <c r="H12" s="16">
        <v>1</v>
      </c>
      <c r="I12" s="8">
        <f>VLOOKUP(E12,Sheet13!$A$5:$C$33,2,FALSE)</f>
        <v>1</v>
      </c>
      <c r="J12" s="24">
        <f t="shared" si="0"/>
        <v>0</v>
      </c>
      <c r="K12" s="17">
        <v>1</v>
      </c>
      <c r="L12" s="8">
        <f>VLOOKUP(E12,Sheet13!$A$5:$C$33,3,FALSE)</f>
        <v>1</v>
      </c>
      <c r="M12" s="22">
        <f t="shared" si="1"/>
        <v>0</v>
      </c>
    </row>
    <row r="13" spans="1:13" x14ac:dyDescent="0.35">
      <c r="A13" s="2">
        <v>10</v>
      </c>
      <c r="B13" s="2" t="s">
        <v>1934</v>
      </c>
      <c r="C13" s="2">
        <v>128</v>
      </c>
      <c r="D13" s="2" t="s">
        <v>36</v>
      </c>
      <c r="E13" s="2">
        <v>5732</v>
      </c>
      <c r="F13" s="2"/>
      <c r="G13" s="2" t="s">
        <v>1967</v>
      </c>
      <c r="H13" s="16">
        <v>1</v>
      </c>
      <c r="I13" s="8">
        <f>VLOOKUP(E13,Sheet13!$A$5:$C$33,2,FALSE)</f>
        <v>1</v>
      </c>
      <c r="J13" s="24">
        <f t="shared" si="0"/>
        <v>0</v>
      </c>
      <c r="K13" s="17">
        <v>1</v>
      </c>
      <c r="L13" s="8">
        <f>VLOOKUP(E13,Sheet13!$A$5:$C$33,3,FALSE)</f>
        <v>1</v>
      </c>
      <c r="M13" s="22">
        <f t="shared" si="1"/>
        <v>0</v>
      </c>
    </row>
    <row r="14" spans="1:13" x14ac:dyDescent="0.35">
      <c r="A14" s="2">
        <v>11</v>
      </c>
      <c r="B14" s="2" t="s">
        <v>1934</v>
      </c>
      <c r="C14" s="2">
        <v>128</v>
      </c>
      <c r="D14" s="2" t="s">
        <v>36</v>
      </c>
      <c r="E14" s="2">
        <v>5730</v>
      </c>
      <c r="F14" s="2"/>
      <c r="G14" s="2" t="s">
        <v>1968</v>
      </c>
      <c r="H14" s="16">
        <v>1</v>
      </c>
      <c r="I14" s="8">
        <f>VLOOKUP(E14,Sheet13!$A$5:$C$33,2,FALSE)</f>
        <v>2</v>
      </c>
      <c r="J14" s="24">
        <f t="shared" si="0"/>
        <v>1</v>
      </c>
      <c r="K14" s="17">
        <v>1</v>
      </c>
      <c r="L14" s="8">
        <f>VLOOKUP(E14,Sheet13!$A$5:$C$33,3,FALSE)</f>
        <v>2</v>
      </c>
      <c r="M14" s="22">
        <f t="shared" si="1"/>
        <v>1</v>
      </c>
    </row>
    <row r="15" spans="1:13" x14ac:dyDescent="0.35">
      <c r="A15" s="2">
        <v>12</v>
      </c>
      <c r="B15" s="2" t="s">
        <v>1934</v>
      </c>
      <c r="C15" s="2">
        <v>128</v>
      </c>
      <c r="D15" s="2" t="s">
        <v>36</v>
      </c>
      <c r="E15" s="2">
        <v>5730</v>
      </c>
      <c r="F15" s="2"/>
      <c r="G15" s="2" t="s">
        <v>1969</v>
      </c>
      <c r="H15" s="16">
        <v>1</v>
      </c>
      <c r="I15" s="8">
        <f>VLOOKUP(E15,Sheet13!$A$5:$C$33,2,FALSE)</f>
        <v>2</v>
      </c>
      <c r="J15" s="24">
        <f t="shared" si="0"/>
        <v>1</v>
      </c>
      <c r="K15" s="17">
        <v>1</v>
      </c>
      <c r="L15" s="8">
        <f>VLOOKUP(E15,Sheet13!$A$5:$C$33,3,FALSE)</f>
        <v>2</v>
      </c>
      <c r="M15" s="22">
        <f t="shared" si="1"/>
        <v>1</v>
      </c>
    </row>
    <row r="16" spans="1:13" x14ac:dyDescent="0.35">
      <c r="A16" s="2">
        <v>13</v>
      </c>
      <c r="B16" s="2" t="s">
        <v>1934</v>
      </c>
      <c r="C16" s="2">
        <v>128</v>
      </c>
      <c r="D16" s="2" t="s">
        <v>36</v>
      </c>
      <c r="E16" s="2">
        <v>5729</v>
      </c>
      <c r="F16" s="2"/>
      <c r="G16" s="2" t="s">
        <v>1970</v>
      </c>
      <c r="H16" s="16">
        <v>1</v>
      </c>
      <c r="I16" s="8">
        <f>VLOOKUP(E16,Sheet13!$A$5:$C$33,2,FALSE)</f>
        <v>1</v>
      </c>
      <c r="J16" s="24">
        <f t="shared" si="0"/>
        <v>0</v>
      </c>
      <c r="K16" s="17">
        <v>1</v>
      </c>
      <c r="L16" s="8">
        <f>VLOOKUP(E16,Sheet13!$A$5:$C$33,3,FALSE)</f>
        <v>1</v>
      </c>
      <c r="M16" s="22">
        <f t="shared" si="1"/>
        <v>0</v>
      </c>
    </row>
    <row r="17" spans="1:14" x14ac:dyDescent="0.35">
      <c r="A17" s="2">
        <v>14</v>
      </c>
      <c r="B17" s="2" t="s">
        <v>1934</v>
      </c>
      <c r="C17" s="2">
        <v>128</v>
      </c>
      <c r="D17" s="2" t="s">
        <v>36</v>
      </c>
      <c r="E17" s="2">
        <v>5728</v>
      </c>
      <c r="F17" s="2"/>
      <c r="G17" s="2" t="s">
        <v>1971</v>
      </c>
      <c r="H17" s="16">
        <v>1</v>
      </c>
      <c r="I17" s="8">
        <f>VLOOKUP(E17,Sheet13!$A$5:$C$33,2,FALSE)</f>
        <v>1</v>
      </c>
      <c r="J17" s="24">
        <f t="shared" si="0"/>
        <v>0</v>
      </c>
      <c r="K17" s="17">
        <v>1</v>
      </c>
      <c r="L17" s="8">
        <f>VLOOKUP(E17,Sheet13!$A$5:$C$33,3,FALSE)</f>
        <v>1</v>
      </c>
      <c r="M17" s="22">
        <f t="shared" si="1"/>
        <v>0</v>
      </c>
    </row>
    <row r="18" spans="1:14" x14ac:dyDescent="0.35">
      <c r="A18" s="2">
        <v>15</v>
      </c>
      <c r="B18" s="2" t="s">
        <v>1934</v>
      </c>
      <c r="C18" s="2">
        <v>128</v>
      </c>
      <c r="D18" s="2" t="s">
        <v>36</v>
      </c>
      <c r="E18" s="2">
        <v>5727</v>
      </c>
      <c r="F18" s="2"/>
      <c r="G18" s="2" t="s">
        <v>1972</v>
      </c>
      <c r="H18" s="16">
        <v>1</v>
      </c>
      <c r="I18" s="8">
        <f>VLOOKUP(E18,Sheet13!$A$5:$C$33,2,FALSE)</f>
        <v>1</v>
      </c>
      <c r="J18" s="24">
        <f t="shared" si="0"/>
        <v>0</v>
      </c>
      <c r="K18" s="17">
        <v>1</v>
      </c>
      <c r="L18" s="8">
        <f>VLOOKUP(E18,Sheet13!$A$5:$C$33,3,FALSE)</f>
        <v>1</v>
      </c>
      <c r="M18" s="22">
        <f t="shared" si="1"/>
        <v>0</v>
      </c>
    </row>
    <row r="19" spans="1:14" x14ac:dyDescent="0.35">
      <c r="A19" s="2">
        <v>16</v>
      </c>
      <c r="B19" s="2" t="s">
        <v>1934</v>
      </c>
      <c r="C19" s="2">
        <v>607</v>
      </c>
      <c r="D19" s="2" t="s">
        <v>162</v>
      </c>
      <c r="E19" s="2">
        <v>5725</v>
      </c>
      <c r="F19" s="2"/>
      <c r="G19" s="2" t="s">
        <v>1973</v>
      </c>
      <c r="H19" s="16">
        <v>1</v>
      </c>
      <c r="I19" s="8">
        <f>VLOOKUP(E19,Sheet13!$A$5:$C$33,2,FALSE)</f>
        <v>1</v>
      </c>
      <c r="J19" s="24">
        <f t="shared" si="0"/>
        <v>0</v>
      </c>
      <c r="K19" s="17">
        <v>1</v>
      </c>
      <c r="L19" s="8">
        <f>VLOOKUP(E19,Sheet13!$A$5:$C$33,3,FALSE)</f>
        <v>1</v>
      </c>
      <c r="M19" s="22">
        <f t="shared" si="1"/>
        <v>0</v>
      </c>
    </row>
    <row r="20" spans="1:14" s="29" customFormat="1" x14ac:dyDescent="0.35">
      <c r="A20" s="25">
        <v>17</v>
      </c>
      <c r="B20" s="25" t="s">
        <v>1934</v>
      </c>
      <c r="C20" s="25">
        <v>160</v>
      </c>
      <c r="D20" s="25" t="s">
        <v>169</v>
      </c>
      <c r="E20" s="25">
        <v>5724</v>
      </c>
      <c r="F20" s="25"/>
      <c r="G20" s="25" t="s">
        <v>1974</v>
      </c>
      <c r="H20" s="26">
        <v>0</v>
      </c>
      <c r="I20" s="26">
        <v>0</v>
      </c>
      <c r="J20" s="27">
        <f t="shared" si="0"/>
        <v>0</v>
      </c>
      <c r="K20" s="26">
        <v>0</v>
      </c>
      <c r="L20" s="26">
        <v>0</v>
      </c>
      <c r="M20" s="28">
        <f t="shared" si="1"/>
        <v>0</v>
      </c>
    </row>
    <row r="21" spans="1:14" s="29" customFormat="1" x14ac:dyDescent="0.35">
      <c r="A21" s="25">
        <v>18</v>
      </c>
      <c r="B21" s="25" t="s">
        <v>1934</v>
      </c>
      <c r="C21" s="25">
        <v>129</v>
      </c>
      <c r="D21" s="25" t="s">
        <v>143</v>
      </c>
      <c r="E21" s="25">
        <v>5683</v>
      </c>
      <c r="F21" s="25"/>
      <c r="G21" s="25" t="s">
        <v>1975</v>
      </c>
      <c r="H21" s="26">
        <v>0</v>
      </c>
      <c r="I21" s="26">
        <v>0</v>
      </c>
      <c r="J21" s="27">
        <f t="shared" si="0"/>
        <v>0</v>
      </c>
      <c r="K21" s="26">
        <v>0</v>
      </c>
      <c r="L21" s="26">
        <v>0</v>
      </c>
      <c r="M21" s="28">
        <f t="shared" si="1"/>
        <v>0</v>
      </c>
      <c r="N21" s="29" t="s">
        <v>2217</v>
      </c>
    </row>
    <row r="22" spans="1:14" x14ac:dyDescent="0.35">
      <c r="A22" s="2">
        <v>19</v>
      </c>
      <c r="B22" s="2" t="s">
        <v>1934</v>
      </c>
      <c r="C22" s="2">
        <v>40</v>
      </c>
      <c r="D22" s="2" t="s">
        <v>78</v>
      </c>
      <c r="E22" s="2">
        <v>5675</v>
      </c>
      <c r="F22" s="2"/>
      <c r="G22" s="2" t="s">
        <v>1976</v>
      </c>
      <c r="H22" s="16">
        <v>1</v>
      </c>
      <c r="I22" s="8">
        <f>VLOOKUP(E22,Sheet13!$A$5:$C$33,2,FALSE)</f>
        <v>0</v>
      </c>
      <c r="J22" s="24">
        <f t="shared" si="0"/>
        <v>-1</v>
      </c>
      <c r="K22" s="17">
        <v>1</v>
      </c>
      <c r="L22" s="8">
        <f>VLOOKUP(E22,Sheet13!$A$5:$C$33,3,FALSE)</f>
        <v>1</v>
      </c>
      <c r="M22" s="22">
        <f t="shared" si="1"/>
        <v>0</v>
      </c>
    </row>
    <row r="23" spans="1:14" s="29" customFormat="1" x14ac:dyDescent="0.35">
      <c r="A23" s="25">
        <v>20</v>
      </c>
      <c r="B23" s="25" t="s">
        <v>1934</v>
      </c>
      <c r="C23" s="25">
        <v>179</v>
      </c>
      <c r="D23" s="25" t="s">
        <v>148</v>
      </c>
      <c r="E23" s="25">
        <v>5669</v>
      </c>
      <c r="F23" s="25"/>
      <c r="G23" s="25" t="s">
        <v>1977</v>
      </c>
      <c r="H23" s="26">
        <v>0</v>
      </c>
      <c r="I23" s="26">
        <v>0</v>
      </c>
      <c r="J23" s="27">
        <f t="shared" si="0"/>
        <v>0</v>
      </c>
      <c r="K23" s="26">
        <v>0</v>
      </c>
      <c r="L23" s="26">
        <v>0</v>
      </c>
      <c r="M23" s="28">
        <f t="shared" si="1"/>
        <v>0</v>
      </c>
    </row>
    <row r="24" spans="1:14" s="29" customFormat="1" x14ac:dyDescent="0.35">
      <c r="A24" s="25">
        <v>21</v>
      </c>
      <c r="B24" s="25" t="s">
        <v>1934</v>
      </c>
      <c r="C24" s="25">
        <v>20</v>
      </c>
      <c r="D24" s="25" t="s">
        <v>235</v>
      </c>
      <c r="E24" s="25">
        <v>5634</v>
      </c>
      <c r="F24" s="25"/>
      <c r="G24" s="25" t="s">
        <v>1978</v>
      </c>
      <c r="H24" s="26">
        <v>0</v>
      </c>
      <c r="I24" s="26">
        <v>0</v>
      </c>
      <c r="J24" s="27">
        <f t="shared" si="0"/>
        <v>0</v>
      </c>
      <c r="K24" s="26">
        <v>0</v>
      </c>
      <c r="L24" s="26">
        <v>0</v>
      </c>
      <c r="M24" s="28">
        <f t="shared" si="1"/>
        <v>0</v>
      </c>
    </row>
    <row r="25" spans="1:14" x14ac:dyDescent="0.35">
      <c r="A25" s="2">
        <v>22</v>
      </c>
      <c r="B25" s="2" t="s">
        <v>1934</v>
      </c>
      <c r="C25" s="2">
        <v>20</v>
      </c>
      <c r="D25" s="2" t="s">
        <v>235</v>
      </c>
      <c r="E25" s="2">
        <v>5628</v>
      </c>
      <c r="F25" s="2"/>
      <c r="G25" s="2" t="s">
        <v>1979</v>
      </c>
      <c r="H25" s="16">
        <v>1</v>
      </c>
      <c r="I25" s="8">
        <f>VLOOKUP(E25,Sheet13!$A$5:$C$33,2,FALSE)</f>
        <v>0</v>
      </c>
      <c r="J25" s="24">
        <f t="shared" si="0"/>
        <v>-1</v>
      </c>
      <c r="K25" s="17">
        <v>1</v>
      </c>
      <c r="L25" s="8">
        <f>VLOOKUP(E25,Sheet13!$A$5:$C$33,3,FALSE)</f>
        <v>1</v>
      </c>
      <c r="M25" s="22">
        <f t="shared" si="1"/>
        <v>0</v>
      </c>
    </row>
    <row r="26" spans="1:14" x14ac:dyDescent="0.35">
      <c r="A26" s="2">
        <v>23</v>
      </c>
      <c r="B26" s="2" t="s">
        <v>1934</v>
      </c>
      <c r="C26" s="2">
        <v>8</v>
      </c>
      <c r="D26" s="2" t="s">
        <v>62</v>
      </c>
      <c r="E26" s="2">
        <v>5611</v>
      </c>
      <c r="F26" s="2"/>
      <c r="G26" s="2" t="s">
        <v>1980</v>
      </c>
      <c r="H26" s="16">
        <v>1</v>
      </c>
      <c r="I26" s="8">
        <f>VLOOKUP(E26,Sheet13!$A$5:$C$33,2,FALSE)</f>
        <v>1</v>
      </c>
      <c r="J26" s="24">
        <f t="shared" si="0"/>
        <v>0</v>
      </c>
      <c r="K26" s="17">
        <v>1</v>
      </c>
      <c r="L26" s="8">
        <f>VLOOKUP(E26,Sheet13!$A$5:$C$33,3,FALSE)</f>
        <v>1</v>
      </c>
      <c r="M26" s="22">
        <f t="shared" si="1"/>
        <v>0</v>
      </c>
    </row>
    <row r="27" spans="1:14" x14ac:dyDescent="0.35">
      <c r="A27" s="2">
        <v>24</v>
      </c>
      <c r="B27" s="2" t="s">
        <v>1934</v>
      </c>
      <c r="C27" s="2">
        <v>8</v>
      </c>
      <c r="D27" s="2" t="s">
        <v>62</v>
      </c>
      <c r="E27" s="2">
        <v>5609</v>
      </c>
      <c r="F27" s="2"/>
      <c r="G27" s="2" t="s">
        <v>1981</v>
      </c>
      <c r="H27" s="16">
        <v>1</v>
      </c>
      <c r="I27" s="8">
        <f>VLOOKUP(E27,Sheet13!$A$5:$C$33,2,FALSE)</f>
        <v>1</v>
      </c>
      <c r="J27" s="24">
        <f t="shared" si="0"/>
        <v>0</v>
      </c>
      <c r="K27" s="17">
        <v>1</v>
      </c>
      <c r="L27" s="8">
        <f>VLOOKUP(E27,Sheet13!$A$5:$C$33,3,FALSE)</f>
        <v>1</v>
      </c>
      <c r="M27" s="22">
        <f t="shared" si="1"/>
        <v>0</v>
      </c>
    </row>
    <row r="28" spans="1:14" x14ac:dyDescent="0.35">
      <c r="A28" s="2">
        <v>25</v>
      </c>
      <c r="B28" s="2" t="s">
        <v>1934</v>
      </c>
      <c r="C28" s="2">
        <v>8</v>
      </c>
      <c r="D28" s="2" t="s">
        <v>62</v>
      </c>
      <c r="E28" s="2">
        <v>5605</v>
      </c>
      <c r="F28" s="2"/>
      <c r="G28" s="2" t="s">
        <v>1982</v>
      </c>
      <c r="H28" s="16">
        <v>1</v>
      </c>
      <c r="I28" s="8">
        <f>VLOOKUP(E28,Sheet13!$A$5:$C$33,2,FALSE)</f>
        <v>1</v>
      </c>
      <c r="J28" s="24">
        <f t="shared" si="0"/>
        <v>0</v>
      </c>
      <c r="K28" s="17">
        <v>1</v>
      </c>
      <c r="L28" s="8">
        <f>VLOOKUP(E28,Sheet13!$A$5:$C$33,3,FALSE)</f>
        <v>1</v>
      </c>
      <c r="M28" s="22">
        <f t="shared" si="1"/>
        <v>0</v>
      </c>
    </row>
    <row r="29" spans="1:14" x14ac:dyDescent="0.35">
      <c r="A29" s="2">
        <v>26</v>
      </c>
      <c r="B29" s="2" t="s">
        <v>1934</v>
      </c>
      <c r="C29" s="2">
        <v>604</v>
      </c>
      <c r="D29" s="2" t="s">
        <v>232</v>
      </c>
      <c r="E29" s="2">
        <v>5604</v>
      </c>
      <c r="F29" s="2"/>
      <c r="G29" s="2" t="s">
        <v>1983</v>
      </c>
      <c r="H29" s="16">
        <v>1</v>
      </c>
      <c r="I29" s="8">
        <f>VLOOKUP(E29,Sheet13!$A$5:$C$33,2,FALSE)</f>
        <v>1</v>
      </c>
      <c r="J29" s="24">
        <f t="shared" si="0"/>
        <v>0</v>
      </c>
      <c r="K29" s="17">
        <v>1</v>
      </c>
      <c r="L29" s="8">
        <f>VLOOKUP(E29,Sheet13!$A$5:$C$33,3,FALSE)</f>
        <v>1</v>
      </c>
      <c r="M29" s="22">
        <f t="shared" si="1"/>
        <v>0</v>
      </c>
    </row>
    <row r="30" spans="1:14" s="29" customFormat="1" x14ac:dyDescent="0.35">
      <c r="A30" s="25">
        <v>27</v>
      </c>
      <c r="B30" s="25" t="s">
        <v>1934</v>
      </c>
      <c r="C30" s="25">
        <v>275</v>
      </c>
      <c r="D30" s="25" t="s">
        <v>354</v>
      </c>
      <c r="E30" s="25">
        <v>5602</v>
      </c>
      <c r="F30" s="25"/>
      <c r="G30" s="25" t="s">
        <v>1984</v>
      </c>
      <c r="H30" s="26">
        <v>0</v>
      </c>
      <c r="I30" s="26">
        <v>0</v>
      </c>
      <c r="J30" s="27">
        <f t="shared" si="0"/>
        <v>0</v>
      </c>
      <c r="K30" s="26">
        <v>0</v>
      </c>
      <c r="L30" s="26">
        <v>0</v>
      </c>
      <c r="M30" s="28">
        <f t="shared" si="1"/>
        <v>0</v>
      </c>
    </row>
    <row r="31" spans="1:14" s="29" customFormat="1" x14ac:dyDescent="0.35">
      <c r="A31" s="25">
        <v>28</v>
      </c>
      <c r="B31" s="25" t="s">
        <v>1934</v>
      </c>
      <c r="C31" s="25">
        <v>184</v>
      </c>
      <c r="D31" s="25" t="s">
        <v>123</v>
      </c>
      <c r="E31" s="25">
        <v>3557</v>
      </c>
      <c r="F31" s="25"/>
      <c r="G31" s="25" t="s">
        <v>1985</v>
      </c>
      <c r="H31" s="26">
        <v>0</v>
      </c>
      <c r="I31" s="26">
        <v>0</v>
      </c>
      <c r="J31" s="27">
        <f t="shared" si="0"/>
        <v>0</v>
      </c>
      <c r="K31" s="26">
        <v>0</v>
      </c>
      <c r="L31" s="26">
        <v>0</v>
      </c>
      <c r="M31" s="28">
        <f t="shared" si="1"/>
        <v>0</v>
      </c>
    </row>
    <row r="32" spans="1:14" x14ac:dyDescent="0.35">
      <c r="A32" s="2">
        <v>29</v>
      </c>
      <c r="B32" s="2" t="s">
        <v>1934</v>
      </c>
      <c r="C32" s="2">
        <v>607</v>
      </c>
      <c r="D32" s="2" t="s">
        <v>162</v>
      </c>
      <c r="E32" s="2">
        <v>3554</v>
      </c>
      <c r="F32" s="2"/>
      <c r="G32" s="2" t="s">
        <v>1986</v>
      </c>
      <c r="H32" s="16">
        <v>1</v>
      </c>
      <c r="I32" s="8">
        <f>VLOOKUP(E32,Sheet13!$A$5:$C$33,2,FALSE)</f>
        <v>1</v>
      </c>
      <c r="J32" s="24">
        <f t="shared" si="0"/>
        <v>0</v>
      </c>
      <c r="K32" s="17">
        <v>1</v>
      </c>
      <c r="L32" s="8">
        <f>VLOOKUP(E32,Sheet13!$A$5:$C$33,3,FALSE)</f>
        <v>1</v>
      </c>
      <c r="M32" s="22">
        <f t="shared" si="1"/>
        <v>0</v>
      </c>
    </row>
    <row r="33" spans="1:13" x14ac:dyDescent="0.35">
      <c r="A33" s="2">
        <v>30</v>
      </c>
      <c r="B33" s="2" t="s">
        <v>1934</v>
      </c>
      <c r="C33" s="2">
        <v>40</v>
      </c>
      <c r="D33" s="2" t="s">
        <v>78</v>
      </c>
      <c r="E33" s="2">
        <v>3550</v>
      </c>
      <c r="F33" s="2"/>
      <c r="G33" s="2" t="s">
        <v>1987</v>
      </c>
      <c r="H33" s="16">
        <v>1</v>
      </c>
      <c r="I33" s="8">
        <f>VLOOKUP(E33,Sheet13!$A$5:$C$33,2,FALSE)</f>
        <v>1</v>
      </c>
      <c r="J33" s="24">
        <f t="shared" si="0"/>
        <v>0</v>
      </c>
      <c r="K33" s="17">
        <v>1</v>
      </c>
      <c r="L33" s="8">
        <f>VLOOKUP(E33,Sheet13!$A$5:$C$33,3,FALSE)</f>
        <v>1</v>
      </c>
      <c r="M33" s="22">
        <f t="shared" si="1"/>
        <v>0</v>
      </c>
    </row>
    <row r="34" spans="1:13" x14ac:dyDescent="0.35">
      <c r="A34" s="2">
        <v>31</v>
      </c>
      <c r="B34" s="2" t="s">
        <v>1934</v>
      </c>
      <c r="C34" s="2">
        <v>63</v>
      </c>
      <c r="D34" s="2" t="s">
        <v>246</v>
      </c>
      <c r="E34" s="2">
        <v>3397</v>
      </c>
      <c r="F34" s="2"/>
      <c r="G34" s="2" t="s">
        <v>1988</v>
      </c>
      <c r="H34" s="16">
        <v>1</v>
      </c>
      <c r="I34" s="8">
        <f>VLOOKUP(E34,Sheet13!$A$5:$C$33,2,FALSE)</f>
        <v>1</v>
      </c>
      <c r="J34" s="24">
        <f t="shared" si="0"/>
        <v>0</v>
      </c>
      <c r="K34" s="17">
        <v>1</v>
      </c>
      <c r="L34" s="8">
        <f>VLOOKUP(E34,Sheet13!$A$5:$C$33,3,FALSE)</f>
        <v>1</v>
      </c>
      <c r="M34" s="22">
        <f t="shared" si="1"/>
        <v>0</v>
      </c>
    </row>
    <row r="35" spans="1:13" x14ac:dyDescent="0.35">
      <c r="A35" s="2">
        <v>32</v>
      </c>
      <c r="B35" s="2" t="s">
        <v>1934</v>
      </c>
      <c r="C35" s="2">
        <v>607</v>
      </c>
      <c r="D35" s="2" t="s">
        <v>162</v>
      </c>
      <c r="E35" s="2">
        <v>3395</v>
      </c>
      <c r="F35" s="2"/>
      <c r="G35" s="2" t="s">
        <v>1989</v>
      </c>
      <c r="H35" s="16">
        <v>1</v>
      </c>
      <c r="I35" s="8">
        <f>VLOOKUP(E35,Sheet13!$A$5:$C$33,2,FALSE)</f>
        <v>1</v>
      </c>
      <c r="J35" s="24">
        <f t="shared" si="0"/>
        <v>0</v>
      </c>
      <c r="K35" s="17">
        <v>1</v>
      </c>
      <c r="L35" s="8">
        <f>VLOOKUP(E35,Sheet13!$A$5:$C$33,3,FALSE)</f>
        <v>1</v>
      </c>
      <c r="M35" s="22">
        <f t="shared" si="1"/>
        <v>0</v>
      </c>
    </row>
    <row r="36" spans="1:13" x14ac:dyDescent="0.35">
      <c r="A36" s="2">
        <v>33</v>
      </c>
      <c r="B36" s="2" t="s">
        <v>1934</v>
      </c>
      <c r="C36" s="2">
        <v>40</v>
      </c>
      <c r="D36" s="2" t="s">
        <v>78</v>
      </c>
      <c r="E36" s="2">
        <v>3393</v>
      </c>
      <c r="F36" s="2"/>
      <c r="G36" s="2" t="s">
        <v>1990</v>
      </c>
      <c r="H36" s="16">
        <v>1</v>
      </c>
      <c r="I36" s="8">
        <f>VLOOKUP(E36,Sheet13!$A$5:$C$33,2,FALSE)</f>
        <v>1</v>
      </c>
      <c r="J36" s="24">
        <f t="shared" si="0"/>
        <v>0</v>
      </c>
      <c r="K36" s="17">
        <v>1</v>
      </c>
      <c r="L36" s="8">
        <f>VLOOKUP(E36,Sheet13!$A$5:$C$33,3,FALSE)</f>
        <v>1</v>
      </c>
      <c r="M36" s="22">
        <f t="shared" si="1"/>
        <v>0</v>
      </c>
    </row>
    <row r="37" spans="1:13" x14ac:dyDescent="0.35">
      <c r="A37" s="2">
        <v>34</v>
      </c>
      <c r="B37" s="2" t="s">
        <v>1934</v>
      </c>
      <c r="C37" s="2">
        <v>275</v>
      </c>
      <c r="D37" s="2" t="s">
        <v>354</v>
      </c>
      <c r="E37" s="2">
        <v>3388</v>
      </c>
      <c r="F37" s="2"/>
      <c r="G37" s="2" t="s">
        <v>1991</v>
      </c>
      <c r="H37" s="16">
        <v>1</v>
      </c>
      <c r="I37" s="8">
        <f>VLOOKUP(E37,Sheet13!$A$5:$C$33,2,FALSE)</f>
        <v>1</v>
      </c>
      <c r="J37" s="24">
        <f t="shared" si="0"/>
        <v>0</v>
      </c>
      <c r="K37" s="17">
        <v>1</v>
      </c>
      <c r="L37" s="8">
        <f>VLOOKUP(E37,Sheet13!$A$5:$C$33,3,FALSE)</f>
        <v>1</v>
      </c>
      <c r="M37" s="22">
        <f t="shared" si="1"/>
        <v>0</v>
      </c>
    </row>
    <row r="38" spans="1:13" x14ac:dyDescent="0.35">
      <c r="A38" s="2">
        <v>35</v>
      </c>
      <c r="B38" s="2" t="s">
        <v>1934</v>
      </c>
      <c r="C38" s="2">
        <v>604</v>
      </c>
      <c r="D38" s="2" t="s">
        <v>232</v>
      </c>
      <c r="E38" s="2">
        <v>3373</v>
      </c>
      <c r="F38" s="2"/>
      <c r="G38" s="2" t="s">
        <v>1992</v>
      </c>
      <c r="H38" s="16">
        <v>1</v>
      </c>
      <c r="I38" s="8">
        <f>VLOOKUP(E38,Sheet13!$A$5:$C$33,2,FALSE)</f>
        <v>1</v>
      </c>
      <c r="J38" s="24">
        <f t="shared" si="0"/>
        <v>0</v>
      </c>
      <c r="K38" s="17">
        <v>1</v>
      </c>
      <c r="L38" s="8">
        <f>VLOOKUP(E38,Sheet13!$A$5:$C$33,3,FALSE)</f>
        <v>1</v>
      </c>
      <c r="M38" s="22">
        <f t="shared" si="1"/>
        <v>0</v>
      </c>
    </row>
    <row r="39" spans="1:13" x14ac:dyDescent="0.35">
      <c r="A39" s="2">
        <v>36</v>
      </c>
      <c r="B39" s="2" t="s">
        <v>1934</v>
      </c>
      <c r="C39" s="2">
        <v>8</v>
      </c>
      <c r="D39" s="2" t="s">
        <v>62</v>
      </c>
      <c r="E39" s="2">
        <v>3286</v>
      </c>
      <c r="F39" s="2"/>
      <c r="G39" s="2" t="s">
        <v>1993</v>
      </c>
      <c r="H39" s="16">
        <v>1</v>
      </c>
      <c r="I39" s="8">
        <f>VLOOKUP(E39,Sheet13!$A$5:$C$33,2,FALSE)</f>
        <v>1</v>
      </c>
      <c r="J39" s="24">
        <f t="shared" si="0"/>
        <v>0</v>
      </c>
      <c r="K39" s="17">
        <v>1</v>
      </c>
      <c r="L39" s="8">
        <f>VLOOKUP(E39,Sheet13!$A$5:$C$33,3,FALSE)</f>
        <v>1</v>
      </c>
      <c r="M39" s="22">
        <f t="shared" si="1"/>
        <v>0</v>
      </c>
    </row>
    <row r="40" spans="1:13" x14ac:dyDescent="0.35">
      <c r="A40" s="2">
        <v>37</v>
      </c>
      <c r="B40" s="2" t="s">
        <v>1934</v>
      </c>
      <c r="C40" s="2">
        <v>342</v>
      </c>
      <c r="D40" s="2" t="s">
        <v>57</v>
      </c>
      <c r="E40" s="2">
        <v>7043</v>
      </c>
      <c r="F40" s="2"/>
      <c r="G40" s="2" t="s">
        <v>1994</v>
      </c>
      <c r="H40" s="16">
        <v>0</v>
      </c>
      <c r="I40" s="26">
        <v>0</v>
      </c>
      <c r="J40" s="24">
        <f t="shared" si="0"/>
        <v>0</v>
      </c>
      <c r="K40" s="17">
        <v>0</v>
      </c>
      <c r="L40" s="26">
        <v>0</v>
      </c>
      <c r="M40" s="22">
        <f t="shared" si="1"/>
        <v>0</v>
      </c>
    </row>
    <row r="41" spans="1:13" x14ac:dyDescent="0.35">
      <c r="A41" s="2">
        <v>38</v>
      </c>
      <c r="B41" s="2" t="s">
        <v>1934</v>
      </c>
      <c r="C41" s="2">
        <v>59</v>
      </c>
      <c r="D41" s="2" t="s">
        <v>73</v>
      </c>
      <c r="E41" s="2">
        <v>7017</v>
      </c>
      <c r="F41" s="2"/>
      <c r="G41" s="2" t="s">
        <v>1995</v>
      </c>
      <c r="H41" s="16">
        <v>0</v>
      </c>
      <c r="I41" s="26">
        <v>0</v>
      </c>
      <c r="J41" s="24">
        <f t="shared" si="0"/>
        <v>0</v>
      </c>
      <c r="K41" s="17">
        <v>0</v>
      </c>
      <c r="L41" s="26">
        <v>0</v>
      </c>
      <c r="M41" s="22">
        <f t="shared" si="1"/>
        <v>0</v>
      </c>
    </row>
    <row r="42" spans="1:13" x14ac:dyDescent="0.35">
      <c r="A42" s="2">
        <v>39</v>
      </c>
      <c r="B42" s="2" t="s">
        <v>1934</v>
      </c>
      <c r="C42" s="2">
        <v>59</v>
      </c>
      <c r="D42" s="2" t="s">
        <v>73</v>
      </c>
      <c r="E42" s="2">
        <v>5759</v>
      </c>
      <c r="F42" s="2"/>
      <c r="G42" s="2" t="s">
        <v>1996</v>
      </c>
      <c r="H42" s="16">
        <v>0</v>
      </c>
      <c r="I42" s="26">
        <v>0</v>
      </c>
      <c r="J42" s="24">
        <f t="shared" si="0"/>
        <v>0</v>
      </c>
      <c r="K42" s="17">
        <v>0</v>
      </c>
      <c r="L42" s="26">
        <v>0</v>
      </c>
      <c r="M42" s="22">
        <f t="shared" si="1"/>
        <v>0</v>
      </c>
    </row>
    <row r="43" spans="1:13" x14ac:dyDescent="0.35">
      <c r="A43" s="2">
        <v>40</v>
      </c>
      <c r="B43" s="2" t="s">
        <v>1934</v>
      </c>
      <c r="C43" s="2">
        <v>342</v>
      </c>
      <c r="D43" s="2" t="s">
        <v>57</v>
      </c>
      <c r="E43" s="2">
        <v>5741</v>
      </c>
      <c r="F43" s="2"/>
      <c r="G43" s="2" t="s">
        <v>1997</v>
      </c>
      <c r="H43" s="16">
        <v>0</v>
      </c>
      <c r="I43" s="26">
        <v>0</v>
      </c>
      <c r="J43" s="24">
        <f t="shared" si="0"/>
        <v>0</v>
      </c>
      <c r="K43" s="17">
        <v>0</v>
      </c>
      <c r="L43" s="26">
        <v>0</v>
      </c>
      <c r="M43" s="22">
        <f t="shared" si="1"/>
        <v>0</v>
      </c>
    </row>
    <row r="44" spans="1:13" x14ac:dyDescent="0.35">
      <c r="A44" s="2">
        <v>41</v>
      </c>
      <c r="B44" s="2" t="s">
        <v>1934</v>
      </c>
      <c r="C44" s="2">
        <v>342</v>
      </c>
      <c r="D44" s="2" t="s">
        <v>57</v>
      </c>
      <c r="E44" s="2">
        <v>5751</v>
      </c>
      <c r="F44" s="2"/>
      <c r="G44" s="2" t="s">
        <v>1998</v>
      </c>
      <c r="H44" s="16">
        <v>0</v>
      </c>
      <c r="I44" s="26">
        <v>0</v>
      </c>
      <c r="J44" s="24">
        <f t="shared" si="0"/>
        <v>0</v>
      </c>
      <c r="K44" s="17">
        <v>0</v>
      </c>
      <c r="L44" s="26">
        <v>0</v>
      </c>
      <c r="M44" s="22">
        <f t="shared" si="1"/>
        <v>0</v>
      </c>
    </row>
    <row r="45" spans="1:13" x14ac:dyDescent="0.35">
      <c r="A45" s="2">
        <v>42</v>
      </c>
      <c r="B45" s="2" t="s">
        <v>1934</v>
      </c>
      <c r="C45" s="2">
        <v>342</v>
      </c>
      <c r="D45" s="2" t="s">
        <v>57</v>
      </c>
      <c r="E45" s="2">
        <v>5754</v>
      </c>
      <c r="F45" s="2"/>
      <c r="G45" s="2" t="s">
        <v>1999</v>
      </c>
      <c r="H45" s="16">
        <v>0</v>
      </c>
      <c r="I45" s="26">
        <v>0</v>
      </c>
      <c r="J45" s="24">
        <f t="shared" si="0"/>
        <v>0</v>
      </c>
      <c r="K45" s="17">
        <v>0</v>
      </c>
      <c r="L45" s="26">
        <v>0</v>
      </c>
      <c r="M45" s="22">
        <f t="shared" si="1"/>
        <v>0</v>
      </c>
    </row>
    <row r="46" spans="1:13" x14ac:dyDescent="0.35">
      <c r="A46" s="2">
        <v>43</v>
      </c>
      <c r="B46" s="2" t="s">
        <v>1934</v>
      </c>
      <c r="C46" s="2">
        <v>59</v>
      </c>
      <c r="D46" s="2" t="s">
        <v>73</v>
      </c>
      <c r="E46" s="2">
        <v>5760</v>
      </c>
      <c r="F46" s="2"/>
      <c r="G46" s="2" t="s">
        <v>2000</v>
      </c>
      <c r="H46" s="16">
        <v>0</v>
      </c>
      <c r="I46" s="26">
        <v>0</v>
      </c>
      <c r="J46" s="24">
        <f t="shared" si="0"/>
        <v>0</v>
      </c>
      <c r="K46" s="17">
        <v>0</v>
      </c>
      <c r="L46" s="26">
        <v>0</v>
      </c>
      <c r="M46" s="22">
        <f t="shared" si="1"/>
        <v>0</v>
      </c>
    </row>
    <row r="47" spans="1:13" x14ac:dyDescent="0.35">
      <c r="A47" s="2">
        <v>44</v>
      </c>
      <c r="B47" s="2" t="s">
        <v>1934</v>
      </c>
      <c r="C47" s="2">
        <v>59</v>
      </c>
      <c r="D47" s="2" t="s">
        <v>73</v>
      </c>
      <c r="E47" s="2">
        <v>7053</v>
      </c>
      <c r="F47" s="2"/>
      <c r="G47" s="2" t="s">
        <v>2001</v>
      </c>
      <c r="H47" s="16">
        <v>0</v>
      </c>
      <c r="I47" s="26">
        <v>0</v>
      </c>
      <c r="J47" s="24">
        <f t="shared" si="0"/>
        <v>0</v>
      </c>
      <c r="K47" s="17">
        <v>0</v>
      </c>
      <c r="L47" s="26">
        <v>0</v>
      </c>
      <c r="M47" s="22">
        <f t="shared" si="1"/>
        <v>0</v>
      </c>
    </row>
    <row r="48" spans="1:13" x14ac:dyDescent="0.35">
      <c r="A48" s="2">
        <v>45</v>
      </c>
      <c r="B48" s="2" t="s">
        <v>1934</v>
      </c>
      <c r="C48" s="2">
        <v>164</v>
      </c>
      <c r="D48" s="2" t="s">
        <v>87</v>
      </c>
      <c r="E48" s="2">
        <v>7246</v>
      </c>
      <c r="F48" s="2"/>
      <c r="G48" s="2" t="s">
        <v>2002</v>
      </c>
      <c r="H48" s="16">
        <v>0</v>
      </c>
      <c r="I48" s="26">
        <v>0</v>
      </c>
      <c r="J48" s="24">
        <f t="shared" si="0"/>
        <v>0</v>
      </c>
      <c r="K48" s="17">
        <v>0</v>
      </c>
      <c r="L48" s="26">
        <v>0</v>
      </c>
      <c r="M48" s="22">
        <f t="shared" si="1"/>
        <v>0</v>
      </c>
    </row>
    <row r="49" spans="1:13" x14ac:dyDescent="0.35">
      <c r="A49" s="2">
        <v>46</v>
      </c>
      <c r="B49" s="2" t="s">
        <v>1934</v>
      </c>
      <c r="C49" s="2">
        <v>59</v>
      </c>
      <c r="D49" s="2" t="s">
        <v>73</v>
      </c>
      <c r="E49" s="2">
        <v>5748</v>
      </c>
      <c r="F49" s="2"/>
      <c r="G49" s="2" t="s">
        <v>2003</v>
      </c>
      <c r="H49" s="16">
        <v>0</v>
      </c>
      <c r="I49" s="26">
        <v>0</v>
      </c>
      <c r="J49" s="24">
        <f t="shared" si="0"/>
        <v>0</v>
      </c>
      <c r="K49" s="17">
        <v>0</v>
      </c>
      <c r="L49" s="26">
        <v>0</v>
      </c>
      <c r="M49" s="22">
        <f t="shared" si="1"/>
        <v>0</v>
      </c>
    </row>
    <row r="50" spans="1:13" x14ac:dyDescent="0.35">
      <c r="A50" s="2">
        <v>47</v>
      </c>
      <c r="B50" s="2" t="s">
        <v>1934</v>
      </c>
      <c r="C50" s="2">
        <v>342</v>
      </c>
      <c r="D50" s="2" t="s">
        <v>57</v>
      </c>
      <c r="E50" s="2">
        <v>5744</v>
      </c>
      <c r="F50" s="2"/>
      <c r="G50" s="2" t="s">
        <v>2004</v>
      </c>
      <c r="H50" s="16">
        <v>0</v>
      </c>
      <c r="I50" s="26">
        <v>0</v>
      </c>
      <c r="J50" s="24">
        <f t="shared" si="0"/>
        <v>0</v>
      </c>
      <c r="K50" s="17">
        <v>0</v>
      </c>
      <c r="L50" s="26">
        <v>0</v>
      </c>
      <c r="M50" s="22">
        <f t="shared" si="1"/>
        <v>0</v>
      </c>
    </row>
    <row r="51" spans="1:13" x14ac:dyDescent="0.35">
      <c r="A51" s="2">
        <v>48</v>
      </c>
      <c r="B51" s="2" t="s">
        <v>1934</v>
      </c>
      <c r="C51" s="2">
        <v>324</v>
      </c>
      <c r="D51" s="2" t="s">
        <v>51</v>
      </c>
      <c r="E51" s="2">
        <v>8154</v>
      </c>
      <c r="F51" s="2"/>
      <c r="G51" s="2" t="s">
        <v>2005</v>
      </c>
      <c r="H51" s="16">
        <v>0</v>
      </c>
      <c r="I51" s="26">
        <v>0</v>
      </c>
      <c r="J51" s="24">
        <f t="shared" si="0"/>
        <v>0</v>
      </c>
      <c r="K51" s="17">
        <v>0</v>
      </c>
      <c r="L51" s="26">
        <v>0</v>
      </c>
      <c r="M51" s="22">
        <f t="shared" si="1"/>
        <v>0</v>
      </c>
    </row>
    <row r="52" spans="1:13" x14ac:dyDescent="0.35">
      <c r="A52" s="2">
        <v>49</v>
      </c>
      <c r="B52" s="2" t="s">
        <v>1934</v>
      </c>
      <c r="C52" s="2">
        <v>184</v>
      </c>
      <c r="D52" s="2" t="s">
        <v>123</v>
      </c>
      <c r="E52" s="2">
        <v>7107</v>
      </c>
      <c r="F52" s="2"/>
      <c r="G52" s="2" t="s">
        <v>2006</v>
      </c>
      <c r="H52" s="16">
        <v>0</v>
      </c>
      <c r="I52" s="26">
        <v>0</v>
      </c>
      <c r="J52" s="24">
        <f t="shared" si="0"/>
        <v>0</v>
      </c>
      <c r="K52" s="17">
        <v>0</v>
      </c>
      <c r="L52" s="26">
        <v>0</v>
      </c>
      <c r="M52" s="22">
        <f t="shared" si="1"/>
        <v>0</v>
      </c>
    </row>
    <row r="53" spans="1:13" x14ac:dyDescent="0.35">
      <c r="A53" s="2">
        <v>50</v>
      </c>
      <c r="B53" s="2" t="s">
        <v>1934</v>
      </c>
      <c r="C53" s="2">
        <v>160</v>
      </c>
      <c r="D53" s="2" t="s">
        <v>169</v>
      </c>
      <c r="E53" s="2">
        <v>7771</v>
      </c>
      <c r="F53" s="2"/>
      <c r="G53" s="2" t="s">
        <v>2007</v>
      </c>
      <c r="H53" s="16">
        <v>0</v>
      </c>
      <c r="I53" s="26">
        <v>0</v>
      </c>
      <c r="J53" s="24">
        <f t="shared" si="0"/>
        <v>0</v>
      </c>
      <c r="K53" s="17">
        <v>0</v>
      </c>
      <c r="L53" s="26">
        <v>0</v>
      </c>
      <c r="M53" s="22">
        <f t="shared" si="1"/>
        <v>0</v>
      </c>
    </row>
    <row r="54" spans="1:13" x14ac:dyDescent="0.35">
      <c r="A54" s="2">
        <v>51</v>
      </c>
      <c r="B54" s="2" t="s">
        <v>1934</v>
      </c>
      <c r="C54" s="2">
        <v>30</v>
      </c>
      <c r="D54" s="2" t="s">
        <v>22</v>
      </c>
      <c r="E54" s="2">
        <v>5639</v>
      </c>
      <c r="F54" s="2"/>
      <c r="G54" s="2" t="s">
        <v>2008</v>
      </c>
      <c r="H54" s="16">
        <v>0</v>
      </c>
      <c r="I54" s="26">
        <v>0</v>
      </c>
      <c r="J54" s="24">
        <f t="shared" si="0"/>
        <v>0</v>
      </c>
      <c r="K54" s="17">
        <v>0</v>
      </c>
      <c r="L54" s="26">
        <v>0</v>
      </c>
      <c r="M54" s="22">
        <f t="shared" si="1"/>
        <v>0</v>
      </c>
    </row>
    <row r="55" spans="1:13" x14ac:dyDescent="0.35">
      <c r="A55" s="2">
        <v>52</v>
      </c>
      <c r="B55" s="2" t="s">
        <v>1934</v>
      </c>
      <c r="C55" s="2">
        <v>30</v>
      </c>
      <c r="D55" s="2" t="s">
        <v>22</v>
      </c>
      <c r="E55" s="2">
        <v>7752</v>
      </c>
      <c r="F55" s="2"/>
      <c r="G55" s="2" t="s">
        <v>2009</v>
      </c>
      <c r="H55" s="16">
        <v>0</v>
      </c>
      <c r="I55" s="26">
        <v>0</v>
      </c>
      <c r="J55" s="24">
        <f t="shared" si="0"/>
        <v>0</v>
      </c>
      <c r="K55" s="17">
        <v>0</v>
      </c>
      <c r="L55" s="26">
        <v>0</v>
      </c>
      <c r="M55" s="22">
        <f t="shared" si="1"/>
        <v>0</v>
      </c>
    </row>
    <row r="56" spans="1:13" x14ac:dyDescent="0.35">
      <c r="A56" s="2">
        <v>53</v>
      </c>
      <c r="B56" s="2" t="s">
        <v>1934</v>
      </c>
      <c r="C56" s="2">
        <v>342</v>
      </c>
      <c r="D56" s="2" t="s">
        <v>57</v>
      </c>
      <c r="E56" s="2">
        <v>5752</v>
      </c>
      <c r="F56" s="2"/>
      <c r="G56" s="2" t="s">
        <v>2010</v>
      </c>
      <c r="H56" s="16">
        <v>0</v>
      </c>
      <c r="I56" s="26">
        <v>0</v>
      </c>
      <c r="J56" s="24">
        <f t="shared" si="0"/>
        <v>0</v>
      </c>
      <c r="K56" s="17">
        <v>0</v>
      </c>
      <c r="L56" s="26">
        <v>0</v>
      </c>
      <c r="M56" s="22">
        <f t="shared" si="1"/>
        <v>0</v>
      </c>
    </row>
    <row r="57" spans="1:13" x14ac:dyDescent="0.35">
      <c r="A57" s="2">
        <v>54</v>
      </c>
      <c r="B57" s="2" t="s">
        <v>1934</v>
      </c>
      <c r="C57" s="2">
        <v>131</v>
      </c>
      <c r="D57" s="2" t="s">
        <v>128</v>
      </c>
      <c r="E57" s="2">
        <v>7916</v>
      </c>
      <c r="F57" s="2"/>
      <c r="G57" s="2" t="s">
        <v>2011</v>
      </c>
      <c r="H57" s="16">
        <v>1</v>
      </c>
      <c r="I57" s="8">
        <f>VLOOKUP(E57,Sheet14!$A$5:$C$221,2,FALSE)</f>
        <v>1</v>
      </c>
      <c r="J57" s="24">
        <f t="shared" si="0"/>
        <v>0</v>
      </c>
      <c r="K57" s="17">
        <v>1</v>
      </c>
      <c r="L57" s="8">
        <f>VLOOKUP(E57,Sheet14!$A$5:$C$221,3,FALSE)</f>
        <v>1</v>
      </c>
      <c r="M57" s="22">
        <f t="shared" si="1"/>
        <v>0</v>
      </c>
    </row>
    <row r="58" spans="1:13" x14ac:dyDescent="0.35">
      <c r="A58" s="2">
        <v>55</v>
      </c>
      <c r="B58" s="2" t="s">
        <v>1934</v>
      </c>
      <c r="C58" s="2">
        <v>131</v>
      </c>
      <c r="D58" s="2" t="s">
        <v>128</v>
      </c>
      <c r="E58" s="2">
        <v>7140</v>
      </c>
      <c r="F58" s="2"/>
      <c r="G58" s="2" t="s">
        <v>2012</v>
      </c>
      <c r="H58" s="16">
        <v>1</v>
      </c>
      <c r="I58" s="8">
        <f>VLOOKUP(E58,Sheet14!$A$5:$C$221,2,FALSE)</f>
        <v>1</v>
      </c>
      <c r="J58" s="24">
        <f t="shared" si="0"/>
        <v>0</v>
      </c>
      <c r="K58" s="17">
        <v>1</v>
      </c>
      <c r="L58" s="8">
        <f>VLOOKUP(E58,Sheet14!$A$5:$C$221,3,FALSE)</f>
        <v>1</v>
      </c>
      <c r="M58" s="22">
        <f t="shared" si="1"/>
        <v>0</v>
      </c>
    </row>
    <row r="59" spans="1:13" x14ac:dyDescent="0.35">
      <c r="A59" s="2">
        <v>56</v>
      </c>
      <c r="B59" s="2" t="s">
        <v>1934</v>
      </c>
      <c r="C59" s="2">
        <v>131</v>
      </c>
      <c r="D59" s="2" t="s">
        <v>128</v>
      </c>
      <c r="E59" s="2">
        <v>5806</v>
      </c>
      <c r="F59" s="2"/>
      <c r="G59" s="2" t="s">
        <v>2013</v>
      </c>
      <c r="H59" s="16">
        <v>2</v>
      </c>
      <c r="I59" s="8">
        <f>VLOOKUP(E59,Sheet14!$A$5:$C$221,2,FALSE)</f>
        <v>2</v>
      </c>
      <c r="J59" s="24">
        <f t="shared" si="0"/>
        <v>0</v>
      </c>
      <c r="K59" s="17">
        <v>1</v>
      </c>
      <c r="L59" s="8">
        <f>VLOOKUP(E59,Sheet14!$A$5:$C$221,3,FALSE)</f>
        <v>1</v>
      </c>
      <c r="M59" s="22">
        <f t="shared" si="1"/>
        <v>0</v>
      </c>
    </row>
    <row r="60" spans="1:13" x14ac:dyDescent="0.35">
      <c r="A60" s="2">
        <v>57</v>
      </c>
      <c r="B60" s="2" t="s">
        <v>1934</v>
      </c>
      <c r="C60" s="2">
        <v>131</v>
      </c>
      <c r="D60" s="2" t="s">
        <v>128</v>
      </c>
      <c r="E60" s="2">
        <v>5805</v>
      </c>
      <c r="F60" s="2"/>
      <c r="G60" s="2" t="s">
        <v>2014</v>
      </c>
      <c r="H60" s="16">
        <v>2</v>
      </c>
      <c r="I60" s="8">
        <f>VLOOKUP(E60,Sheet14!$A$5:$C$221,2,FALSE)</f>
        <v>2</v>
      </c>
      <c r="J60" s="24">
        <f t="shared" si="0"/>
        <v>0</v>
      </c>
      <c r="K60" s="17">
        <v>1</v>
      </c>
      <c r="L60" s="8">
        <f>VLOOKUP(E60,Sheet14!$A$5:$C$221,3,FALSE)</f>
        <v>1</v>
      </c>
      <c r="M60" s="22">
        <f t="shared" si="1"/>
        <v>0</v>
      </c>
    </row>
    <row r="61" spans="1:13" x14ac:dyDescent="0.35">
      <c r="A61" s="2">
        <v>58</v>
      </c>
      <c r="B61" s="2" t="s">
        <v>1934</v>
      </c>
      <c r="C61" s="2">
        <v>131</v>
      </c>
      <c r="D61" s="2" t="s">
        <v>128</v>
      </c>
      <c r="E61" s="2">
        <v>8061</v>
      </c>
      <c r="F61" s="2"/>
      <c r="G61" s="2" t="s">
        <v>2015</v>
      </c>
      <c r="H61" s="16">
        <v>1</v>
      </c>
      <c r="I61" s="8">
        <f>VLOOKUP(E61,Sheet14!$A$5:$C$221,2,FALSE)</f>
        <v>1</v>
      </c>
      <c r="J61" s="24">
        <f t="shared" si="0"/>
        <v>0</v>
      </c>
      <c r="K61" s="17">
        <v>1</v>
      </c>
      <c r="L61" s="8">
        <f>VLOOKUP(E61,Sheet14!$A$5:$C$221,3,FALSE)</f>
        <v>1</v>
      </c>
      <c r="M61" s="22">
        <f t="shared" si="1"/>
        <v>0</v>
      </c>
    </row>
    <row r="62" spans="1:13" x14ac:dyDescent="0.35">
      <c r="A62" s="2">
        <v>59</v>
      </c>
      <c r="B62" s="2" t="s">
        <v>1934</v>
      </c>
      <c r="C62" s="2">
        <v>131</v>
      </c>
      <c r="D62" s="2" t="s">
        <v>128</v>
      </c>
      <c r="E62" s="2">
        <v>3560</v>
      </c>
      <c r="F62" s="2"/>
      <c r="G62" s="2" t="s">
        <v>2016</v>
      </c>
      <c r="H62" s="16">
        <v>1</v>
      </c>
      <c r="I62" s="8">
        <f>VLOOKUP(E62,Sheet14!$A$5:$C$221,2,FALSE)</f>
        <v>1</v>
      </c>
      <c r="J62" s="24">
        <f t="shared" si="0"/>
        <v>0</v>
      </c>
      <c r="K62" s="17">
        <v>1</v>
      </c>
      <c r="L62" s="8">
        <f>VLOOKUP(E62,Sheet14!$A$5:$C$221,3,FALSE)</f>
        <v>1</v>
      </c>
      <c r="M62" s="22">
        <f t="shared" si="1"/>
        <v>0</v>
      </c>
    </row>
    <row r="63" spans="1:13" x14ac:dyDescent="0.35">
      <c r="A63" s="2">
        <v>60</v>
      </c>
      <c r="B63" s="2" t="s">
        <v>1934</v>
      </c>
      <c r="C63" s="2">
        <v>131</v>
      </c>
      <c r="D63" s="2" t="s">
        <v>128</v>
      </c>
      <c r="E63" s="2">
        <v>5804</v>
      </c>
      <c r="F63" s="2"/>
      <c r="G63" s="2" t="s">
        <v>2017</v>
      </c>
      <c r="H63" s="16">
        <v>1</v>
      </c>
      <c r="I63" s="8">
        <f>VLOOKUP(E63,Sheet14!$A$5:$C$221,2,FALSE)</f>
        <v>1</v>
      </c>
      <c r="J63" s="24">
        <f t="shared" si="0"/>
        <v>0</v>
      </c>
      <c r="K63" s="17">
        <v>1</v>
      </c>
      <c r="L63" s="8">
        <f>VLOOKUP(E63,Sheet14!$A$5:$C$221,3,FALSE)</f>
        <v>1</v>
      </c>
      <c r="M63" s="22">
        <f t="shared" si="1"/>
        <v>0</v>
      </c>
    </row>
    <row r="64" spans="1:13" x14ac:dyDescent="0.35">
      <c r="A64" s="2">
        <v>61</v>
      </c>
      <c r="B64" s="2" t="s">
        <v>1934</v>
      </c>
      <c r="C64" s="2">
        <v>131</v>
      </c>
      <c r="D64" s="2" t="s">
        <v>128</v>
      </c>
      <c r="E64" s="2">
        <v>5803</v>
      </c>
      <c r="F64" s="2"/>
      <c r="G64" s="2" t="s">
        <v>2018</v>
      </c>
      <c r="H64" s="16">
        <v>1</v>
      </c>
      <c r="I64" s="8">
        <f>VLOOKUP(E64,Sheet14!$A$5:$C$221,2,FALSE)</f>
        <v>1</v>
      </c>
      <c r="J64" s="24">
        <f t="shared" si="0"/>
        <v>0</v>
      </c>
      <c r="K64" s="17">
        <v>1</v>
      </c>
      <c r="L64" s="8">
        <f>VLOOKUP(E64,Sheet14!$A$5:$C$221,3,FALSE)</f>
        <v>1</v>
      </c>
      <c r="M64" s="22">
        <f t="shared" si="1"/>
        <v>0</v>
      </c>
    </row>
    <row r="65" spans="1:13" x14ac:dyDescent="0.35">
      <c r="A65" s="2">
        <v>62</v>
      </c>
      <c r="B65" s="2" t="s">
        <v>1934</v>
      </c>
      <c r="C65" s="2">
        <v>131</v>
      </c>
      <c r="D65" s="2" t="s">
        <v>128</v>
      </c>
      <c r="E65" s="2">
        <v>7520</v>
      </c>
      <c r="F65" s="2"/>
      <c r="G65" s="2" t="s">
        <v>2019</v>
      </c>
      <c r="H65" s="16">
        <v>1</v>
      </c>
      <c r="I65" s="8">
        <f>VLOOKUP(E65,Sheet14!$A$5:$C$221,2,FALSE)</f>
        <v>1</v>
      </c>
      <c r="J65" s="24">
        <f t="shared" si="0"/>
        <v>0</v>
      </c>
      <c r="K65" s="17">
        <v>1</v>
      </c>
      <c r="L65" s="8">
        <f>VLOOKUP(E65,Sheet14!$A$5:$C$221,3,FALSE)</f>
        <v>1</v>
      </c>
      <c r="M65" s="22">
        <f t="shared" si="1"/>
        <v>0</v>
      </c>
    </row>
    <row r="66" spans="1:13" x14ac:dyDescent="0.35">
      <c r="A66" s="2">
        <v>63</v>
      </c>
      <c r="B66" s="2" t="s">
        <v>1934</v>
      </c>
      <c r="C66" s="2">
        <v>324</v>
      </c>
      <c r="D66" s="2" t="s">
        <v>51</v>
      </c>
      <c r="E66" s="2">
        <v>7527</v>
      </c>
      <c r="F66" s="2"/>
      <c r="G66" s="2" t="s">
        <v>2020</v>
      </c>
      <c r="H66" s="18">
        <v>1</v>
      </c>
      <c r="I66" s="8">
        <f>VLOOKUP(E66,Sheet14!$A$5:$C$221,2,FALSE)</f>
        <v>1</v>
      </c>
      <c r="J66" s="24">
        <f t="shared" si="0"/>
        <v>0</v>
      </c>
      <c r="K66" s="18">
        <v>1</v>
      </c>
      <c r="L66" s="8">
        <f>VLOOKUP(E66,Sheet14!$A$5:$C$221,3,FALSE)</f>
        <v>1</v>
      </c>
      <c r="M66" s="23">
        <v>0</v>
      </c>
    </row>
    <row r="67" spans="1:13" x14ac:dyDescent="0.35">
      <c r="A67" s="2">
        <v>64</v>
      </c>
      <c r="B67" s="2" t="s">
        <v>1934</v>
      </c>
      <c r="C67" s="2">
        <v>324</v>
      </c>
      <c r="D67" s="2" t="s">
        <v>51</v>
      </c>
      <c r="E67" s="2">
        <v>7139</v>
      </c>
      <c r="F67" s="2"/>
      <c r="G67" s="2" t="s">
        <v>2021</v>
      </c>
      <c r="H67" s="16">
        <v>1</v>
      </c>
      <c r="I67" s="8">
        <f>VLOOKUP(E67,Sheet14!$A$5:$C$221,2,FALSE)</f>
        <v>1</v>
      </c>
      <c r="J67" s="24">
        <f t="shared" si="0"/>
        <v>0</v>
      </c>
      <c r="K67" s="17">
        <v>1</v>
      </c>
      <c r="L67" s="8">
        <f>VLOOKUP(E67,Sheet14!$A$5:$C$221,3,FALSE)</f>
        <v>1</v>
      </c>
      <c r="M67" s="22">
        <f t="shared" ref="M67:M130" si="2">L67-K67</f>
        <v>0</v>
      </c>
    </row>
    <row r="68" spans="1:13" x14ac:dyDescent="0.35">
      <c r="A68" s="2">
        <v>65</v>
      </c>
      <c r="B68" s="2" t="s">
        <v>1934</v>
      </c>
      <c r="C68" s="2">
        <v>324</v>
      </c>
      <c r="D68" s="2" t="s">
        <v>51</v>
      </c>
      <c r="E68" s="2">
        <v>7889</v>
      </c>
      <c r="F68" s="2"/>
      <c r="G68" s="2" t="s">
        <v>2022</v>
      </c>
      <c r="H68" s="16">
        <v>1</v>
      </c>
      <c r="I68" s="8">
        <f>VLOOKUP(E68,Sheet14!$A$5:$C$221,2,FALSE)</f>
        <v>1</v>
      </c>
      <c r="J68" s="24">
        <f t="shared" ref="J68:J131" si="3">I68-H68</f>
        <v>0</v>
      </c>
      <c r="K68" s="17">
        <v>1</v>
      </c>
      <c r="L68" s="8">
        <f>VLOOKUP(E68,Sheet14!$A$5:$C$221,3,FALSE)</f>
        <v>1</v>
      </c>
      <c r="M68" s="22">
        <f t="shared" si="2"/>
        <v>0</v>
      </c>
    </row>
    <row r="69" spans="1:13" x14ac:dyDescent="0.35">
      <c r="A69" s="2">
        <v>66</v>
      </c>
      <c r="B69" s="2" t="s">
        <v>1934</v>
      </c>
      <c r="C69" s="2">
        <v>324</v>
      </c>
      <c r="D69" s="2" t="s">
        <v>51</v>
      </c>
      <c r="E69" s="2">
        <v>5792</v>
      </c>
      <c r="F69" s="2"/>
      <c r="G69" s="2" t="s">
        <v>2023</v>
      </c>
      <c r="H69" s="16">
        <v>1</v>
      </c>
      <c r="I69" s="8">
        <f>VLOOKUP(E69,Sheet14!$A$5:$C$221,2,FALSE)</f>
        <v>1</v>
      </c>
      <c r="J69" s="24">
        <f t="shared" si="3"/>
        <v>0</v>
      </c>
      <c r="K69" s="17">
        <v>1</v>
      </c>
      <c r="L69" s="8">
        <f>VLOOKUP(E69,Sheet14!$A$5:$C$221,3,FALSE)</f>
        <v>1</v>
      </c>
      <c r="M69" s="22">
        <f t="shared" si="2"/>
        <v>0</v>
      </c>
    </row>
    <row r="70" spans="1:13" x14ac:dyDescent="0.35">
      <c r="A70" s="2">
        <v>67</v>
      </c>
      <c r="B70" s="2" t="s">
        <v>1934</v>
      </c>
      <c r="C70" s="2">
        <v>324</v>
      </c>
      <c r="D70" s="2" t="s">
        <v>51</v>
      </c>
      <c r="E70" s="2">
        <v>7052</v>
      </c>
      <c r="F70" s="2"/>
      <c r="G70" s="2" t="s">
        <v>2024</v>
      </c>
      <c r="H70" s="16">
        <v>1</v>
      </c>
      <c r="I70" s="8">
        <f>VLOOKUP(E70,Sheet14!$A$5:$C$221,2,FALSE)</f>
        <v>1</v>
      </c>
      <c r="J70" s="24">
        <f t="shared" si="3"/>
        <v>0</v>
      </c>
      <c r="K70" s="17">
        <v>1</v>
      </c>
      <c r="L70" s="8">
        <f>VLOOKUP(E70,Sheet14!$A$5:$C$221,3,FALSE)</f>
        <v>1</v>
      </c>
      <c r="M70" s="22">
        <f t="shared" si="2"/>
        <v>0</v>
      </c>
    </row>
    <row r="71" spans="1:13" x14ac:dyDescent="0.35">
      <c r="A71" s="2">
        <v>68</v>
      </c>
      <c r="B71" s="2" t="s">
        <v>1934</v>
      </c>
      <c r="C71" s="2">
        <v>324</v>
      </c>
      <c r="D71" s="2" t="s">
        <v>51</v>
      </c>
      <c r="E71" s="2">
        <v>5791</v>
      </c>
      <c r="F71" s="2"/>
      <c r="G71" s="2" t="s">
        <v>2025</v>
      </c>
      <c r="H71" s="16">
        <v>2</v>
      </c>
      <c r="I71" s="8">
        <f>VLOOKUP(E71,Sheet14!$A$5:$C$221,2,FALSE)</f>
        <v>2</v>
      </c>
      <c r="J71" s="24">
        <f t="shared" si="3"/>
        <v>0</v>
      </c>
      <c r="K71" s="17">
        <v>2</v>
      </c>
      <c r="L71" s="8">
        <f>VLOOKUP(E71,Sheet14!$A$5:$C$221,3,FALSE)</f>
        <v>1</v>
      </c>
      <c r="M71" s="22">
        <f t="shared" si="2"/>
        <v>-1</v>
      </c>
    </row>
    <row r="72" spans="1:13" x14ac:dyDescent="0.35">
      <c r="A72" s="2">
        <v>69</v>
      </c>
      <c r="B72" s="2" t="s">
        <v>1934</v>
      </c>
      <c r="C72" s="2">
        <v>324</v>
      </c>
      <c r="D72" s="2" t="s">
        <v>51</v>
      </c>
      <c r="E72" s="2">
        <v>5793</v>
      </c>
      <c r="F72" s="2"/>
      <c r="G72" s="2" t="s">
        <v>2026</v>
      </c>
      <c r="H72" s="16">
        <v>2</v>
      </c>
      <c r="I72" s="8">
        <f>VLOOKUP(E72,Sheet14!$A$5:$C$221,2,FALSE)</f>
        <v>2</v>
      </c>
      <c r="J72" s="24">
        <f t="shared" si="3"/>
        <v>0</v>
      </c>
      <c r="K72" s="17">
        <v>2</v>
      </c>
      <c r="L72" s="8">
        <f>VLOOKUP(E72,Sheet14!$A$5:$C$221,3,FALSE)</f>
        <v>1</v>
      </c>
      <c r="M72" s="22">
        <f t="shared" si="2"/>
        <v>-1</v>
      </c>
    </row>
    <row r="73" spans="1:13" x14ac:dyDescent="0.35">
      <c r="A73" s="2">
        <v>70</v>
      </c>
      <c r="B73" s="2" t="s">
        <v>1934</v>
      </c>
      <c r="C73" s="2">
        <v>324</v>
      </c>
      <c r="D73" s="2" t="s">
        <v>51</v>
      </c>
      <c r="E73" s="2">
        <v>7050</v>
      </c>
      <c r="F73" s="2"/>
      <c r="G73" s="2" t="s">
        <v>2027</v>
      </c>
      <c r="H73" s="16">
        <v>2</v>
      </c>
      <c r="I73" s="8">
        <f>VLOOKUP(E73,Sheet14!$A$5:$C$221,2,FALSE)</f>
        <v>2</v>
      </c>
      <c r="J73" s="24">
        <f t="shared" si="3"/>
        <v>0</v>
      </c>
      <c r="K73" s="17">
        <v>1</v>
      </c>
      <c r="L73" s="8">
        <f>VLOOKUP(E73,Sheet14!$A$5:$C$221,3,FALSE)</f>
        <v>1</v>
      </c>
      <c r="M73" s="22">
        <f t="shared" si="2"/>
        <v>0</v>
      </c>
    </row>
    <row r="74" spans="1:13" x14ac:dyDescent="0.35">
      <c r="A74" s="2">
        <v>71</v>
      </c>
      <c r="B74" s="2" t="s">
        <v>1934</v>
      </c>
      <c r="C74" s="2">
        <v>324</v>
      </c>
      <c r="D74" s="2" t="s">
        <v>51</v>
      </c>
      <c r="E74" s="2">
        <v>7051</v>
      </c>
      <c r="F74" s="2"/>
      <c r="G74" s="2" t="s">
        <v>2028</v>
      </c>
      <c r="H74" s="16">
        <v>1</v>
      </c>
      <c r="I74" s="8">
        <f>VLOOKUP(E74,Sheet14!$A$5:$C$221,2,FALSE)</f>
        <v>1</v>
      </c>
      <c r="J74" s="24">
        <f t="shared" si="3"/>
        <v>0</v>
      </c>
      <c r="K74" s="17">
        <v>1</v>
      </c>
      <c r="L74" s="8">
        <f>VLOOKUP(E74,Sheet14!$A$5:$C$221,3,FALSE)</f>
        <v>1</v>
      </c>
      <c r="M74" s="22">
        <f t="shared" si="2"/>
        <v>0</v>
      </c>
    </row>
    <row r="75" spans="1:13" x14ac:dyDescent="0.35">
      <c r="A75" s="2">
        <v>72</v>
      </c>
      <c r="B75" s="2" t="s">
        <v>1934</v>
      </c>
      <c r="C75" s="2">
        <v>324</v>
      </c>
      <c r="D75" s="2" t="s">
        <v>51</v>
      </c>
      <c r="E75" s="2">
        <v>5790</v>
      </c>
      <c r="F75" s="2"/>
      <c r="G75" s="2" t="s">
        <v>2029</v>
      </c>
      <c r="H75" s="16">
        <v>1</v>
      </c>
      <c r="I75" s="8">
        <f>VLOOKUP(E75,Sheet14!$A$5:$C$221,2,FALSE)</f>
        <v>1</v>
      </c>
      <c r="J75" s="24">
        <f t="shared" si="3"/>
        <v>0</v>
      </c>
      <c r="K75" s="17">
        <v>2</v>
      </c>
      <c r="L75" s="8">
        <f>VLOOKUP(E75,Sheet14!$A$5:$C$221,3,FALSE)</f>
        <v>1</v>
      </c>
      <c r="M75" s="22">
        <f t="shared" si="2"/>
        <v>-1</v>
      </c>
    </row>
    <row r="76" spans="1:13" x14ac:dyDescent="0.35">
      <c r="A76" s="2">
        <v>73</v>
      </c>
      <c r="B76" s="2" t="s">
        <v>1934</v>
      </c>
      <c r="C76" s="2">
        <v>324</v>
      </c>
      <c r="D76" s="2" t="s">
        <v>51</v>
      </c>
      <c r="E76" s="2">
        <v>8100</v>
      </c>
      <c r="F76" s="2"/>
      <c r="G76" s="2" t="s">
        <v>2030</v>
      </c>
      <c r="H76" s="16">
        <v>1</v>
      </c>
      <c r="I76" s="8">
        <f>VLOOKUP(E76,Sheet14!$A$5:$C$221,2,FALSE)</f>
        <v>1</v>
      </c>
      <c r="J76" s="24">
        <f t="shared" si="3"/>
        <v>0</v>
      </c>
      <c r="K76" s="17">
        <v>1</v>
      </c>
      <c r="L76" s="8">
        <f>VLOOKUP(E76,Sheet14!$A$5:$C$221,3,FALSE)</f>
        <v>1</v>
      </c>
      <c r="M76" s="22">
        <f t="shared" si="2"/>
        <v>0</v>
      </c>
    </row>
    <row r="77" spans="1:13" x14ac:dyDescent="0.35">
      <c r="A77" s="2">
        <v>74</v>
      </c>
      <c r="B77" s="2" t="s">
        <v>1934</v>
      </c>
      <c r="C77" s="2">
        <v>324</v>
      </c>
      <c r="D77" s="2" t="s">
        <v>51</v>
      </c>
      <c r="E77" s="2">
        <v>3559</v>
      </c>
      <c r="F77" s="2"/>
      <c r="G77" s="2" t="s">
        <v>1216</v>
      </c>
      <c r="H77" s="16">
        <v>2</v>
      </c>
      <c r="I77" s="8">
        <f>VLOOKUP(E77,Sheet14!$A$5:$C$221,2,FALSE)</f>
        <v>2</v>
      </c>
      <c r="J77" s="24">
        <f t="shared" si="3"/>
        <v>0</v>
      </c>
      <c r="K77" s="17">
        <v>1</v>
      </c>
      <c r="L77" s="8">
        <f>VLOOKUP(E77,Sheet14!$A$5:$C$221,3,FALSE)</f>
        <v>1</v>
      </c>
      <c r="M77" s="22">
        <f t="shared" si="2"/>
        <v>0</v>
      </c>
    </row>
    <row r="78" spans="1:13" x14ac:dyDescent="0.35">
      <c r="A78" s="2">
        <v>75</v>
      </c>
      <c r="B78" s="2" t="s">
        <v>1934</v>
      </c>
      <c r="C78" s="2">
        <v>324</v>
      </c>
      <c r="D78" s="2" t="s">
        <v>51</v>
      </c>
      <c r="E78" s="2">
        <v>5789</v>
      </c>
      <c r="F78" s="2"/>
      <c r="G78" s="2" t="s">
        <v>2031</v>
      </c>
      <c r="H78" s="16">
        <v>1</v>
      </c>
      <c r="I78" s="8">
        <f>VLOOKUP(E78,Sheet14!$A$5:$C$221,2,FALSE)</f>
        <v>1</v>
      </c>
      <c r="J78" s="24">
        <f t="shared" si="3"/>
        <v>0</v>
      </c>
      <c r="K78" s="17">
        <v>1</v>
      </c>
      <c r="L78" s="8">
        <f>VLOOKUP(E78,Sheet14!$A$5:$C$221,3,FALSE)</f>
        <v>1</v>
      </c>
      <c r="M78" s="22">
        <f t="shared" si="2"/>
        <v>0</v>
      </c>
    </row>
    <row r="79" spans="1:13" x14ac:dyDescent="0.35">
      <c r="A79" s="2">
        <v>76</v>
      </c>
      <c r="B79" s="2" t="s">
        <v>1934</v>
      </c>
      <c r="C79" s="2">
        <v>164</v>
      </c>
      <c r="D79" s="2" t="s">
        <v>87</v>
      </c>
      <c r="E79" s="2">
        <v>3558</v>
      </c>
      <c r="F79" s="2"/>
      <c r="G79" s="2" t="s">
        <v>2032</v>
      </c>
      <c r="H79" s="16">
        <v>2</v>
      </c>
      <c r="I79" s="8">
        <f>VLOOKUP(E79,Sheet14!$A$5:$C$221,2,FALSE)</f>
        <v>2</v>
      </c>
      <c r="J79" s="24">
        <f t="shared" si="3"/>
        <v>0</v>
      </c>
      <c r="K79" s="17">
        <v>2</v>
      </c>
      <c r="L79" s="8">
        <f>VLOOKUP(E79,Sheet14!$A$5:$C$221,3,FALSE)</f>
        <v>2</v>
      </c>
      <c r="M79" s="22">
        <f t="shared" si="2"/>
        <v>0</v>
      </c>
    </row>
    <row r="80" spans="1:13" x14ac:dyDescent="0.35">
      <c r="A80" s="2">
        <v>77</v>
      </c>
      <c r="B80" s="2" t="s">
        <v>1934</v>
      </c>
      <c r="C80" s="2">
        <v>164</v>
      </c>
      <c r="D80" s="2" t="s">
        <v>87</v>
      </c>
      <c r="E80" s="2">
        <v>7196</v>
      </c>
      <c r="F80" s="2"/>
      <c r="G80" s="2" t="s">
        <v>2033</v>
      </c>
      <c r="H80" s="16">
        <v>2</v>
      </c>
      <c r="I80" s="8">
        <f>VLOOKUP(E80,Sheet14!$A$5:$C$221,2,FALSE)</f>
        <v>1</v>
      </c>
      <c r="J80" s="24">
        <f t="shared" si="3"/>
        <v>-1</v>
      </c>
      <c r="K80" s="17">
        <v>1</v>
      </c>
      <c r="L80" s="8">
        <f>VLOOKUP(E80,Sheet14!$A$5:$C$221,3,FALSE)</f>
        <v>1</v>
      </c>
      <c r="M80" s="22">
        <f t="shared" si="2"/>
        <v>0</v>
      </c>
    </row>
    <row r="81" spans="1:13" x14ac:dyDescent="0.35">
      <c r="A81" s="2">
        <v>78</v>
      </c>
      <c r="B81" s="2" t="s">
        <v>1934</v>
      </c>
      <c r="C81" s="2">
        <v>164</v>
      </c>
      <c r="D81" s="2" t="s">
        <v>87</v>
      </c>
      <c r="E81" s="2">
        <v>5787</v>
      </c>
      <c r="F81" s="2"/>
      <c r="G81" s="2" t="s">
        <v>2034</v>
      </c>
      <c r="H81" s="16">
        <v>2</v>
      </c>
      <c r="I81" s="8">
        <f>VLOOKUP(E81,Sheet14!$A$5:$C$221,2,FALSE)</f>
        <v>2</v>
      </c>
      <c r="J81" s="24">
        <f t="shared" si="3"/>
        <v>0</v>
      </c>
      <c r="K81" s="17">
        <v>1</v>
      </c>
      <c r="L81" s="8">
        <f>VLOOKUP(E81,Sheet14!$A$5:$C$221,3,FALSE)</f>
        <v>1</v>
      </c>
      <c r="M81" s="22">
        <f t="shared" si="2"/>
        <v>0</v>
      </c>
    </row>
    <row r="82" spans="1:13" x14ac:dyDescent="0.35">
      <c r="A82" s="2">
        <v>79</v>
      </c>
      <c r="B82" s="2" t="s">
        <v>1934</v>
      </c>
      <c r="C82" s="2">
        <v>164</v>
      </c>
      <c r="D82" s="2" t="s">
        <v>87</v>
      </c>
      <c r="E82" s="2">
        <v>5786</v>
      </c>
      <c r="F82" s="2"/>
      <c r="G82" s="2" t="s">
        <v>2035</v>
      </c>
      <c r="H82" s="16">
        <v>2</v>
      </c>
      <c r="I82" s="8">
        <f>VLOOKUP(E82,Sheet14!$A$5:$C$221,2,FALSE)</f>
        <v>1</v>
      </c>
      <c r="J82" s="24">
        <f t="shared" si="3"/>
        <v>-1</v>
      </c>
      <c r="K82" s="17">
        <v>1</v>
      </c>
      <c r="L82" s="8">
        <f>VLOOKUP(E82,Sheet14!$A$5:$C$221,3,FALSE)</f>
        <v>1</v>
      </c>
      <c r="M82" s="22">
        <f t="shared" si="2"/>
        <v>0</v>
      </c>
    </row>
    <row r="83" spans="1:13" x14ac:dyDescent="0.35">
      <c r="A83" s="2">
        <v>80</v>
      </c>
      <c r="B83" s="2" t="s">
        <v>1934</v>
      </c>
      <c r="C83" s="2">
        <v>164</v>
      </c>
      <c r="D83" s="2" t="s">
        <v>87</v>
      </c>
      <c r="E83" s="2">
        <v>7454</v>
      </c>
      <c r="F83" s="2"/>
      <c r="G83" s="2" t="s">
        <v>2036</v>
      </c>
      <c r="H83" s="16">
        <v>1</v>
      </c>
      <c r="I83" s="8">
        <f>VLOOKUP(E83,Sheet14!$A$5:$C$221,2,FALSE)</f>
        <v>2</v>
      </c>
      <c r="J83" s="24">
        <f t="shared" si="3"/>
        <v>1</v>
      </c>
      <c r="K83" s="17">
        <v>1</v>
      </c>
      <c r="L83" s="8">
        <f>VLOOKUP(E83,Sheet14!$A$5:$C$221,3,FALSE)</f>
        <v>1</v>
      </c>
      <c r="M83" s="22">
        <f t="shared" si="2"/>
        <v>0</v>
      </c>
    </row>
    <row r="84" spans="1:13" x14ac:dyDescent="0.35">
      <c r="A84" s="2">
        <v>81</v>
      </c>
      <c r="B84" s="2" t="s">
        <v>1934</v>
      </c>
      <c r="C84" s="2">
        <v>164</v>
      </c>
      <c r="D84" s="2" t="s">
        <v>87</v>
      </c>
      <c r="E84" s="2">
        <v>7671</v>
      </c>
      <c r="F84" s="2"/>
      <c r="G84" s="2" t="s">
        <v>2037</v>
      </c>
      <c r="H84" s="16">
        <v>1</v>
      </c>
      <c r="I84" s="8">
        <f>VLOOKUP(E84,Sheet14!$A$5:$C$221,2,FALSE)</f>
        <v>1</v>
      </c>
      <c r="J84" s="24">
        <f t="shared" si="3"/>
        <v>0</v>
      </c>
      <c r="K84" s="17">
        <v>1</v>
      </c>
      <c r="L84" s="8">
        <f>VLOOKUP(E84,Sheet14!$A$5:$C$221,3,FALSE)</f>
        <v>1</v>
      </c>
      <c r="M84" s="22">
        <f t="shared" si="2"/>
        <v>0</v>
      </c>
    </row>
    <row r="85" spans="1:13" x14ac:dyDescent="0.35">
      <c r="A85" s="2">
        <v>82</v>
      </c>
      <c r="B85" s="2" t="s">
        <v>1934</v>
      </c>
      <c r="C85" s="2">
        <v>164</v>
      </c>
      <c r="D85" s="2" t="s">
        <v>87</v>
      </c>
      <c r="E85" s="2">
        <v>5785</v>
      </c>
      <c r="F85" s="2"/>
      <c r="G85" s="2" t="s">
        <v>2038</v>
      </c>
      <c r="H85" s="16">
        <v>2</v>
      </c>
      <c r="I85" s="8">
        <f>VLOOKUP(E85,Sheet14!$A$5:$C$221,2,FALSE)</f>
        <v>2</v>
      </c>
      <c r="J85" s="24">
        <f t="shared" si="3"/>
        <v>0</v>
      </c>
      <c r="K85" s="17">
        <v>1</v>
      </c>
      <c r="L85" s="8">
        <f>VLOOKUP(E85,Sheet14!$A$5:$C$221,3,FALSE)</f>
        <v>1</v>
      </c>
      <c r="M85" s="22">
        <f t="shared" si="2"/>
        <v>0</v>
      </c>
    </row>
    <row r="86" spans="1:13" x14ac:dyDescent="0.35">
      <c r="A86" s="2">
        <v>83</v>
      </c>
      <c r="B86" s="2" t="s">
        <v>1934</v>
      </c>
      <c r="C86" s="2">
        <v>164</v>
      </c>
      <c r="D86" s="2" t="s">
        <v>87</v>
      </c>
      <c r="E86" s="2">
        <v>7186</v>
      </c>
      <c r="F86" s="2"/>
      <c r="G86" s="2" t="s">
        <v>2039</v>
      </c>
      <c r="H86" s="16">
        <v>2</v>
      </c>
      <c r="I86" s="8">
        <f>VLOOKUP(E86,Sheet14!$A$5:$C$221,2,FALSE)</f>
        <v>2</v>
      </c>
      <c r="J86" s="24">
        <f t="shared" si="3"/>
        <v>0</v>
      </c>
      <c r="K86" s="17">
        <v>1</v>
      </c>
      <c r="L86" s="8">
        <f>VLOOKUP(E86,Sheet14!$A$5:$C$221,3,FALSE)</f>
        <v>1</v>
      </c>
      <c r="M86" s="22">
        <f t="shared" si="2"/>
        <v>0</v>
      </c>
    </row>
    <row r="87" spans="1:13" x14ac:dyDescent="0.35">
      <c r="A87" s="2">
        <v>84</v>
      </c>
      <c r="B87" s="2" t="s">
        <v>1934</v>
      </c>
      <c r="C87" s="2">
        <v>164</v>
      </c>
      <c r="D87" s="2" t="s">
        <v>87</v>
      </c>
      <c r="E87" s="2">
        <v>7219</v>
      </c>
      <c r="F87" s="2"/>
      <c r="G87" s="2" t="s">
        <v>2040</v>
      </c>
      <c r="H87" s="16">
        <v>2</v>
      </c>
      <c r="I87" s="8">
        <f>VLOOKUP(E87,Sheet14!$A$5:$C$221,2,FALSE)</f>
        <v>1</v>
      </c>
      <c r="J87" s="24">
        <f t="shared" si="3"/>
        <v>-1</v>
      </c>
      <c r="K87" s="17">
        <v>1</v>
      </c>
      <c r="L87" s="8">
        <f>VLOOKUP(E87,Sheet14!$A$5:$C$221,3,FALSE)</f>
        <v>1</v>
      </c>
      <c r="M87" s="22">
        <f t="shared" si="2"/>
        <v>0</v>
      </c>
    </row>
    <row r="88" spans="1:13" x14ac:dyDescent="0.35">
      <c r="A88" s="2">
        <v>85</v>
      </c>
      <c r="B88" s="2" t="s">
        <v>1934</v>
      </c>
      <c r="C88" s="2">
        <v>164</v>
      </c>
      <c r="D88" s="2" t="s">
        <v>87</v>
      </c>
      <c r="E88" s="2">
        <v>5784</v>
      </c>
      <c r="F88" s="2"/>
      <c r="G88" s="2" t="s">
        <v>2041</v>
      </c>
      <c r="H88" s="16">
        <v>2</v>
      </c>
      <c r="I88" s="8">
        <f>VLOOKUP(E88,Sheet14!$A$5:$C$221,2,FALSE)</f>
        <v>2</v>
      </c>
      <c r="J88" s="24">
        <f t="shared" si="3"/>
        <v>0</v>
      </c>
      <c r="K88" s="17">
        <v>2</v>
      </c>
      <c r="L88" s="8">
        <f>VLOOKUP(E88,Sheet14!$A$5:$C$221,3,FALSE)</f>
        <v>2</v>
      </c>
      <c r="M88" s="22">
        <f t="shared" si="2"/>
        <v>0</v>
      </c>
    </row>
    <row r="89" spans="1:13" x14ac:dyDescent="0.35">
      <c r="A89" s="2">
        <v>86</v>
      </c>
      <c r="B89" s="2" t="s">
        <v>1934</v>
      </c>
      <c r="C89" s="2">
        <v>164</v>
      </c>
      <c r="D89" s="2" t="s">
        <v>87</v>
      </c>
      <c r="E89" s="2">
        <v>5783</v>
      </c>
      <c r="F89" s="2"/>
      <c r="G89" s="2" t="s">
        <v>2042</v>
      </c>
      <c r="H89" s="16">
        <v>2</v>
      </c>
      <c r="I89" s="8">
        <f>VLOOKUP(E89,Sheet14!$A$5:$C$221,2,FALSE)</f>
        <v>2</v>
      </c>
      <c r="J89" s="24">
        <f t="shared" si="3"/>
        <v>0</v>
      </c>
      <c r="K89" s="17">
        <v>2</v>
      </c>
      <c r="L89" s="8">
        <f>VLOOKUP(E89,Sheet14!$A$5:$C$221,3,FALSE)</f>
        <v>2</v>
      </c>
      <c r="M89" s="22">
        <f t="shared" si="2"/>
        <v>0</v>
      </c>
    </row>
    <row r="90" spans="1:13" x14ac:dyDescent="0.35">
      <c r="A90" s="2">
        <v>87</v>
      </c>
      <c r="B90" s="2" t="s">
        <v>1934</v>
      </c>
      <c r="C90" s="2">
        <v>164</v>
      </c>
      <c r="D90" s="2" t="s">
        <v>87</v>
      </c>
      <c r="E90" s="2">
        <v>5782</v>
      </c>
      <c r="F90" s="2"/>
      <c r="G90" s="2" t="s">
        <v>2043</v>
      </c>
      <c r="H90" s="16">
        <v>2</v>
      </c>
      <c r="I90" s="8">
        <f>VLOOKUP(E90,Sheet14!$A$5:$C$221,2,FALSE)</f>
        <v>2</v>
      </c>
      <c r="J90" s="24">
        <f t="shared" si="3"/>
        <v>0</v>
      </c>
      <c r="K90" s="17">
        <v>2</v>
      </c>
      <c r="L90" s="8">
        <f>VLOOKUP(E90,Sheet14!$A$5:$C$221,3,FALSE)</f>
        <v>2</v>
      </c>
      <c r="M90" s="22">
        <f t="shared" si="2"/>
        <v>0</v>
      </c>
    </row>
    <row r="91" spans="1:13" x14ac:dyDescent="0.35">
      <c r="A91" s="2">
        <v>88</v>
      </c>
      <c r="B91" s="2" t="s">
        <v>1934</v>
      </c>
      <c r="C91" s="2">
        <v>604</v>
      </c>
      <c r="D91" s="2" t="s">
        <v>232</v>
      </c>
      <c r="E91" s="2">
        <v>7498</v>
      </c>
      <c r="F91" s="2"/>
      <c r="G91" s="2" t="s">
        <v>2044</v>
      </c>
      <c r="H91" s="16">
        <v>2</v>
      </c>
      <c r="I91" s="8">
        <f>VLOOKUP(E91,Sheet14!$A$5:$C$221,2,FALSE)</f>
        <v>1</v>
      </c>
      <c r="J91" s="24">
        <f t="shared" si="3"/>
        <v>-1</v>
      </c>
      <c r="K91" s="17">
        <v>1</v>
      </c>
      <c r="L91" s="8">
        <f>VLOOKUP(E91,Sheet14!$A$5:$C$221,3,FALSE)</f>
        <v>1</v>
      </c>
      <c r="M91" s="22">
        <f t="shared" si="2"/>
        <v>0</v>
      </c>
    </row>
    <row r="92" spans="1:13" x14ac:dyDescent="0.35">
      <c r="A92" s="2">
        <v>89</v>
      </c>
      <c r="B92" s="2" t="s">
        <v>1934</v>
      </c>
      <c r="C92" s="2">
        <v>604</v>
      </c>
      <c r="D92" s="2" t="s">
        <v>232</v>
      </c>
      <c r="E92" s="2">
        <v>5604</v>
      </c>
      <c r="F92" s="2"/>
      <c r="G92" s="2" t="s">
        <v>2045</v>
      </c>
      <c r="H92" s="16">
        <v>3</v>
      </c>
      <c r="I92" s="8">
        <f>VLOOKUP(E92,Sheet14!$A$5:$C$221,2,FALSE)</f>
        <v>1</v>
      </c>
      <c r="J92" s="24">
        <f t="shared" si="3"/>
        <v>-2</v>
      </c>
      <c r="K92" s="17">
        <v>1</v>
      </c>
      <c r="L92" s="8">
        <f>VLOOKUP(E92,Sheet14!$A$5:$C$221,3,FALSE)</f>
        <v>1</v>
      </c>
      <c r="M92" s="22">
        <f t="shared" si="2"/>
        <v>0</v>
      </c>
    </row>
    <row r="93" spans="1:13" x14ac:dyDescent="0.35">
      <c r="A93" s="2">
        <v>90</v>
      </c>
      <c r="B93" s="2" t="s">
        <v>1934</v>
      </c>
      <c r="C93" s="2">
        <v>604</v>
      </c>
      <c r="D93" s="2" t="s">
        <v>232</v>
      </c>
      <c r="E93" s="2">
        <v>3373</v>
      </c>
      <c r="F93" s="2"/>
      <c r="G93" s="2" t="s">
        <v>2046</v>
      </c>
      <c r="H93" s="16">
        <v>1</v>
      </c>
      <c r="I93" s="8">
        <f>VLOOKUP(E93,Sheet14!$A$5:$C$221,2,FALSE)</f>
        <v>1</v>
      </c>
      <c r="J93" s="24">
        <f t="shared" si="3"/>
        <v>0</v>
      </c>
      <c r="K93" s="17">
        <v>2</v>
      </c>
      <c r="L93" s="8">
        <f>VLOOKUP(E93,Sheet14!$A$5:$C$221,3,FALSE)</f>
        <v>2</v>
      </c>
      <c r="M93" s="22">
        <f t="shared" si="2"/>
        <v>0</v>
      </c>
    </row>
    <row r="94" spans="1:13" x14ac:dyDescent="0.35">
      <c r="A94" s="2">
        <v>91</v>
      </c>
      <c r="B94" s="2" t="s">
        <v>1934</v>
      </c>
      <c r="C94" s="2">
        <v>604</v>
      </c>
      <c r="D94" s="2" t="s">
        <v>232</v>
      </c>
      <c r="E94" s="2">
        <v>7902</v>
      </c>
      <c r="F94" s="2"/>
      <c r="G94" s="2" t="s">
        <v>2047</v>
      </c>
      <c r="H94" s="16">
        <v>1</v>
      </c>
      <c r="I94" s="8">
        <f>VLOOKUP(E94,Sheet14!$A$5:$C$221,2,FALSE)</f>
        <v>1</v>
      </c>
      <c r="J94" s="24">
        <f t="shared" si="3"/>
        <v>0</v>
      </c>
      <c r="K94" s="17">
        <v>1</v>
      </c>
      <c r="L94" s="8">
        <f>VLOOKUP(E94,Sheet14!$A$5:$C$221,3,FALSE)</f>
        <v>1</v>
      </c>
      <c r="M94" s="22">
        <f t="shared" si="2"/>
        <v>0</v>
      </c>
    </row>
    <row r="95" spans="1:13" x14ac:dyDescent="0.35">
      <c r="A95" s="2">
        <v>92</v>
      </c>
      <c r="B95" s="2" t="s">
        <v>1934</v>
      </c>
      <c r="C95" s="2">
        <v>604</v>
      </c>
      <c r="D95" s="2" t="s">
        <v>232</v>
      </c>
      <c r="E95" s="2">
        <v>7101</v>
      </c>
      <c r="F95" s="2"/>
      <c r="G95" s="2" t="s">
        <v>2048</v>
      </c>
      <c r="H95" s="16">
        <v>1</v>
      </c>
      <c r="I95" s="8">
        <f>VLOOKUP(E95,Sheet14!$A$5:$C$221,2,FALSE)</f>
        <v>1</v>
      </c>
      <c r="J95" s="24">
        <f t="shared" si="3"/>
        <v>0</v>
      </c>
      <c r="K95" s="17">
        <v>1</v>
      </c>
      <c r="L95" s="8">
        <f>VLOOKUP(E95,Sheet14!$A$5:$C$221,3,FALSE)</f>
        <v>1</v>
      </c>
      <c r="M95" s="22">
        <f t="shared" si="2"/>
        <v>0</v>
      </c>
    </row>
    <row r="96" spans="1:13" x14ac:dyDescent="0.35">
      <c r="A96" s="2">
        <v>93</v>
      </c>
      <c r="B96" s="2" t="s">
        <v>1934</v>
      </c>
      <c r="C96" s="2">
        <v>604</v>
      </c>
      <c r="D96" s="2" t="s">
        <v>232</v>
      </c>
      <c r="E96" s="2">
        <v>8062</v>
      </c>
      <c r="F96" s="2"/>
      <c r="G96" s="2" t="s">
        <v>2049</v>
      </c>
      <c r="H96" s="16">
        <v>1</v>
      </c>
      <c r="I96" s="8">
        <f>VLOOKUP(E96,Sheet14!$A$5:$C$221,2,FALSE)</f>
        <v>1</v>
      </c>
      <c r="J96" s="24">
        <f t="shared" si="3"/>
        <v>0</v>
      </c>
      <c r="K96" s="17">
        <v>1</v>
      </c>
      <c r="L96" s="8">
        <f>VLOOKUP(E96,Sheet14!$A$5:$C$221,3,FALSE)</f>
        <v>1</v>
      </c>
      <c r="M96" s="22">
        <f t="shared" si="2"/>
        <v>0</v>
      </c>
    </row>
    <row r="97" spans="1:13" x14ac:dyDescent="0.35">
      <c r="A97" s="2">
        <v>94</v>
      </c>
      <c r="B97" s="2" t="s">
        <v>1934</v>
      </c>
      <c r="C97" s="2">
        <v>607</v>
      </c>
      <c r="D97" s="2" t="s">
        <v>162</v>
      </c>
      <c r="E97" s="2">
        <v>5725</v>
      </c>
      <c r="F97" s="2"/>
      <c r="G97" s="2" t="s">
        <v>2050</v>
      </c>
      <c r="H97" s="16">
        <v>2</v>
      </c>
      <c r="I97" s="8">
        <f>VLOOKUP(E97,Sheet14!$A$5:$C$221,2,FALSE)</f>
        <v>2</v>
      </c>
      <c r="J97" s="24">
        <f t="shared" si="3"/>
        <v>0</v>
      </c>
      <c r="K97" s="17">
        <v>2</v>
      </c>
      <c r="L97" s="8">
        <f>VLOOKUP(E97,Sheet14!$A$5:$C$221,3,FALSE)</f>
        <v>2</v>
      </c>
      <c r="M97" s="22">
        <f t="shared" si="2"/>
        <v>0</v>
      </c>
    </row>
    <row r="98" spans="1:13" x14ac:dyDescent="0.35">
      <c r="A98" s="2">
        <v>95</v>
      </c>
      <c r="B98" s="2" t="s">
        <v>1934</v>
      </c>
      <c r="C98" s="2">
        <v>607</v>
      </c>
      <c r="D98" s="2" t="s">
        <v>162</v>
      </c>
      <c r="E98" s="2">
        <v>8162</v>
      </c>
      <c r="F98" s="2"/>
      <c r="G98" s="2" t="s">
        <v>2051</v>
      </c>
      <c r="H98" s="16">
        <v>1</v>
      </c>
      <c r="I98" s="8">
        <f>VLOOKUP(E98,Sheet14!$A$5:$C$221,2,FALSE)</f>
        <v>1</v>
      </c>
      <c r="J98" s="24">
        <f t="shared" si="3"/>
        <v>0</v>
      </c>
      <c r="K98" s="17">
        <v>1</v>
      </c>
      <c r="L98" s="8">
        <f>VLOOKUP(E98,Sheet14!$A$5:$C$221,3,FALSE)</f>
        <v>1</v>
      </c>
      <c r="M98" s="22">
        <f t="shared" si="2"/>
        <v>0</v>
      </c>
    </row>
    <row r="99" spans="1:13" x14ac:dyDescent="0.35">
      <c r="A99" s="2">
        <v>96</v>
      </c>
      <c r="B99" s="2" t="s">
        <v>1934</v>
      </c>
      <c r="C99" s="2">
        <v>607</v>
      </c>
      <c r="D99" s="2" t="s">
        <v>162</v>
      </c>
      <c r="E99" s="2">
        <v>7178</v>
      </c>
      <c r="F99" s="2"/>
      <c r="G99" s="2" t="s">
        <v>2052</v>
      </c>
      <c r="H99" s="16">
        <v>2</v>
      </c>
      <c r="I99" s="8">
        <f>VLOOKUP(E99,Sheet14!$A$5:$C$221,2,FALSE)</f>
        <v>2</v>
      </c>
      <c r="J99" s="24">
        <f t="shared" si="3"/>
        <v>0</v>
      </c>
      <c r="K99" s="17">
        <v>1</v>
      </c>
      <c r="L99" s="8">
        <f>VLOOKUP(E99,Sheet14!$A$5:$C$221,3,FALSE)</f>
        <v>1</v>
      </c>
      <c r="M99" s="22">
        <f t="shared" si="2"/>
        <v>0</v>
      </c>
    </row>
    <row r="100" spans="1:13" x14ac:dyDescent="0.35">
      <c r="A100" s="2">
        <v>97</v>
      </c>
      <c r="B100" s="2" t="s">
        <v>1934</v>
      </c>
      <c r="C100" s="2">
        <v>607</v>
      </c>
      <c r="D100" s="2" t="s">
        <v>162</v>
      </c>
      <c r="E100" s="2">
        <v>3395</v>
      </c>
      <c r="F100" s="2"/>
      <c r="G100" s="2" t="s">
        <v>596</v>
      </c>
      <c r="H100" s="16">
        <v>2</v>
      </c>
      <c r="I100" s="8">
        <f>VLOOKUP(E100,Sheet14!$A$5:$C$221,2,FALSE)</f>
        <v>2</v>
      </c>
      <c r="J100" s="24">
        <f t="shared" si="3"/>
        <v>0</v>
      </c>
      <c r="K100" s="17">
        <v>2</v>
      </c>
      <c r="L100" s="8">
        <f>VLOOKUP(E100,Sheet14!$A$5:$C$221,3,FALSE)</f>
        <v>2</v>
      </c>
      <c r="M100" s="22">
        <f t="shared" si="2"/>
        <v>0</v>
      </c>
    </row>
    <row r="101" spans="1:13" x14ac:dyDescent="0.35">
      <c r="A101" s="2">
        <v>98</v>
      </c>
      <c r="B101" s="2" t="s">
        <v>1934</v>
      </c>
      <c r="C101" s="2">
        <v>607</v>
      </c>
      <c r="D101" s="2" t="s">
        <v>162</v>
      </c>
      <c r="E101" s="2">
        <v>7360</v>
      </c>
      <c r="F101" s="2"/>
      <c r="G101" s="2" t="s">
        <v>2053</v>
      </c>
      <c r="H101" s="16">
        <v>2</v>
      </c>
      <c r="I101" s="8">
        <f>VLOOKUP(E101,Sheet14!$A$5:$C$221,2,FALSE)</f>
        <v>2</v>
      </c>
      <c r="J101" s="24">
        <f t="shared" si="3"/>
        <v>0</v>
      </c>
      <c r="K101" s="17">
        <v>1</v>
      </c>
      <c r="L101" s="8">
        <f>VLOOKUP(E101,Sheet14!$A$5:$C$221,3,FALSE)</f>
        <v>1</v>
      </c>
      <c r="M101" s="22">
        <f t="shared" si="2"/>
        <v>0</v>
      </c>
    </row>
    <row r="102" spans="1:13" x14ac:dyDescent="0.35">
      <c r="A102" s="2">
        <v>99</v>
      </c>
      <c r="B102" s="2" t="s">
        <v>1934</v>
      </c>
      <c r="C102" s="2">
        <v>607</v>
      </c>
      <c r="D102" s="2" t="s">
        <v>162</v>
      </c>
      <c r="E102" s="2">
        <v>3554</v>
      </c>
      <c r="F102" s="2"/>
      <c r="G102" s="2" t="s">
        <v>2054</v>
      </c>
      <c r="H102" s="16">
        <v>2</v>
      </c>
      <c r="I102" s="8">
        <f>VLOOKUP(E102,Sheet14!$A$5:$C$221,2,FALSE)</f>
        <v>2</v>
      </c>
      <c r="J102" s="24">
        <f t="shared" si="3"/>
        <v>0</v>
      </c>
      <c r="K102" s="17">
        <v>1</v>
      </c>
      <c r="L102" s="8">
        <f>VLOOKUP(E102,Sheet14!$A$5:$C$221,3,FALSE)</f>
        <v>1</v>
      </c>
      <c r="M102" s="22">
        <f t="shared" si="2"/>
        <v>0</v>
      </c>
    </row>
    <row r="103" spans="1:13" x14ac:dyDescent="0.35">
      <c r="A103" s="2">
        <v>100</v>
      </c>
      <c r="B103" s="2" t="s">
        <v>1934</v>
      </c>
      <c r="C103" s="2">
        <v>184</v>
      </c>
      <c r="D103" s="2" t="s">
        <v>123</v>
      </c>
      <c r="E103" s="2">
        <v>7108</v>
      </c>
      <c r="F103" s="2"/>
      <c r="G103" s="2" t="s">
        <v>2055</v>
      </c>
      <c r="H103" s="16">
        <v>1</v>
      </c>
      <c r="I103" s="8">
        <f>VLOOKUP(E103,Sheet14!$A$5:$C$221,2,FALSE)</f>
        <v>1</v>
      </c>
      <c r="J103" s="24">
        <f t="shared" si="3"/>
        <v>0</v>
      </c>
      <c r="K103" s="17">
        <v>1</v>
      </c>
      <c r="L103" s="8">
        <f>VLOOKUP(E103,Sheet14!$A$5:$C$221,3,FALSE)</f>
        <v>1</v>
      </c>
      <c r="M103" s="22">
        <f t="shared" si="2"/>
        <v>0</v>
      </c>
    </row>
    <row r="104" spans="1:13" x14ac:dyDescent="0.35">
      <c r="A104" s="2">
        <v>101</v>
      </c>
      <c r="B104" s="2" t="s">
        <v>1934</v>
      </c>
      <c r="C104" s="2">
        <v>184</v>
      </c>
      <c r="D104" s="2" t="s">
        <v>123</v>
      </c>
      <c r="E104" s="2">
        <v>5770</v>
      </c>
      <c r="F104" s="2"/>
      <c r="G104" s="2" t="s">
        <v>2056</v>
      </c>
      <c r="H104" s="16">
        <v>2</v>
      </c>
      <c r="I104" s="8">
        <f>VLOOKUP(E104,Sheet14!$A$5:$C$221,2,FALSE)</f>
        <v>2</v>
      </c>
      <c r="J104" s="24">
        <f t="shared" si="3"/>
        <v>0</v>
      </c>
      <c r="K104" s="17">
        <v>1</v>
      </c>
      <c r="L104" s="8">
        <f>VLOOKUP(E104,Sheet14!$A$5:$C$221,3,FALSE)</f>
        <v>1</v>
      </c>
      <c r="M104" s="22">
        <f t="shared" si="2"/>
        <v>0</v>
      </c>
    </row>
    <row r="105" spans="1:13" x14ac:dyDescent="0.35">
      <c r="A105" s="2">
        <v>102</v>
      </c>
      <c r="B105" s="2" t="s">
        <v>1934</v>
      </c>
      <c r="C105" s="2">
        <v>184</v>
      </c>
      <c r="D105" s="2" t="s">
        <v>123</v>
      </c>
      <c r="E105" s="2">
        <v>3557</v>
      </c>
      <c r="F105" s="2"/>
      <c r="G105" s="2" t="s">
        <v>1465</v>
      </c>
      <c r="H105" s="16">
        <v>2</v>
      </c>
      <c r="I105" s="8">
        <f>VLOOKUP(E105,Sheet14!$A$5:$C$221,2,FALSE)</f>
        <v>1</v>
      </c>
      <c r="J105" s="24">
        <f t="shared" si="3"/>
        <v>-1</v>
      </c>
      <c r="K105" s="17">
        <v>1</v>
      </c>
      <c r="L105" s="8">
        <f>VLOOKUP(E105,Sheet14!$A$5:$C$221,3,FALSE)</f>
        <v>1</v>
      </c>
      <c r="M105" s="22">
        <f t="shared" si="2"/>
        <v>0</v>
      </c>
    </row>
    <row r="106" spans="1:13" x14ac:dyDescent="0.35">
      <c r="A106" s="2">
        <v>103</v>
      </c>
      <c r="B106" s="2" t="s">
        <v>1934</v>
      </c>
      <c r="C106" s="2">
        <v>184</v>
      </c>
      <c r="D106" s="2" t="s">
        <v>123</v>
      </c>
      <c r="E106" s="2">
        <v>7499</v>
      </c>
      <c r="F106" s="2"/>
      <c r="G106" s="2" t="s">
        <v>2057</v>
      </c>
      <c r="H106" s="16">
        <v>1</v>
      </c>
      <c r="I106" s="8">
        <f>VLOOKUP(E106,Sheet14!$A$5:$C$221,2,FALSE)</f>
        <v>1</v>
      </c>
      <c r="J106" s="24">
        <f t="shared" si="3"/>
        <v>0</v>
      </c>
      <c r="K106" s="17">
        <v>1</v>
      </c>
      <c r="L106" s="8">
        <f>VLOOKUP(E106,Sheet14!$A$5:$C$221,3,FALSE)</f>
        <v>1</v>
      </c>
      <c r="M106" s="22">
        <f t="shared" si="2"/>
        <v>0</v>
      </c>
    </row>
    <row r="107" spans="1:13" x14ac:dyDescent="0.35">
      <c r="A107" s="2">
        <v>104</v>
      </c>
      <c r="B107" s="2" t="s">
        <v>1934</v>
      </c>
      <c r="C107" s="2">
        <v>184</v>
      </c>
      <c r="D107" s="2" t="s">
        <v>123</v>
      </c>
      <c r="E107" s="2">
        <v>5769</v>
      </c>
      <c r="F107" s="2"/>
      <c r="G107" s="2" t="s">
        <v>2058</v>
      </c>
      <c r="H107" s="16">
        <v>2</v>
      </c>
      <c r="I107" s="8">
        <f>VLOOKUP(E107,Sheet14!$A$5:$C$221,2,FALSE)</f>
        <v>1</v>
      </c>
      <c r="J107" s="24">
        <f t="shared" si="3"/>
        <v>-1</v>
      </c>
      <c r="K107" s="17">
        <v>2</v>
      </c>
      <c r="L107" s="8">
        <f>VLOOKUP(E107,Sheet14!$A$5:$C$221,3,FALSE)</f>
        <v>2</v>
      </c>
      <c r="M107" s="22">
        <f t="shared" si="2"/>
        <v>0</v>
      </c>
    </row>
    <row r="108" spans="1:13" x14ac:dyDescent="0.35">
      <c r="A108" s="2">
        <v>105</v>
      </c>
      <c r="B108" s="2" t="s">
        <v>1934</v>
      </c>
      <c r="C108" s="2">
        <v>184</v>
      </c>
      <c r="D108" s="2" t="s">
        <v>123</v>
      </c>
      <c r="E108" s="2">
        <v>3556</v>
      </c>
      <c r="F108" s="2"/>
      <c r="G108" s="2" t="s">
        <v>715</v>
      </c>
      <c r="H108" s="16">
        <v>2</v>
      </c>
      <c r="I108" s="8">
        <f>VLOOKUP(E108,Sheet14!$A$5:$C$221,2,FALSE)</f>
        <v>2</v>
      </c>
      <c r="J108" s="24">
        <f t="shared" si="3"/>
        <v>0</v>
      </c>
      <c r="K108" s="17">
        <v>2</v>
      </c>
      <c r="L108" s="8">
        <f>VLOOKUP(E108,Sheet14!$A$5:$C$221,3,FALSE)</f>
        <v>2</v>
      </c>
      <c r="M108" s="22">
        <f t="shared" si="2"/>
        <v>0</v>
      </c>
    </row>
    <row r="109" spans="1:13" x14ac:dyDescent="0.35">
      <c r="A109" s="2">
        <v>106</v>
      </c>
      <c r="B109" s="2" t="s">
        <v>1934</v>
      </c>
      <c r="C109" s="2">
        <v>184</v>
      </c>
      <c r="D109" s="2" t="s">
        <v>123</v>
      </c>
      <c r="E109" s="2">
        <v>5768</v>
      </c>
      <c r="F109" s="2"/>
      <c r="G109" s="2" t="s">
        <v>2059</v>
      </c>
      <c r="H109" s="16">
        <v>2</v>
      </c>
      <c r="I109" s="8">
        <f>VLOOKUP(E109,Sheet14!$A$5:$C$221,2,FALSE)</f>
        <v>2</v>
      </c>
      <c r="J109" s="24">
        <f t="shared" si="3"/>
        <v>0</v>
      </c>
      <c r="K109" s="17">
        <v>2</v>
      </c>
      <c r="L109" s="8">
        <f>VLOOKUP(E109,Sheet14!$A$5:$C$221,3,FALSE)</f>
        <v>2</v>
      </c>
      <c r="M109" s="22">
        <f t="shared" si="2"/>
        <v>0</v>
      </c>
    </row>
    <row r="110" spans="1:13" x14ac:dyDescent="0.35">
      <c r="A110" s="2">
        <v>107</v>
      </c>
      <c r="B110" s="2" t="s">
        <v>1934</v>
      </c>
      <c r="C110" s="2">
        <v>184</v>
      </c>
      <c r="D110" s="2" t="s">
        <v>123</v>
      </c>
      <c r="E110" s="2">
        <v>5726</v>
      </c>
      <c r="F110" s="2"/>
      <c r="G110" s="2" t="s">
        <v>2060</v>
      </c>
      <c r="H110" s="16">
        <v>1</v>
      </c>
      <c r="I110" s="8">
        <f>VLOOKUP(E110,Sheet14!$A$5:$C$221,2,FALSE)</f>
        <v>1</v>
      </c>
      <c r="J110" s="24">
        <f t="shared" si="3"/>
        <v>0</v>
      </c>
      <c r="K110" s="17">
        <v>1</v>
      </c>
      <c r="L110" s="8">
        <f>VLOOKUP(E110,Sheet14!$A$5:$C$221,3,FALSE)</f>
        <v>1</v>
      </c>
      <c r="M110" s="22">
        <f t="shared" si="2"/>
        <v>0</v>
      </c>
    </row>
    <row r="111" spans="1:13" x14ac:dyDescent="0.35">
      <c r="A111" s="2">
        <v>108</v>
      </c>
      <c r="B111" s="2" t="s">
        <v>1934</v>
      </c>
      <c r="C111" s="2">
        <v>184</v>
      </c>
      <c r="D111" s="2" t="s">
        <v>123</v>
      </c>
      <c r="E111" s="2">
        <v>8099</v>
      </c>
      <c r="F111" s="2"/>
      <c r="G111" s="2" t="s">
        <v>2061</v>
      </c>
      <c r="H111" s="16">
        <v>2</v>
      </c>
      <c r="I111" s="8">
        <f>VLOOKUP(E111,Sheet14!$A$5:$C$221,2,FALSE)</f>
        <v>2</v>
      </c>
      <c r="J111" s="24">
        <f t="shared" si="3"/>
        <v>0</v>
      </c>
      <c r="K111" s="17">
        <v>1</v>
      </c>
      <c r="L111" s="8">
        <f>VLOOKUP(E111,Sheet14!$A$5:$C$221,3,FALSE)</f>
        <v>1</v>
      </c>
      <c r="M111" s="22">
        <f t="shared" si="2"/>
        <v>0</v>
      </c>
    </row>
    <row r="112" spans="1:13" x14ac:dyDescent="0.35">
      <c r="A112" s="2">
        <v>109</v>
      </c>
      <c r="B112" s="2" t="s">
        <v>1934</v>
      </c>
      <c r="C112" s="2">
        <v>184</v>
      </c>
      <c r="D112" s="2" t="s">
        <v>123</v>
      </c>
      <c r="E112" s="2">
        <v>7044</v>
      </c>
      <c r="F112" s="2"/>
      <c r="G112" s="2" t="s">
        <v>2062</v>
      </c>
      <c r="H112" s="16">
        <v>2</v>
      </c>
      <c r="I112" s="8">
        <f>VLOOKUP(E112,Sheet14!$A$5:$C$221,2,FALSE)</f>
        <v>2</v>
      </c>
      <c r="J112" s="24">
        <f t="shared" si="3"/>
        <v>0</v>
      </c>
      <c r="K112" s="17">
        <v>1</v>
      </c>
      <c r="L112" s="8">
        <f>VLOOKUP(E112,Sheet14!$A$5:$C$221,3,FALSE)</f>
        <v>1</v>
      </c>
      <c r="M112" s="22">
        <f t="shared" si="2"/>
        <v>0</v>
      </c>
    </row>
    <row r="113" spans="1:13" x14ac:dyDescent="0.35">
      <c r="A113" s="2">
        <v>110</v>
      </c>
      <c r="B113" s="2" t="s">
        <v>1934</v>
      </c>
      <c r="C113" s="2">
        <v>63</v>
      </c>
      <c r="D113" s="2" t="s">
        <v>246</v>
      </c>
      <c r="E113" s="2">
        <v>7690</v>
      </c>
      <c r="F113" s="2"/>
      <c r="G113" s="2" t="s">
        <v>2063</v>
      </c>
      <c r="H113" s="16">
        <v>1</v>
      </c>
      <c r="I113" s="8">
        <f>VLOOKUP(E113,Sheet14!$A$5:$C$221,2,FALSE)</f>
        <v>1</v>
      </c>
      <c r="J113" s="24">
        <f t="shared" si="3"/>
        <v>0</v>
      </c>
      <c r="K113" s="17">
        <v>1</v>
      </c>
      <c r="L113" s="8">
        <f>VLOOKUP(E113,Sheet14!$A$5:$C$221,3,FALSE)</f>
        <v>1</v>
      </c>
      <c r="M113" s="22">
        <f t="shared" si="2"/>
        <v>0</v>
      </c>
    </row>
    <row r="114" spans="1:13" x14ac:dyDescent="0.35">
      <c r="A114" s="2">
        <v>111</v>
      </c>
      <c r="B114" s="2" t="s">
        <v>1934</v>
      </c>
      <c r="C114" s="2">
        <v>63</v>
      </c>
      <c r="D114" s="2" t="s">
        <v>246</v>
      </c>
      <c r="E114" s="2">
        <v>3696</v>
      </c>
      <c r="F114" s="2"/>
      <c r="G114" s="2" t="s">
        <v>2064</v>
      </c>
      <c r="H114" s="16">
        <v>2</v>
      </c>
      <c r="I114" s="8">
        <f>VLOOKUP(E114,Sheet14!$A$5:$C$221,2,FALSE)</f>
        <v>2</v>
      </c>
      <c r="J114" s="24">
        <f t="shared" si="3"/>
        <v>0</v>
      </c>
      <c r="K114" s="17">
        <v>1</v>
      </c>
      <c r="L114" s="8">
        <f>VLOOKUP(E114,Sheet14!$A$5:$C$221,3,FALSE)</f>
        <v>1</v>
      </c>
      <c r="M114" s="22">
        <f t="shared" si="2"/>
        <v>0</v>
      </c>
    </row>
    <row r="115" spans="1:13" x14ac:dyDescent="0.35">
      <c r="A115" s="2">
        <v>112</v>
      </c>
      <c r="B115" s="2" t="s">
        <v>1934</v>
      </c>
      <c r="C115" s="2">
        <v>63</v>
      </c>
      <c r="D115" s="2" t="s">
        <v>246</v>
      </c>
      <c r="E115" s="2">
        <v>7142</v>
      </c>
      <c r="F115" s="2"/>
      <c r="G115" s="2" t="s">
        <v>2065</v>
      </c>
      <c r="H115" s="16">
        <v>1</v>
      </c>
      <c r="I115" s="8">
        <f>VLOOKUP(E115,Sheet14!$A$5:$C$221,2,FALSE)</f>
        <v>1</v>
      </c>
      <c r="J115" s="24">
        <f t="shared" si="3"/>
        <v>0</v>
      </c>
      <c r="K115" s="17">
        <v>1</v>
      </c>
      <c r="L115" s="8">
        <f>VLOOKUP(E115,Sheet14!$A$5:$C$221,3,FALSE)</f>
        <v>1</v>
      </c>
      <c r="M115" s="22">
        <f t="shared" si="2"/>
        <v>0</v>
      </c>
    </row>
    <row r="116" spans="1:13" x14ac:dyDescent="0.35">
      <c r="A116" s="2">
        <v>113</v>
      </c>
      <c r="B116" s="2" t="s">
        <v>1934</v>
      </c>
      <c r="C116" s="2">
        <v>63</v>
      </c>
      <c r="D116" s="2" t="s">
        <v>246</v>
      </c>
      <c r="E116" s="2">
        <v>5767</v>
      </c>
      <c r="F116" s="2"/>
      <c r="G116" s="2" t="s">
        <v>2066</v>
      </c>
      <c r="H116" s="16">
        <v>2</v>
      </c>
      <c r="I116" s="8">
        <f>VLOOKUP(E116,Sheet14!$A$5:$C$221,2,FALSE)</f>
        <v>2</v>
      </c>
      <c r="J116" s="24">
        <f t="shared" si="3"/>
        <v>0</v>
      </c>
      <c r="K116" s="17">
        <v>1</v>
      </c>
      <c r="L116" s="8">
        <f>VLOOKUP(E116,Sheet14!$A$5:$C$221,3,FALSE)</f>
        <v>2</v>
      </c>
      <c r="M116" s="22">
        <f t="shared" si="2"/>
        <v>1</v>
      </c>
    </row>
    <row r="117" spans="1:13" x14ac:dyDescent="0.35">
      <c r="A117" s="2">
        <v>114</v>
      </c>
      <c r="B117" s="2" t="s">
        <v>1934</v>
      </c>
      <c r="C117" s="2">
        <v>63</v>
      </c>
      <c r="D117" s="2" t="s">
        <v>246</v>
      </c>
      <c r="E117" s="2">
        <v>5766</v>
      </c>
      <c r="F117" s="2"/>
      <c r="G117" s="2" t="s">
        <v>2067</v>
      </c>
      <c r="H117" s="16">
        <v>1</v>
      </c>
      <c r="I117" s="8">
        <f>VLOOKUP(E117,Sheet14!$A$5:$C$221,2,FALSE)</f>
        <v>2</v>
      </c>
      <c r="J117" s="24">
        <f t="shared" si="3"/>
        <v>1</v>
      </c>
      <c r="K117" s="17">
        <v>1</v>
      </c>
      <c r="L117" s="8">
        <f>VLOOKUP(E117,Sheet14!$A$5:$C$221,3,FALSE)</f>
        <v>1</v>
      </c>
      <c r="M117" s="22">
        <f t="shared" si="2"/>
        <v>0</v>
      </c>
    </row>
    <row r="118" spans="1:13" x14ac:dyDescent="0.35">
      <c r="A118" s="2">
        <v>115</v>
      </c>
      <c r="B118" s="2" t="s">
        <v>1934</v>
      </c>
      <c r="C118" s="2">
        <v>63</v>
      </c>
      <c r="D118" s="2" t="s">
        <v>246</v>
      </c>
      <c r="E118" s="2">
        <v>5765</v>
      </c>
      <c r="F118" s="2"/>
      <c r="G118" s="2" t="s">
        <v>2068</v>
      </c>
      <c r="H118" s="16">
        <v>1</v>
      </c>
      <c r="I118" s="8">
        <f>VLOOKUP(E118,Sheet14!$A$5:$C$221,2,FALSE)</f>
        <v>1</v>
      </c>
      <c r="J118" s="24">
        <f t="shared" si="3"/>
        <v>0</v>
      </c>
      <c r="K118" s="17">
        <v>1</v>
      </c>
      <c r="L118" s="8">
        <f>VLOOKUP(E118,Sheet14!$A$5:$C$221,3,FALSE)</f>
        <v>1</v>
      </c>
      <c r="M118" s="22">
        <f t="shared" si="2"/>
        <v>0</v>
      </c>
    </row>
    <row r="119" spans="1:13" x14ac:dyDescent="0.35">
      <c r="A119" s="2">
        <v>116</v>
      </c>
      <c r="B119" s="2" t="s">
        <v>1934</v>
      </c>
      <c r="C119" s="2">
        <v>63</v>
      </c>
      <c r="D119" s="2" t="s">
        <v>246</v>
      </c>
      <c r="E119" s="2">
        <v>3397</v>
      </c>
      <c r="F119" s="2"/>
      <c r="G119" s="2" t="s">
        <v>633</v>
      </c>
      <c r="H119" s="16">
        <v>2</v>
      </c>
      <c r="I119" s="8">
        <f>VLOOKUP(E119,Sheet14!$A$5:$C$221,2,FALSE)</f>
        <v>2</v>
      </c>
      <c r="J119" s="24">
        <f t="shared" si="3"/>
        <v>0</v>
      </c>
      <c r="K119" s="17">
        <v>1</v>
      </c>
      <c r="L119" s="8">
        <f>VLOOKUP(E119,Sheet14!$A$5:$C$221,3,FALSE)</f>
        <v>1</v>
      </c>
      <c r="M119" s="22">
        <f t="shared" si="2"/>
        <v>0</v>
      </c>
    </row>
    <row r="120" spans="1:13" x14ac:dyDescent="0.35">
      <c r="A120" s="2">
        <v>117</v>
      </c>
      <c r="B120" s="2" t="s">
        <v>1934</v>
      </c>
      <c r="C120" s="2">
        <v>324</v>
      </c>
      <c r="D120" s="2" t="s">
        <v>51</v>
      </c>
      <c r="E120" s="2">
        <v>3555</v>
      </c>
      <c r="F120" s="2"/>
      <c r="G120" s="2" t="s">
        <v>2069</v>
      </c>
      <c r="H120" s="16">
        <v>1</v>
      </c>
      <c r="I120" s="8">
        <f>VLOOKUP(E120,Sheet14!$A$5:$C$221,2,FALSE)</f>
        <v>1</v>
      </c>
      <c r="J120" s="24">
        <f t="shared" si="3"/>
        <v>0</v>
      </c>
      <c r="K120" s="17">
        <v>1</v>
      </c>
      <c r="L120" s="8">
        <f>VLOOKUP(E120,Sheet14!$A$5:$C$221,3,FALSE)</f>
        <v>1</v>
      </c>
      <c r="M120" s="22">
        <f t="shared" si="2"/>
        <v>0</v>
      </c>
    </row>
    <row r="121" spans="1:13" x14ac:dyDescent="0.35">
      <c r="A121" s="2">
        <v>118</v>
      </c>
      <c r="B121" s="2" t="s">
        <v>1934</v>
      </c>
      <c r="C121" s="2">
        <v>63</v>
      </c>
      <c r="D121" s="2" t="s">
        <v>246</v>
      </c>
      <c r="E121" s="2">
        <v>5764</v>
      </c>
      <c r="F121" s="2"/>
      <c r="G121" s="2" t="s">
        <v>2070</v>
      </c>
      <c r="H121" s="16">
        <v>2</v>
      </c>
      <c r="I121" s="8">
        <f>VLOOKUP(E121,Sheet14!$A$5:$C$221,2,FALSE)</f>
        <v>2</v>
      </c>
      <c r="J121" s="24">
        <f t="shared" si="3"/>
        <v>0</v>
      </c>
      <c r="K121" s="17">
        <v>2</v>
      </c>
      <c r="L121" s="8">
        <f>VLOOKUP(E121,Sheet14!$A$5:$C$221,3,FALSE)</f>
        <v>2</v>
      </c>
      <c r="M121" s="22">
        <f t="shared" si="2"/>
        <v>0</v>
      </c>
    </row>
    <row r="122" spans="1:13" x14ac:dyDescent="0.35">
      <c r="A122" s="2">
        <v>119</v>
      </c>
      <c r="B122" s="2" t="s">
        <v>1934</v>
      </c>
      <c r="C122" s="2">
        <v>63</v>
      </c>
      <c r="D122" s="2" t="s">
        <v>246</v>
      </c>
      <c r="E122" s="2">
        <v>7691</v>
      </c>
      <c r="F122" s="2"/>
      <c r="G122" s="2" t="s">
        <v>2071</v>
      </c>
      <c r="H122" s="16">
        <v>1</v>
      </c>
      <c r="I122" s="8">
        <f>VLOOKUP(E122,Sheet14!$A$5:$C$221,2,FALSE)</f>
        <v>1</v>
      </c>
      <c r="J122" s="24">
        <f t="shared" si="3"/>
        <v>0</v>
      </c>
      <c r="K122" s="17">
        <v>1</v>
      </c>
      <c r="L122" s="8">
        <f>VLOOKUP(E122,Sheet14!$A$5:$C$221,3,FALSE)</f>
        <v>1</v>
      </c>
      <c r="M122" s="22">
        <f t="shared" si="2"/>
        <v>0</v>
      </c>
    </row>
    <row r="123" spans="1:13" x14ac:dyDescent="0.35">
      <c r="A123" s="2">
        <v>120</v>
      </c>
      <c r="B123" s="2" t="s">
        <v>1934</v>
      </c>
      <c r="C123" s="2">
        <v>63</v>
      </c>
      <c r="D123" s="2" t="s">
        <v>246</v>
      </c>
      <c r="E123" s="2">
        <v>7141</v>
      </c>
      <c r="F123" s="2"/>
      <c r="G123" s="2" t="s">
        <v>2072</v>
      </c>
      <c r="H123" s="16">
        <v>1</v>
      </c>
      <c r="I123" s="8">
        <f>VLOOKUP(E123,Sheet14!$A$5:$C$221,2,FALSE)</f>
        <v>1</v>
      </c>
      <c r="J123" s="24">
        <f t="shared" si="3"/>
        <v>0</v>
      </c>
      <c r="K123" s="17">
        <v>1</v>
      </c>
      <c r="L123" s="8">
        <f>VLOOKUP(E123,Sheet14!$A$5:$C$221,3,FALSE)</f>
        <v>1</v>
      </c>
      <c r="M123" s="22">
        <f t="shared" si="2"/>
        <v>0</v>
      </c>
    </row>
    <row r="124" spans="1:13" x14ac:dyDescent="0.35">
      <c r="A124" s="2">
        <v>121</v>
      </c>
      <c r="B124" s="2" t="s">
        <v>1934</v>
      </c>
      <c r="C124" s="2">
        <v>342</v>
      </c>
      <c r="D124" s="2" t="s">
        <v>57</v>
      </c>
      <c r="E124" s="2">
        <v>5788</v>
      </c>
      <c r="F124" s="2"/>
      <c r="G124" s="2" t="s">
        <v>2073</v>
      </c>
      <c r="H124" s="16">
        <v>2</v>
      </c>
      <c r="I124" s="8">
        <f>VLOOKUP(E124,Sheet14!$A$5:$C$221,2,FALSE)</f>
        <v>2</v>
      </c>
      <c r="J124" s="24">
        <f t="shared" si="3"/>
        <v>0</v>
      </c>
      <c r="K124" s="17">
        <v>1</v>
      </c>
      <c r="L124" s="8">
        <f>VLOOKUP(E124,Sheet14!$A$5:$C$221,3,FALSE)</f>
        <v>1</v>
      </c>
      <c r="M124" s="22">
        <f t="shared" si="2"/>
        <v>0</v>
      </c>
    </row>
    <row r="125" spans="1:13" x14ac:dyDescent="0.35">
      <c r="A125" s="2">
        <v>122</v>
      </c>
      <c r="B125" s="2" t="s">
        <v>1934</v>
      </c>
      <c r="C125" s="2">
        <v>342</v>
      </c>
      <c r="D125" s="2" t="s">
        <v>57</v>
      </c>
      <c r="E125" s="2">
        <v>5757</v>
      </c>
      <c r="F125" s="2"/>
      <c r="G125" s="2" t="s">
        <v>2074</v>
      </c>
      <c r="H125" s="16">
        <v>2</v>
      </c>
      <c r="I125" s="8">
        <f>VLOOKUP(E125,Sheet14!$A$5:$C$221,2,FALSE)</f>
        <v>2</v>
      </c>
      <c r="J125" s="24">
        <f t="shared" si="3"/>
        <v>0</v>
      </c>
      <c r="K125" s="17">
        <v>1</v>
      </c>
      <c r="L125" s="8">
        <f>VLOOKUP(E125,Sheet14!$A$5:$C$221,3,FALSE)</f>
        <v>1</v>
      </c>
      <c r="M125" s="22">
        <f t="shared" si="2"/>
        <v>0</v>
      </c>
    </row>
    <row r="126" spans="1:13" x14ac:dyDescent="0.35">
      <c r="A126" s="2">
        <v>123</v>
      </c>
      <c r="B126" s="2" t="s">
        <v>1934</v>
      </c>
      <c r="C126" s="2">
        <v>342</v>
      </c>
      <c r="D126" s="2" t="s">
        <v>57</v>
      </c>
      <c r="E126" s="2">
        <v>5756</v>
      </c>
      <c r="F126" s="2"/>
      <c r="G126" s="2" t="s">
        <v>1738</v>
      </c>
      <c r="H126" s="16">
        <v>2</v>
      </c>
      <c r="I126" s="8">
        <f>VLOOKUP(E126,Sheet14!$A$5:$C$221,2,FALSE)</f>
        <v>2</v>
      </c>
      <c r="J126" s="24">
        <f t="shared" si="3"/>
        <v>0</v>
      </c>
      <c r="K126" s="17">
        <v>1</v>
      </c>
      <c r="L126" s="8">
        <f>VLOOKUP(E126,Sheet14!$A$5:$C$221,3,FALSE)</f>
        <v>1</v>
      </c>
      <c r="M126" s="22">
        <f t="shared" si="2"/>
        <v>0</v>
      </c>
    </row>
    <row r="127" spans="1:13" x14ac:dyDescent="0.35">
      <c r="A127" s="2">
        <v>124</v>
      </c>
      <c r="B127" s="2" t="s">
        <v>1934</v>
      </c>
      <c r="C127" s="2">
        <v>342</v>
      </c>
      <c r="D127" s="2" t="s">
        <v>57</v>
      </c>
      <c r="E127" s="2">
        <v>5763</v>
      </c>
      <c r="F127" s="2"/>
      <c r="G127" s="2" t="s">
        <v>2075</v>
      </c>
      <c r="H127" s="16">
        <v>2</v>
      </c>
      <c r="I127" s="8">
        <f>VLOOKUP(E127,Sheet14!$A$5:$C$221,2,FALSE)</f>
        <v>2</v>
      </c>
      <c r="J127" s="24">
        <f t="shared" si="3"/>
        <v>0</v>
      </c>
      <c r="K127" s="17">
        <v>1</v>
      </c>
      <c r="L127" s="8">
        <f>VLOOKUP(E127,Sheet14!$A$5:$C$221,3,FALSE)</f>
        <v>1</v>
      </c>
      <c r="M127" s="22">
        <f t="shared" si="2"/>
        <v>0</v>
      </c>
    </row>
    <row r="128" spans="1:13" x14ac:dyDescent="0.35">
      <c r="A128" s="2">
        <v>125</v>
      </c>
      <c r="B128" s="2" t="s">
        <v>1934</v>
      </c>
      <c r="C128" s="2">
        <v>342</v>
      </c>
      <c r="D128" s="2" t="s">
        <v>57</v>
      </c>
      <c r="E128" s="2">
        <v>5753</v>
      </c>
      <c r="F128" s="2"/>
      <c r="G128" s="2" t="s">
        <v>2076</v>
      </c>
      <c r="H128" s="16">
        <v>2</v>
      </c>
      <c r="I128" s="8">
        <f>VLOOKUP(E128,Sheet14!$A$5:$C$221,2,FALSE)</f>
        <v>2</v>
      </c>
      <c r="J128" s="24">
        <f t="shared" si="3"/>
        <v>0</v>
      </c>
      <c r="K128" s="17">
        <v>1</v>
      </c>
      <c r="L128" s="8">
        <f>VLOOKUP(E128,Sheet14!$A$5:$C$221,3,FALSE)</f>
        <v>1</v>
      </c>
      <c r="M128" s="22">
        <f t="shared" si="2"/>
        <v>0</v>
      </c>
    </row>
    <row r="129" spans="1:13" x14ac:dyDescent="0.35">
      <c r="A129" s="2">
        <v>126</v>
      </c>
      <c r="B129" s="2" t="s">
        <v>1934</v>
      </c>
      <c r="C129" s="2">
        <v>342</v>
      </c>
      <c r="D129" s="2" t="s">
        <v>57</v>
      </c>
      <c r="E129" s="2">
        <v>5746</v>
      </c>
      <c r="F129" s="2"/>
      <c r="G129" s="2" t="s">
        <v>2077</v>
      </c>
      <c r="H129" s="16">
        <v>2</v>
      </c>
      <c r="I129" s="8">
        <f>VLOOKUP(E129,Sheet14!$A$5:$C$221,2,FALSE)</f>
        <v>2</v>
      </c>
      <c r="J129" s="24">
        <f t="shared" si="3"/>
        <v>0</v>
      </c>
      <c r="K129" s="17">
        <v>1</v>
      </c>
      <c r="L129" s="8">
        <f>VLOOKUP(E129,Sheet14!$A$5:$C$221,3,FALSE)</f>
        <v>1</v>
      </c>
      <c r="M129" s="22">
        <f t="shared" si="2"/>
        <v>0</v>
      </c>
    </row>
    <row r="130" spans="1:13" x14ac:dyDescent="0.35">
      <c r="A130" s="2">
        <v>127</v>
      </c>
      <c r="B130" s="2" t="s">
        <v>1934</v>
      </c>
      <c r="C130" s="2">
        <v>342</v>
      </c>
      <c r="D130" s="2" t="s">
        <v>57</v>
      </c>
      <c r="E130" s="2">
        <v>5745</v>
      </c>
      <c r="F130" s="2"/>
      <c r="G130" s="2" t="s">
        <v>2078</v>
      </c>
      <c r="H130" s="16">
        <v>2</v>
      </c>
      <c r="I130" s="8">
        <f>VLOOKUP(E130,Sheet14!$A$5:$C$221,2,FALSE)</f>
        <v>2</v>
      </c>
      <c r="J130" s="24">
        <f t="shared" si="3"/>
        <v>0</v>
      </c>
      <c r="K130" s="17">
        <v>1</v>
      </c>
      <c r="L130" s="8">
        <f>VLOOKUP(E130,Sheet14!$A$5:$C$221,3,FALSE)</f>
        <v>1</v>
      </c>
      <c r="M130" s="22">
        <f t="shared" si="2"/>
        <v>0</v>
      </c>
    </row>
    <row r="131" spans="1:13" x14ac:dyDescent="0.35">
      <c r="A131" s="2">
        <v>128</v>
      </c>
      <c r="B131" s="2" t="s">
        <v>1934</v>
      </c>
      <c r="C131" s="2">
        <v>342</v>
      </c>
      <c r="D131" s="2" t="s">
        <v>57</v>
      </c>
      <c r="E131" s="2">
        <v>7770</v>
      </c>
      <c r="F131" s="2"/>
      <c r="G131" s="2" t="s">
        <v>2079</v>
      </c>
      <c r="H131" s="16">
        <v>2</v>
      </c>
      <c r="I131" s="8">
        <f>VLOOKUP(E131,Sheet14!$A$5:$C$221,2,FALSE)</f>
        <v>2</v>
      </c>
      <c r="J131" s="24">
        <f t="shared" si="3"/>
        <v>0</v>
      </c>
      <c r="K131" s="17">
        <v>1</v>
      </c>
      <c r="L131" s="8">
        <f>VLOOKUP(E131,Sheet14!$A$5:$C$221,3,FALSE)</f>
        <v>1</v>
      </c>
      <c r="M131" s="22">
        <f t="shared" ref="M131:M145" si="4">L131-K131</f>
        <v>0</v>
      </c>
    </row>
    <row r="132" spans="1:13" x14ac:dyDescent="0.35">
      <c r="A132" s="2">
        <v>129</v>
      </c>
      <c r="B132" s="2" t="s">
        <v>1934</v>
      </c>
      <c r="C132" s="2">
        <v>342</v>
      </c>
      <c r="D132" s="2" t="s">
        <v>57</v>
      </c>
      <c r="E132" s="2">
        <v>3396</v>
      </c>
      <c r="F132" s="2"/>
      <c r="G132" s="2" t="s">
        <v>2080</v>
      </c>
      <c r="H132" s="16">
        <v>2</v>
      </c>
      <c r="I132" s="8">
        <f>VLOOKUP(E132,Sheet14!$A$5:$C$221,2,FALSE)</f>
        <v>2</v>
      </c>
      <c r="J132" s="24">
        <f t="shared" ref="J132:J195" si="5">I132-H132</f>
        <v>0</v>
      </c>
      <c r="K132" s="17">
        <v>1</v>
      </c>
      <c r="L132" s="8">
        <f>VLOOKUP(E132,Sheet14!$A$5:$C$221,3,FALSE)</f>
        <v>1</v>
      </c>
      <c r="M132" s="22">
        <f t="shared" si="4"/>
        <v>0</v>
      </c>
    </row>
    <row r="133" spans="1:13" x14ac:dyDescent="0.35">
      <c r="A133" s="2">
        <v>130</v>
      </c>
      <c r="B133" s="2" t="s">
        <v>1934</v>
      </c>
      <c r="C133" s="2">
        <v>342</v>
      </c>
      <c r="D133" s="2" t="s">
        <v>57</v>
      </c>
      <c r="E133" s="2">
        <v>5761</v>
      </c>
      <c r="F133" s="2"/>
      <c r="G133" s="2" t="s">
        <v>2081</v>
      </c>
      <c r="H133" s="16">
        <v>2</v>
      </c>
      <c r="I133" s="8">
        <f>VLOOKUP(E133,Sheet14!$A$5:$C$221,2,FALSE)</f>
        <v>2</v>
      </c>
      <c r="J133" s="24">
        <f t="shared" si="5"/>
        <v>0</v>
      </c>
      <c r="K133" s="17">
        <v>1</v>
      </c>
      <c r="L133" s="8">
        <f>VLOOKUP(E133,Sheet14!$A$5:$C$221,3,FALSE)</f>
        <v>1</v>
      </c>
      <c r="M133" s="22">
        <f t="shared" si="4"/>
        <v>0</v>
      </c>
    </row>
    <row r="134" spans="1:13" x14ac:dyDescent="0.35">
      <c r="A134" s="2">
        <v>131</v>
      </c>
      <c r="B134" s="2" t="s">
        <v>1934</v>
      </c>
      <c r="C134" s="2">
        <v>342</v>
      </c>
      <c r="D134" s="2" t="s">
        <v>57</v>
      </c>
      <c r="E134" s="2">
        <v>7975</v>
      </c>
      <c r="F134" s="2"/>
      <c r="G134" s="2" t="s">
        <v>2082</v>
      </c>
      <c r="H134" s="16">
        <v>2</v>
      </c>
      <c r="I134" s="8">
        <f>VLOOKUP(E134,Sheet14!$A$5:$C$221,2,FALSE)</f>
        <v>2</v>
      </c>
      <c r="J134" s="24">
        <f t="shared" si="5"/>
        <v>0</v>
      </c>
      <c r="K134" s="17">
        <v>1</v>
      </c>
      <c r="L134" s="8">
        <f>VLOOKUP(E134,Sheet14!$A$5:$C$221,3,FALSE)</f>
        <v>1</v>
      </c>
      <c r="M134" s="22">
        <f t="shared" si="4"/>
        <v>0</v>
      </c>
    </row>
    <row r="135" spans="1:13" x14ac:dyDescent="0.35">
      <c r="A135" s="2">
        <v>132</v>
      </c>
      <c r="B135" s="2" t="s">
        <v>1934</v>
      </c>
      <c r="C135" s="2">
        <v>342</v>
      </c>
      <c r="D135" s="2" t="s">
        <v>57</v>
      </c>
      <c r="E135" s="2">
        <v>5739</v>
      </c>
      <c r="F135" s="2"/>
      <c r="G135" s="2" t="s">
        <v>2083</v>
      </c>
      <c r="H135" s="16">
        <v>2</v>
      </c>
      <c r="I135" s="8">
        <f>VLOOKUP(E135,Sheet14!$A$5:$C$221,2,FALSE)</f>
        <v>2</v>
      </c>
      <c r="J135" s="24">
        <f t="shared" si="5"/>
        <v>0</v>
      </c>
      <c r="K135" s="17">
        <v>1</v>
      </c>
      <c r="L135" s="8">
        <f>VLOOKUP(E135,Sheet14!$A$5:$C$221,3,FALSE)</f>
        <v>0</v>
      </c>
      <c r="M135" s="22">
        <f t="shared" si="4"/>
        <v>-1</v>
      </c>
    </row>
    <row r="136" spans="1:13" x14ac:dyDescent="0.35">
      <c r="A136" s="2">
        <v>133</v>
      </c>
      <c r="B136" s="2" t="s">
        <v>1934</v>
      </c>
      <c r="C136" s="2">
        <v>59</v>
      </c>
      <c r="D136" s="2" t="s">
        <v>73</v>
      </c>
      <c r="E136" s="2">
        <v>5758</v>
      </c>
      <c r="F136" s="2"/>
      <c r="G136" s="2" t="s">
        <v>2084</v>
      </c>
      <c r="H136" s="16">
        <v>2</v>
      </c>
      <c r="I136" s="8">
        <f>VLOOKUP(E136,Sheet14!$A$5:$C$221,2,FALSE)</f>
        <v>1</v>
      </c>
      <c r="J136" s="24">
        <f t="shared" si="5"/>
        <v>-1</v>
      </c>
      <c r="K136" s="17">
        <v>2</v>
      </c>
      <c r="L136" s="8">
        <f>VLOOKUP(E136,Sheet14!$A$5:$C$221,3,FALSE)</f>
        <v>2</v>
      </c>
      <c r="M136" s="22">
        <f t="shared" si="4"/>
        <v>0</v>
      </c>
    </row>
    <row r="137" spans="1:13" x14ac:dyDescent="0.35">
      <c r="A137" s="2">
        <v>134</v>
      </c>
      <c r="B137" s="2" t="s">
        <v>1934</v>
      </c>
      <c r="C137" s="2">
        <v>59</v>
      </c>
      <c r="D137" s="2" t="s">
        <v>73</v>
      </c>
      <c r="E137" s="2">
        <v>7054</v>
      </c>
      <c r="F137" s="2"/>
      <c r="G137" s="2" t="s">
        <v>2085</v>
      </c>
      <c r="H137" s="16">
        <v>2</v>
      </c>
      <c r="I137" s="8">
        <f>VLOOKUP(E137,Sheet14!$A$5:$C$221,2,FALSE)</f>
        <v>2</v>
      </c>
      <c r="J137" s="24">
        <f t="shared" si="5"/>
        <v>0</v>
      </c>
      <c r="K137" s="17">
        <v>1</v>
      </c>
      <c r="L137" s="8">
        <f>VLOOKUP(E137,Sheet14!$A$5:$C$221,3,FALSE)</f>
        <v>1</v>
      </c>
      <c r="M137" s="22">
        <f t="shared" si="4"/>
        <v>0</v>
      </c>
    </row>
    <row r="138" spans="1:13" x14ac:dyDescent="0.35">
      <c r="A138" s="2">
        <v>135</v>
      </c>
      <c r="B138" s="2" t="s">
        <v>1934</v>
      </c>
      <c r="C138" s="2">
        <v>59</v>
      </c>
      <c r="D138" s="2" t="s">
        <v>73</v>
      </c>
      <c r="E138" s="2">
        <v>5755</v>
      </c>
      <c r="F138" s="2"/>
      <c r="G138" s="2" t="s">
        <v>2086</v>
      </c>
      <c r="H138" s="16">
        <v>2</v>
      </c>
      <c r="I138" s="8">
        <f>VLOOKUP(E138,Sheet14!$A$5:$C$221,2,FALSE)</f>
        <v>2</v>
      </c>
      <c r="J138" s="24">
        <f t="shared" si="5"/>
        <v>0</v>
      </c>
      <c r="K138" s="17">
        <v>1</v>
      </c>
      <c r="L138" s="8">
        <f>VLOOKUP(E138,Sheet14!$A$5:$C$221,3,FALSE)</f>
        <v>1</v>
      </c>
      <c r="M138" s="22">
        <f t="shared" si="4"/>
        <v>0</v>
      </c>
    </row>
    <row r="139" spans="1:13" x14ac:dyDescent="0.35">
      <c r="A139" s="2">
        <v>136</v>
      </c>
      <c r="B139" s="2" t="s">
        <v>1934</v>
      </c>
      <c r="C139" s="2">
        <v>59</v>
      </c>
      <c r="D139" s="2" t="s">
        <v>73</v>
      </c>
      <c r="E139" s="2">
        <v>5747</v>
      </c>
      <c r="F139" s="2"/>
      <c r="G139" s="2" t="s">
        <v>2087</v>
      </c>
      <c r="H139" s="16">
        <v>2</v>
      </c>
      <c r="I139" s="8">
        <f>VLOOKUP(E139,Sheet14!$A$5:$C$221,2,FALSE)</f>
        <v>2</v>
      </c>
      <c r="J139" s="24">
        <f t="shared" si="5"/>
        <v>0</v>
      </c>
      <c r="K139" s="17">
        <v>2</v>
      </c>
      <c r="L139" s="8">
        <f>VLOOKUP(E139,Sheet14!$A$5:$C$221,3,FALSE)</f>
        <v>2</v>
      </c>
      <c r="M139" s="22">
        <f t="shared" si="4"/>
        <v>0</v>
      </c>
    </row>
    <row r="140" spans="1:13" x14ac:dyDescent="0.35">
      <c r="A140" s="2">
        <v>137</v>
      </c>
      <c r="B140" s="2" t="s">
        <v>1934</v>
      </c>
      <c r="C140" s="2">
        <v>59</v>
      </c>
      <c r="D140" s="2" t="s">
        <v>73</v>
      </c>
      <c r="E140" s="2">
        <v>5762</v>
      </c>
      <c r="F140" s="2"/>
      <c r="G140" s="2" t="s">
        <v>2088</v>
      </c>
      <c r="H140" s="16">
        <v>2</v>
      </c>
      <c r="I140" s="8">
        <f>VLOOKUP(E140,Sheet14!$A$5:$C$221,2,FALSE)</f>
        <v>2</v>
      </c>
      <c r="J140" s="24">
        <f t="shared" si="5"/>
        <v>0</v>
      </c>
      <c r="K140" s="17">
        <v>2</v>
      </c>
      <c r="L140" s="8">
        <f>VLOOKUP(E140,Sheet14!$A$5:$C$221,3,FALSE)</f>
        <v>2</v>
      </c>
      <c r="M140" s="22">
        <f t="shared" si="4"/>
        <v>0</v>
      </c>
    </row>
    <row r="141" spans="1:13" x14ac:dyDescent="0.35">
      <c r="A141" s="2">
        <v>138</v>
      </c>
      <c r="B141" s="2" t="s">
        <v>1934</v>
      </c>
      <c r="C141" s="2">
        <v>59</v>
      </c>
      <c r="D141" s="2" t="s">
        <v>73</v>
      </c>
      <c r="E141" s="2">
        <v>7751</v>
      </c>
      <c r="F141" s="2"/>
      <c r="G141" s="2" t="s">
        <v>2089</v>
      </c>
      <c r="H141" s="16">
        <v>2</v>
      </c>
      <c r="I141" s="8">
        <f>VLOOKUP(E141,Sheet14!$A$5:$C$221,2,FALSE)</f>
        <v>2</v>
      </c>
      <c r="J141" s="24">
        <f t="shared" si="5"/>
        <v>0</v>
      </c>
      <c r="K141" s="17">
        <v>1</v>
      </c>
      <c r="L141" s="8">
        <f>VLOOKUP(E141,Sheet14!$A$5:$C$221,3,FALSE)</f>
        <v>1</v>
      </c>
      <c r="M141" s="22">
        <f t="shared" si="4"/>
        <v>0</v>
      </c>
    </row>
    <row r="142" spans="1:13" x14ac:dyDescent="0.35">
      <c r="A142" s="2">
        <v>139</v>
      </c>
      <c r="B142" s="2" t="s">
        <v>1934</v>
      </c>
      <c r="C142" s="2">
        <v>59</v>
      </c>
      <c r="D142" s="2" t="s">
        <v>73</v>
      </c>
      <c r="E142" s="2">
        <v>8060</v>
      </c>
      <c r="F142" s="2"/>
      <c r="G142" s="2" t="s">
        <v>2090</v>
      </c>
      <c r="H142" s="16">
        <v>2</v>
      </c>
      <c r="I142" s="8">
        <f>VLOOKUP(E142,Sheet14!$A$5:$C$221,2,FALSE)</f>
        <v>2</v>
      </c>
      <c r="J142" s="24">
        <f t="shared" si="5"/>
        <v>0</v>
      </c>
      <c r="K142" s="17">
        <v>1</v>
      </c>
      <c r="L142" s="8">
        <f>VLOOKUP(E142,Sheet14!$A$5:$C$221,3,FALSE)</f>
        <v>1</v>
      </c>
      <c r="M142" s="22">
        <f t="shared" si="4"/>
        <v>0</v>
      </c>
    </row>
    <row r="143" spans="1:13" x14ac:dyDescent="0.35">
      <c r="A143" s="2">
        <v>140</v>
      </c>
      <c r="B143" s="2" t="s">
        <v>1934</v>
      </c>
      <c r="C143" s="2">
        <v>59</v>
      </c>
      <c r="D143" s="2" t="s">
        <v>73</v>
      </c>
      <c r="E143" s="2">
        <v>5750</v>
      </c>
      <c r="F143" s="2"/>
      <c r="G143" s="2" t="s">
        <v>2091</v>
      </c>
      <c r="H143" s="16">
        <v>2</v>
      </c>
      <c r="I143" s="8">
        <f>VLOOKUP(E143,Sheet14!$A$5:$C$221,2,FALSE)</f>
        <v>2</v>
      </c>
      <c r="J143" s="24">
        <f t="shared" si="5"/>
        <v>0</v>
      </c>
      <c r="K143" s="17">
        <v>2</v>
      </c>
      <c r="L143" s="8">
        <f>VLOOKUP(E143,Sheet14!$A$5:$C$221,3,FALSE)</f>
        <v>2</v>
      </c>
      <c r="M143" s="22">
        <f t="shared" si="4"/>
        <v>0</v>
      </c>
    </row>
    <row r="144" spans="1:13" x14ac:dyDescent="0.35">
      <c r="A144" s="2">
        <v>141</v>
      </c>
      <c r="B144" s="2" t="s">
        <v>1934</v>
      </c>
      <c r="C144" s="2">
        <v>59</v>
      </c>
      <c r="D144" s="2" t="s">
        <v>73</v>
      </c>
      <c r="E144" s="2">
        <v>5740</v>
      </c>
      <c r="F144" s="2"/>
      <c r="G144" s="2" t="s">
        <v>2092</v>
      </c>
      <c r="H144" s="16">
        <v>2</v>
      </c>
      <c r="I144" s="8">
        <f>VLOOKUP(E144,Sheet14!$A$5:$C$221,2,FALSE)</f>
        <v>2</v>
      </c>
      <c r="J144" s="24">
        <f t="shared" si="5"/>
        <v>0</v>
      </c>
      <c r="K144" s="17">
        <v>1</v>
      </c>
      <c r="L144" s="8">
        <f>VLOOKUP(E144,Sheet14!$A$5:$C$221,3,FALSE)</f>
        <v>1</v>
      </c>
      <c r="M144" s="22">
        <f t="shared" si="4"/>
        <v>0</v>
      </c>
    </row>
    <row r="145" spans="1:13" x14ac:dyDescent="0.35">
      <c r="A145" s="2">
        <v>142</v>
      </c>
      <c r="B145" s="2" t="s">
        <v>1934</v>
      </c>
      <c r="C145" s="2">
        <v>59</v>
      </c>
      <c r="D145" s="2" t="s">
        <v>73</v>
      </c>
      <c r="E145" s="2">
        <v>5749</v>
      </c>
      <c r="F145" s="2"/>
      <c r="G145" s="2" t="s">
        <v>2093</v>
      </c>
      <c r="H145" s="16">
        <v>2</v>
      </c>
      <c r="I145" s="8">
        <f>VLOOKUP(E145,Sheet14!$A$5:$C$221,2,FALSE)</f>
        <v>1</v>
      </c>
      <c r="J145" s="24">
        <f t="shared" si="5"/>
        <v>-1</v>
      </c>
      <c r="K145" s="17">
        <v>1</v>
      </c>
      <c r="L145" s="8">
        <f>VLOOKUP(E145,Sheet14!$A$5:$C$221,3,FALSE)</f>
        <v>1</v>
      </c>
      <c r="M145" s="22">
        <f t="shared" si="4"/>
        <v>0</v>
      </c>
    </row>
    <row r="146" spans="1:13" x14ac:dyDescent="0.35">
      <c r="A146" s="2">
        <v>143</v>
      </c>
      <c r="B146" s="2" t="s">
        <v>1934</v>
      </c>
      <c r="C146" s="2">
        <v>59</v>
      </c>
      <c r="D146" s="2" t="s">
        <v>73</v>
      </c>
      <c r="E146" s="2">
        <v>8059</v>
      </c>
      <c r="F146" s="2"/>
      <c r="G146" s="2" t="s">
        <v>2094</v>
      </c>
      <c r="H146" s="18">
        <v>2</v>
      </c>
      <c r="I146" s="8">
        <f>VLOOKUP(E146,Sheet14!$A$5:$C$221,2,FALSE)</f>
        <v>2</v>
      </c>
      <c r="J146" s="24">
        <f t="shared" si="5"/>
        <v>0</v>
      </c>
      <c r="K146" s="18">
        <v>1</v>
      </c>
      <c r="L146" s="8">
        <f>VLOOKUP(E146,Sheet14!$A$5:$C$221,3,FALSE)</f>
        <v>1</v>
      </c>
      <c r="M146" s="23">
        <v>0</v>
      </c>
    </row>
    <row r="147" spans="1:13" x14ac:dyDescent="0.35">
      <c r="A147" s="2">
        <v>144</v>
      </c>
      <c r="B147" s="2" t="s">
        <v>1934</v>
      </c>
      <c r="C147" s="2">
        <v>59</v>
      </c>
      <c r="D147" s="2" t="s">
        <v>73</v>
      </c>
      <c r="E147" s="2">
        <v>5743</v>
      </c>
      <c r="F147" s="2"/>
      <c r="G147" s="2" t="s">
        <v>2095</v>
      </c>
      <c r="H147" s="16">
        <v>1</v>
      </c>
      <c r="I147" s="8">
        <f>VLOOKUP(E147,Sheet14!$A$5:$C$221,2,FALSE)</f>
        <v>1</v>
      </c>
      <c r="J147" s="24">
        <f t="shared" si="5"/>
        <v>0</v>
      </c>
      <c r="K147" s="17">
        <v>1</v>
      </c>
      <c r="L147" s="8">
        <f>VLOOKUP(E147,Sheet14!$A$5:$C$221,3,FALSE)</f>
        <v>1</v>
      </c>
      <c r="M147" s="22">
        <f>L147-K147</f>
        <v>0</v>
      </c>
    </row>
    <row r="148" spans="1:13" x14ac:dyDescent="0.35">
      <c r="A148" s="2">
        <v>145</v>
      </c>
      <c r="B148" s="2" t="s">
        <v>1934</v>
      </c>
      <c r="C148" s="2">
        <v>59</v>
      </c>
      <c r="D148" s="2" t="s">
        <v>73</v>
      </c>
      <c r="E148" s="2">
        <v>5742</v>
      </c>
      <c r="F148" s="2"/>
      <c r="G148" s="2" t="s">
        <v>2096</v>
      </c>
      <c r="H148" s="16">
        <v>2</v>
      </c>
      <c r="I148" s="8">
        <f>VLOOKUP(E148,Sheet14!$A$5:$C$221,2,FALSE)</f>
        <v>2</v>
      </c>
      <c r="J148" s="24">
        <f t="shared" si="5"/>
        <v>0</v>
      </c>
      <c r="K148" s="17">
        <v>1</v>
      </c>
      <c r="L148" s="8">
        <f>VLOOKUP(E148,Sheet14!$A$5:$C$221,3,FALSE)</f>
        <v>1</v>
      </c>
      <c r="M148" s="22">
        <f>L148-K148</f>
        <v>0</v>
      </c>
    </row>
    <row r="149" spans="1:13" x14ac:dyDescent="0.35">
      <c r="A149" s="2">
        <v>146</v>
      </c>
      <c r="B149" s="2" t="s">
        <v>1934</v>
      </c>
      <c r="C149" s="2">
        <v>138</v>
      </c>
      <c r="D149" s="2" t="s">
        <v>315</v>
      </c>
      <c r="E149" s="2">
        <v>5738</v>
      </c>
      <c r="F149" s="2"/>
      <c r="G149" s="2" t="s">
        <v>2097</v>
      </c>
      <c r="H149" s="18">
        <v>1</v>
      </c>
      <c r="I149" s="8">
        <f>VLOOKUP(E149,Sheet14!$A$5:$C$221,2,FALSE)</f>
        <v>1</v>
      </c>
      <c r="J149" s="24">
        <f t="shared" si="5"/>
        <v>0</v>
      </c>
      <c r="K149" s="18">
        <v>1</v>
      </c>
      <c r="L149" s="8">
        <f>VLOOKUP(E149,Sheet14!$A$5:$C$221,3,FALSE)</f>
        <v>1</v>
      </c>
      <c r="M149" s="23">
        <v>0</v>
      </c>
    </row>
    <row r="150" spans="1:13" x14ac:dyDescent="0.35">
      <c r="A150" s="2">
        <v>147</v>
      </c>
      <c r="B150" s="2" t="s">
        <v>1934</v>
      </c>
      <c r="C150" s="2">
        <v>138</v>
      </c>
      <c r="D150" s="2" t="s">
        <v>315</v>
      </c>
      <c r="E150" s="2">
        <v>5737</v>
      </c>
      <c r="F150" s="2"/>
      <c r="G150" s="2" t="s">
        <v>2098</v>
      </c>
      <c r="H150" s="16">
        <v>1</v>
      </c>
      <c r="I150" s="8">
        <f>VLOOKUP(E150,Sheet14!$A$5:$C$221,2,FALSE)</f>
        <v>1</v>
      </c>
      <c r="J150" s="24">
        <f t="shared" si="5"/>
        <v>0</v>
      </c>
      <c r="K150" s="17">
        <v>1</v>
      </c>
      <c r="L150" s="8">
        <f>VLOOKUP(E150,Sheet14!$A$5:$C$221,3,FALSE)</f>
        <v>1</v>
      </c>
      <c r="M150" s="22">
        <f t="shared" ref="M150:M161" si="6">L150-K150</f>
        <v>0</v>
      </c>
    </row>
    <row r="151" spans="1:13" x14ac:dyDescent="0.35">
      <c r="A151" s="2">
        <v>148</v>
      </c>
      <c r="B151" s="2" t="s">
        <v>1934</v>
      </c>
      <c r="C151" s="2">
        <v>138</v>
      </c>
      <c r="D151" s="2" t="s">
        <v>315</v>
      </c>
      <c r="E151" s="2">
        <v>5736</v>
      </c>
      <c r="F151" s="2"/>
      <c r="G151" s="2" t="s">
        <v>2099</v>
      </c>
      <c r="H151" s="16">
        <v>2</v>
      </c>
      <c r="I151" s="8">
        <f>VLOOKUP(E151,Sheet14!$A$5:$C$221,2,FALSE)</f>
        <v>2</v>
      </c>
      <c r="J151" s="24">
        <f t="shared" si="5"/>
        <v>0</v>
      </c>
      <c r="K151" s="17">
        <v>1</v>
      </c>
      <c r="L151" s="8">
        <f>VLOOKUP(E151,Sheet14!$A$5:$C$221,3,FALSE)</f>
        <v>1</v>
      </c>
      <c r="M151" s="22">
        <f t="shared" si="6"/>
        <v>0</v>
      </c>
    </row>
    <row r="152" spans="1:13" x14ac:dyDescent="0.35">
      <c r="A152" s="2">
        <v>149</v>
      </c>
      <c r="B152" s="2" t="s">
        <v>1934</v>
      </c>
      <c r="C152" s="2">
        <v>138</v>
      </c>
      <c r="D152" s="2" t="s">
        <v>315</v>
      </c>
      <c r="E152" s="2">
        <v>5735</v>
      </c>
      <c r="F152" s="2"/>
      <c r="G152" s="2" t="s">
        <v>2100</v>
      </c>
      <c r="H152" s="16">
        <v>1</v>
      </c>
      <c r="I152" s="8">
        <f>VLOOKUP(E152,Sheet14!$A$5:$C$221,2,FALSE)</f>
        <v>1</v>
      </c>
      <c r="J152" s="24">
        <f t="shared" si="5"/>
        <v>0</v>
      </c>
      <c r="K152" s="17">
        <v>1</v>
      </c>
      <c r="L152" s="8">
        <f>VLOOKUP(E152,Sheet14!$A$5:$C$221,3,FALSE)</f>
        <v>1</v>
      </c>
      <c r="M152" s="22">
        <f t="shared" si="6"/>
        <v>0</v>
      </c>
    </row>
    <row r="153" spans="1:13" x14ac:dyDescent="0.35">
      <c r="A153" s="2">
        <v>150</v>
      </c>
      <c r="B153" s="2" t="s">
        <v>1934</v>
      </c>
      <c r="C153" s="2">
        <v>138</v>
      </c>
      <c r="D153" s="2" t="s">
        <v>315</v>
      </c>
      <c r="E153" s="2">
        <v>5734</v>
      </c>
      <c r="F153" s="2"/>
      <c r="G153" s="2" t="s">
        <v>2101</v>
      </c>
      <c r="H153" s="16">
        <v>1</v>
      </c>
      <c r="I153" s="8">
        <f>VLOOKUP(E153,Sheet14!$A$5:$C$221,2,FALSE)</f>
        <v>1</v>
      </c>
      <c r="J153" s="24">
        <f t="shared" si="5"/>
        <v>0</v>
      </c>
      <c r="K153" s="17">
        <v>1</v>
      </c>
      <c r="L153" s="8">
        <f>VLOOKUP(E153,Sheet14!$A$5:$C$221,3,FALSE)</f>
        <v>1</v>
      </c>
      <c r="M153" s="22">
        <f t="shared" si="6"/>
        <v>0</v>
      </c>
    </row>
    <row r="154" spans="1:13" x14ac:dyDescent="0.35">
      <c r="A154" s="2">
        <v>151</v>
      </c>
      <c r="B154" s="2" t="s">
        <v>1934</v>
      </c>
      <c r="C154" s="2">
        <v>138</v>
      </c>
      <c r="D154" s="2" t="s">
        <v>315</v>
      </c>
      <c r="E154" s="2">
        <v>5733</v>
      </c>
      <c r="F154" s="2"/>
      <c r="G154" s="2" t="s">
        <v>2102</v>
      </c>
      <c r="H154" s="16">
        <v>2</v>
      </c>
      <c r="I154" s="8">
        <f>VLOOKUP(E154,Sheet14!$A$5:$C$221,2,FALSE)</f>
        <v>2</v>
      </c>
      <c r="J154" s="24">
        <f t="shared" si="5"/>
        <v>0</v>
      </c>
      <c r="K154" s="17">
        <v>1</v>
      </c>
      <c r="L154" s="8">
        <f>VLOOKUP(E154,Sheet14!$A$5:$C$221,3,FALSE)</f>
        <v>1</v>
      </c>
      <c r="M154" s="22">
        <f t="shared" si="6"/>
        <v>0</v>
      </c>
    </row>
    <row r="155" spans="1:13" x14ac:dyDescent="0.35">
      <c r="A155" s="2">
        <v>152</v>
      </c>
      <c r="B155" s="2" t="s">
        <v>1934</v>
      </c>
      <c r="C155" s="2">
        <v>128</v>
      </c>
      <c r="D155" s="2" t="s">
        <v>36</v>
      </c>
      <c r="E155" s="2">
        <v>5732</v>
      </c>
      <c r="F155" s="2"/>
      <c r="G155" s="2" t="s">
        <v>2103</v>
      </c>
      <c r="H155" s="16">
        <v>2</v>
      </c>
      <c r="I155" s="8">
        <f>VLOOKUP(E155,Sheet14!$A$5:$C$221,2,FALSE)</f>
        <v>2</v>
      </c>
      <c r="J155" s="24">
        <f t="shared" si="5"/>
        <v>0</v>
      </c>
      <c r="K155" s="17">
        <v>2</v>
      </c>
      <c r="L155" s="8">
        <f>VLOOKUP(E155,Sheet14!$A$5:$C$221,3,FALSE)</f>
        <v>2</v>
      </c>
      <c r="M155" s="22">
        <f t="shared" si="6"/>
        <v>0</v>
      </c>
    </row>
    <row r="156" spans="1:13" x14ac:dyDescent="0.35">
      <c r="A156" s="2">
        <v>153</v>
      </c>
      <c r="B156" s="2" t="s">
        <v>1934</v>
      </c>
      <c r="C156" s="2">
        <v>128</v>
      </c>
      <c r="D156" s="2" t="s">
        <v>36</v>
      </c>
      <c r="E156" s="2">
        <v>5731</v>
      </c>
      <c r="F156" s="2"/>
      <c r="G156" s="2" t="s">
        <v>2104</v>
      </c>
      <c r="H156" s="16">
        <v>2</v>
      </c>
      <c r="I156" s="8">
        <f>VLOOKUP(E156,Sheet14!$A$5:$C$221,2,FALSE)</f>
        <v>2</v>
      </c>
      <c r="J156" s="24">
        <f t="shared" si="5"/>
        <v>0</v>
      </c>
      <c r="K156" s="17">
        <v>1</v>
      </c>
      <c r="L156" s="8">
        <f>VLOOKUP(E156,Sheet14!$A$5:$C$221,3,FALSE)</f>
        <v>1</v>
      </c>
      <c r="M156" s="22">
        <f t="shared" si="6"/>
        <v>0</v>
      </c>
    </row>
    <row r="157" spans="1:13" x14ac:dyDescent="0.35">
      <c r="A157" s="2">
        <v>154</v>
      </c>
      <c r="B157" s="2" t="s">
        <v>1934</v>
      </c>
      <c r="C157" s="2">
        <v>128</v>
      </c>
      <c r="D157" s="2" t="s">
        <v>36</v>
      </c>
      <c r="E157" s="2">
        <v>5730</v>
      </c>
      <c r="F157" s="2"/>
      <c r="G157" s="2" t="s">
        <v>40</v>
      </c>
      <c r="H157" s="16">
        <v>2</v>
      </c>
      <c r="I157" s="8">
        <f>VLOOKUP(E157,Sheet14!$A$5:$C$221,2,FALSE)</f>
        <v>2</v>
      </c>
      <c r="J157" s="24">
        <f t="shared" si="5"/>
        <v>0</v>
      </c>
      <c r="K157" s="17">
        <v>2</v>
      </c>
      <c r="L157" s="8">
        <f>VLOOKUP(E157,Sheet14!$A$5:$C$221,3,FALSE)</f>
        <v>2</v>
      </c>
      <c r="M157" s="22">
        <f t="shared" si="6"/>
        <v>0</v>
      </c>
    </row>
    <row r="158" spans="1:13" x14ac:dyDescent="0.35">
      <c r="A158" s="2">
        <v>155</v>
      </c>
      <c r="B158" s="2" t="s">
        <v>1934</v>
      </c>
      <c r="C158" s="2">
        <v>128</v>
      </c>
      <c r="D158" s="2" t="s">
        <v>36</v>
      </c>
      <c r="E158" s="2">
        <v>5729</v>
      </c>
      <c r="F158" s="2"/>
      <c r="G158" s="2" t="s">
        <v>2105</v>
      </c>
      <c r="H158" s="16">
        <v>2</v>
      </c>
      <c r="I158" s="8">
        <f>VLOOKUP(E158,Sheet14!$A$5:$C$221,2,FALSE)</f>
        <v>2</v>
      </c>
      <c r="J158" s="24">
        <f t="shared" si="5"/>
        <v>0</v>
      </c>
      <c r="K158" s="17">
        <v>1</v>
      </c>
      <c r="L158" s="8">
        <f>VLOOKUP(E158,Sheet14!$A$5:$C$221,3,FALSE)</f>
        <v>1</v>
      </c>
      <c r="M158" s="22">
        <f t="shared" si="6"/>
        <v>0</v>
      </c>
    </row>
    <row r="159" spans="1:13" x14ac:dyDescent="0.35">
      <c r="A159" s="2">
        <v>156</v>
      </c>
      <c r="B159" s="2" t="s">
        <v>1934</v>
      </c>
      <c r="C159" s="2">
        <v>128</v>
      </c>
      <c r="D159" s="2" t="s">
        <v>36</v>
      </c>
      <c r="E159" s="2">
        <v>5728</v>
      </c>
      <c r="F159" s="2"/>
      <c r="G159" s="2" t="s">
        <v>1072</v>
      </c>
      <c r="H159" s="16">
        <v>2</v>
      </c>
      <c r="I159" s="8">
        <f>VLOOKUP(E159,Sheet14!$A$5:$C$221,2,FALSE)</f>
        <v>2</v>
      </c>
      <c r="J159" s="24">
        <f t="shared" si="5"/>
        <v>0</v>
      </c>
      <c r="K159" s="17">
        <v>2</v>
      </c>
      <c r="L159" s="8">
        <f>VLOOKUP(E159,Sheet14!$A$5:$C$221,3,FALSE)</f>
        <v>2</v>
      </c>
      <c r="M159" s="22">
        <f t="shared" si="6"/>
        <v>0</v>
      </c>
    </row>
    <row r="160" spans="1:13" x14ac:dyDescent="0.35">
      <c r="A160" s="2">
        <v>157</v>
      </c>
      <c r="B160" s="2" t="s">
        <v>1934</v>
      </c>
      <c r="C160" s="2">
        <v>128</v>
      </c>
      <c r="D160" s="2" t="s">
        <v>36</v>
      </c>
      <c r="E160" s="2">
        <v>5727</v>
      </c>
      <c r="F160" s="2"/>
      <c r="G160" s="2" t="s">
        <v>2106</v>
      </c>
      <c r="H160" s="16">
        <v>2</v>
      </c>
      <c r="I160" s="8">
        <f>VLOOKUP(E160,Sheet14!$A$5:$C$221,2,FALSE)</f>
        <v>2</v>
      </c>
      <c r="J160" s="24">
        <f t="shared" si="5"/>
        <v>0</v>
      </c>
      <c r="K160" s="17">
        <v>1</v>
      </c>
      <c r="L160" s="8">
        <f>VLOOKUP(E160,Sheet14!$A$5:$C$221,3,FALSE)</f>
        <v>1</v>
      </c>
      <c r="M160" s="22">
        <f t="shared" si="6"/>
        <v>0</v>
      </c>
    </row>
    <row r="161" spans="1:13" x14ac:dyDescent="0.35">
      <c r="A161" s="2">
        <v>158</v>
      </c>
      <c r="B161" s="2" t="s">
        <v>1934</v>
      </c>
      <c r="C161" s="2">
        <v>160</v>
      </c>
      <c r="D161" s="2" t="s">
        <v>169</v>
      </c>
      <c r="E161" s="2">
        <v>8152</v>
      </c>
      <c r="F161" s="2"/>
      <c r="G161" s="2" t="s">
        <v>2107</v>
      </c>
      <c r="H161" s="16">
        <v>1</v>
      </c>
      <c r="I161" s="8">
        <f>VLOOKUP(E161,Sheet14!$A$5:$C$221,2,FALSE)</f>
        <v>1</v>
      </c>
      <c r="J161" s="24">
        <f t="shared" si="5"/>
        <v>0</v>
      </c>
      <c r="K161" s="17">
        <v>1</v>
      </c>
      <c r="L161" s="8">
        <f>VLOOKUP(E161,Sheet14!$A$5:$C$221,3,FALSE)</f>
        <v>1</v>
      </c>
      <c r="M161" s="22">
        <f t="shared" si="6"/>
        <v>0</v>
      </c>
    </row>
    <row r="162" spans="1:13" x14ac:dyDescent="0.35">
      <c r="A162" s="2">
        <v>159</v>
      </c>
      <c r="B162" s="2" t="s">
        <v>1934</v>
      </c>
      <c r="C162" s="2">
        <v>160</v>
      </c>
      <c r="D162" s="2" t="s">
        <v>169</v>
      </c>
      <c r="E162" s="2">
        <v>7177</v>
      </c>
      <c r="F162" s="2"/>
      <c r="G162" s="2" t="s">
        <v>2108</v>
      </c>
      <c r="H162" s="18">
        <v>1</v>
      </c>
      <c r="I162" s="8">
        <f>VLOOKUP(E162,Sheet14!$A$5:$C$221,2,FALSE)</f>
        <v>1</v>
      </c>
      <c r="J162" s="24">
        <f t="shared" si="5"/>
        <v>0</v>
      </c>
      <c r="K162" s="18">
        <v>1</v>
      </c>
      <c r="L162" s="8">
        <f>VLOOKUP(E162,Sheet14!$A$5:$C$221,3,FALSE)</f>
        <v>1</v>
      </c>
      <c r="M162" s="23">
        <v>0</v>
      </c>
    </row>
    <row r="163" spans="1:13" x14ac:dyDescent="0.35">
      <c r="A163" s="2">
        <v>160</v>
      </c>
      <c r="B163" s="2" t="s">
        <v>1934</v>
      </c>
      <c r="C163" s="2">
        <v>160</v>
      </c>
      <c r="D163" s="2" t="s">
        <v>169</v>
      </c>
      <c r="E163" s="2">
        <v>8153</v>
      </c>
      <c r="F163" s="2"/>
      <c r="G163" s="2" t="s">
        <v>2109</v>
      </c>
      <c r="H163" s="16">
        <v>1</v>
      </c>
      <c r="I163" s="8">
        <f>VLOOKUP(E163,Sheet14!$A$5:$C$221,2,FALSE)</f>
        <v>1</v>
      </c>
      <c r="J163" s="24">
        <f t="shared" si="5"/>
        <v>0</v>
      </c>
      <c r="K163" s="17">
        <v>1</v>
      </c>
      <c r="L163" s="8">
        <f>VLOOKUP(E163,Sheet14!$A$5:$C$221,3,FALSE)</f>
        <v>1</v>
      </c>
      <c r="M163" s="22">
        <f>L163-K163</f>
        <v>0</v>
      </c>
    </row>
    <row r="164" spans="1:13" x14ac:dyDescent="0.35">
      <c r="A164" s="2">
        <v>161</v>
      </c>
      <c r="B164" s="2" t="s">
        <v>1934</v>
      </c>
      <c r="C164" s="2">
        <v>160</v>
      </c>
      <c r="D164" s="2" t="s">
        <v>169</v>
      </c>
      <c r="E164" s="2">
        <v>7462</v>
      </c>
      <c r="F164" s="2"/>
      <c r="G164" s="2" t="s">
        <v>2110</v>
      </c>
      <c r="H164" s="16">
        <v>1</v>
      </c>
      <c r="I164" s="8">
        <f>VLOOKUP(E164,Sheet14!$A$5:$C$221,2,FALSE)</f>
        <v>1</v>
      </c>
      <c r="J164" s="24">
        <f t="shared" si="5"/>
        <v>0</v>
      </c>
      <c r="K164" s="17">
        <v>1</v>
      </c>
      <c r="L164" s="8">
        <f>VLOOKUP(E164,Sheet14!$A$5:$C$221,3,FALSE)</f>
        <v>1</v>
      </c>
      <c r="M164" s="22">
        <f>L164-K164</f>
        <v>0</v>
      </c>
    </row>
    <row r="165" spans="1:13" x14ac:dyDescent="0.35">
      <c r="A165" s="2">
        <v>162</v>
      </c>
      <c r="B165" s="2" t="s">
        <v>1934</v>
      </c>
      <c r="C165" s="2">
        <v>160</v>
      </c>
      <c r="D165" s="2" t="s">
        <v>169</v>
      </c>
      <c r="E165" s="2">
        <v>7047</v>
      </c>
      <c r="F165" s="2"/>
      <c r="G165" s="2" t="s">
        <v>2111</v>
      </c>
      <c r="H165" s="16">
        <v>1</v>
      </c>
      <c r="I165" s="8">
        <f>VLOOKUP(E165,Sheet14!$A$5:$C$221,2,FALSE)</f>
        <v>1</v>
      </c>
      <c r="J165" s="24">
        <f t="shared" si="5"/>
        <v>0</v>
      </c>
      <c r="K165" s="17">
        <v>1</v>
      </c>
      <c r="L165" s="8">
        <f>VLOOKUP(E165,Sheet14!$A$5:$C$221,3,FALSE)</f>
        <v>1</v>
      </c>
      <c r="M165" s="22">
        <f>L165-K165</f>
        <v>0</v>
      </c>
    </row>
    <row r="166" spans="1:13" x14ac:dyDescent="0.35">
      <c r="A166" s="2">
        <v>163</v>
      </c>
      <c r="B166" s="2" t="s">
        <v>1934</v>
      </c>
      <c r="C166" s="2">
        <v>160</v>
      </c>
      <c r="D166" s="2" t="s">
        <v>169</v>
      </c>
      <c r="E166" s="2">
        <v>5724</v>
      </c>
      <c r="F166" s="2"/>
      <c r="G166" s="2" t="s">
        <v>502</v>
      </c>
      <c r="H166" s="16">
        <v>2</v>
      </c>
      <c r="I166" s="8">
        <f>VLOOKUP(E166,Sheet14!$A$5:$C$221,2,FALSE)</f>
        <v>2</v>
      </c>
      <c r="J166" s="24">
        <f t="shared" si="5"/>
        <v>0</v>
      </c>
      <c r="K166" s="17">
        <v>2</v>
      </c>
      <c r="L166" s="8">
        <f>VLOOKUP(E166,Sheet14!$A$5:$C$221,3,FALSE)</f>
        <v>2</v>
      </c>
      <c r="M166" s="22">
        <f t="shared" ref="M166:M212" si="7">L166-K166</f>
        <v>0</v>
      </c>
    </row>
    <row r="167" spans="1:13" x14ac:dyDescent="0.35">
      <c r="A167" s="2">
        <v>164</v>
      </c>
      <c r="B167" s="2" t="s">
        <v>1934</v>
      </c>
      <c r="C167" s="2">
        <v>160</v>
      </c>
      <c r="D167" s="2" t="s">
        <v>169</v>
      </c>
      <c r="E167" s="2">
        <v>5723</v>
      </c>
      <c r="F167" s="2"/>
      <c r="G167" s="2" t="s">
        <v>2112</v>
      </c>
      <c r="H167" s="16">
        <v>2</v>
      </c>
      <c r="I167" s="8">
        <f>VLOOKUP(E167,Sheet14!$A$5:$C$221,2,FALSE)</f>
        <v>2</v>
      </c>
      <c r="J167" s="24">
        <f t="shared" si="5"/>
        <v>0</v>
      </c>
      <c r="K167" s="17">
        <v>1</v>
      </c>
      <c r="L167" s="8">
        <f>VLOOKUP(E167,Sheet14!$A$5:$C$221,3,FALSE)</f>
        <v>1</v>
      </c>
      <c r="M167" s="22">
        <f t="shared" si="7"/>
        <v>0</v>
      </c>
    </row>
    <row r="168" spans="1:13" x14ac:dyDescent="0.35">
      <c r="A168" s="2">
        <v>165</v>
      </c>
      <c r="B168" s="2" t="s">
        <v>1934</v>
      </c>
      <c r="C168" s="2">
        <v>160</v>
      </c>
      <c r="D168" s="2" t="s">
        <v>169</v>
      </c>
      <c r="E168" s="2">
        <v>8151</v>
      </c>
      <c r="F168" s="2"/>
      <c r="G168" s="2" t="s">
        <v>2113</v>
      </c>
      <c r="H168" s="16">
        <v>1</v>
      </c>
      <c r="I168" s="8">
        <f>VLOOKUP(E168,Sheet14!$A$5:$C$221,2,FALSE)</f>
        <v>1</v>
      </c>
      <c r="J168" s="24">
        <f t="shared" si="5"/>
        <v>0</v>
      </c>
      <c r="K168" s="17">
        <v>1</v>
      </c>
      <c r="L168" s="8">
        <f>VLOOKUP(E168,Sheet14!$A$5:$C$221,3,FALSE)</f>
        <v>1</v>
      </c>
      <c r="M168" s="22">
        <f t="shared" si="7"/>
        <v>0</v>
      </c>
    </row>
    <row r="169" spans="1:13" x14ac:dyDescent="0.35">
      <c r="A169" s="2">
        <v>166</v>
      </c>
      <c r="B169" s="2" t="s">
        <v>1934</v>
      </c>
      <c r="C169" s="2">
        <v>315</v>
      </c>
      <c r="D169" s="2" t="s">
        <v>322</v>
      </c>
      <c r="E169" s="2">
        <v>7049</v>
      </c>
      <c r="F169" s="2"/>
      <c r="G169" s="2" t="s">
        <v>2114</v>
      </c>
      <c r="H169" s="16">
        <v>1</v>
      </c>
      <c r="I169" s="8">
        <f>VLOOKUP(E169,Sheet14!$A$5:$C$221,2,FALSE)</f>
        <v>1</v>
      </c>
      <c r="J169" s="24">
        <f t="shared" si="5"/>
        <v>0</v>
      </c>
      <c r="K169" s="17">
        <v>1</v>
      </c>
      <c r="L169" s="8">
        <f>VLOOKUP(E169,Sheet14!$A$5:$C$221,3,FALSE)</f>
        <v>1</v>
      </c>
      <c r="M169" s="22">
        <f t="shared" si="7"/>
        <v>0</v>
      </c>
    </row>
    <row r="170" spans="1:13" x14ac:dyDescent="0.35">
      <c r="A170" s="2">
        <v>167</v>
      </c>
      <c r="B170" s="2" t="s">
        <v>1934</v>
      </c>
      <c r="C170" s="2">
        <v>315</v>
      </c>
      <c r="D170" s="2" t="s">
        <v>322</v>
      </c>
      <c r="E170" s="2">
        <v>5719</v>
      </c>
      <c r="F170" s="2"/>
      <c r="G170" s="2" t="s">
        <v>2115</v>
      </c>
      <c r="H170" s="16">
        <v>1</v>
      </c>
      <c r="I170" s="8">
        <f>VLOOKUP(E170,Sheet14!$A$5:$C$221,2,FALSE)</f>
        <v>1</v>
      </c>
      <c r="J170" s="24">
        <f t="shared" si="5"/>
        <v>0</v>
      </c>
      <c r="K170" s="17">
        <v>1</v>
      </c>
      <c r="L170" s="8">
        <f>VLOOKUP(E170,Sheet14!$A$5:$C$221,3,FALSE)</f>
        <v>1</v>
      </c>
      <c r="M170" s="22">
        <f t="shared" si="7"/>
        <v>0</v>
      </c>
    </row>
    <row r="171" spans="1:13" x14ac:dyDescent="0.35">
      <c r="A171" s="2">
        <v>168</v>
      </c>
      <c r="B171" s="2" t="s">
        <v>1934</v>
      </c>
      <c r="C171" s="2">
        <v>315</v>
      </c>
      <c r="D171" s="2" t="s">
        <v>322</v>
      </c>
      <c r="E171" s="2">
        <v>5720</v>
      </c>
      <c r="F171" s="2"/>
      <c r="G171" s="2" t="s">
        <v>2116</v>
      </c>
      <c r="H171" s="16">
        <v>2</v>
      </c>
      <c r="I171" s="8">
        <f>VLOOKUP(E171,Sheet14!$A$5:$C$221,2,FALSE)</f>
        <v>2</v>
      </c>
      <c r="J171" s="24">
        <f t="shared" si="5"/>
        <v>0</v>
      </c>
      <c r="K171" s="17">
        <v>1</v>
      </c>
      <c r="L171" s="8">
        <f>VLOOKUP(E171,Sheet14!$A$5:$C$221,3,FALSE)</f>
        <v>1</v>
      </c>
      <c r="M171" s="22">
        <f t="shared" si="7"/>
        <v>0</v>
      </c>
    </row>
    <row r="172" spans="1:13" x14ac:dyDescent="0.35">
      <c r="A172" s="2">
        <v>169</v>
      </c>
      <c r="B172" s="2" t="s">
        <v>1934</v>
      </c>
      <c r="C172" s="2">
        <v>315</v>
      </c>
      <c r="D172" s="2" t="s">
        <v>322</v>
      </c>
      <c r="E172" s="2">
        <v>7915</v>
      </c>
      <c r="F172" s="2"/>
      <c r="G172" s="2" t="s">
        <v>2117</v>
      </c>
      <c r="H172" s="16">
        <v>2</v>
      </c>
      <c r="I172" s="8">
        <f>VLOOKUP(E172,Sheet14!$A$5:$C$221,2,FALSE)</f>
        <v>2</v>
      </c>
      <c r="J172" s="24">
        <f t="shared" si="5"/>
        <v>0</v>
      </c>
      <c r="K172" s="17">
        <v>1</v>
      </c>
      <c r="L172" s="8">
        <f>VLOOKUP(E172,Sheet14!$A$5:$C$221,3,FALSE)</f>
        <v>1</v>
      </c>
      <c r="M172" s="22">
        <f t="shared" si="7"/>
        <v>0</v>
      </c>
    </row>
    <row r="173" spans="1:13" x14ac:dyDescent="0.35">
      <c r="A173" s="2">
        <v>170</v>
      </c>
      <c r="B173" s="2" t="s">
        <v>1934</v>
      </c>
      <c r="C173" s="2">
        <v>315</v>
      </c>
      <c r="D173" s="2" t="s">
        <v>322</v>
      </c>
      <c r="E173" s="2">
        <v>5717</v>
      </c>
      <c r="F173" s="2"/>
      <c r="G173" s="2" t="s">
        <v>2118</v>
      </c>
      <c r="H173" s="16">
        <v>2</v>
      </c>
      <c r="I173" s="8">
        <f>VLOOKUP(E173,Sheet14!$A$5:$C$221,2,FALSE)</f>
        <v>2</v>
      </c>
      <c r="J173" s="24">
        <f t="shared" si="5"/>
        <v>0</v>
      </c>
      <c r="K173" s="17">
        <v>1</v>
      </c>
      <c r="L173" s="8">
        <f>VLOOKUP(E173,Sheet14!$A$5:$C$221,3,FALSE)</f>
        <v>1</v>
      </c>
      <c r="M173" s="22">
        <f t="shared" si="7"/>
        <v>0</v>
      </c>
    </row>
    <row r="174" spans="1:13" x14ac:dyDescent="0.35">
      <c r="A174" s="2">
        <v>171</v>
      </c>
      <c r="B174" s="2" t="s">
        <v>1934</v>
      </c>
      <c r="C174" s="2">
        <v>315</v>
      </c>
      <c r="D174" s="2" t="s">
        <v>322</v>
      </c>
      <c r="E174" s="2">
        <v>3553</v>
      </c>
      <c r="F174" s="2"/>
      <c r="G174" s="2" t="s">
        <v>992</v>
      </c>
      <c r="H174" s="16">
        <v>2</v>
      </c>
      <c r="I174" s="8">
        <f>VLOOKUP(E174,Sheet14!$A$5:$C$221,2,FALSE)</f>
        <v>2</v>
      </c>
      <c r="J174" s="24">
        <f t="shared" si="5"/>
        <v>0</v>
      </c>
      <c r="K174" s="17">
        <v>1</v>
      </c>
      <c r="L174" s="8">
        <f>VLOOKUP(E174,Sheet14!$A$5:$C$221,3,FALSE)</f>
        <v>1</v>
      </c>
      <c r="M174" s="22">
        <f t="shared" si="7"/>
        <v>0</v>
      </c>
    </row>
    <row r="175" spans="1:13" x14ac:dyDescent="0.35">
      <c r="A175" s="2">
        <v>172</v>
      </c>
      <c r="B175" s="2" t="s">
        <v>1934</v>
      </c>
      <c r="C175" s="2">
        <v>315</v>
      </c>
      <c r="D175" s="2" t="s">
        <v>322</v>
      </c>
      <c r="E175" s="2">
        <v>5715</v>
      </c>
      <c r="F175" s="2"/>
      <c r="G175" s="2" t="s">
        <v>2119</v>
      </c>
      <c r="H175" s="16">
        <v>2</v>
      </c>
      <c r="I175" s="8">
        <f>VLOOKUP(E175,Sheet14!$A$5:$C$221,2,FALSE)</f>
        <v>2</v>
      </c>
      <c r="J175" s="24">
        <f t="shared" si="5"/>
        <v>0</v>
      </c>
      <c r="K175" s="17">
        <v>1</v>
      </c>
      <c r="L175" s="8">
        <f>VLOOKUP(E175,Sheet14!$A$5:$C$221,3,FALSE)</f>
        <v>1</v>
      </c>
      <c r="M175" s="22">
        <f t="shared" si="7"/>
        <v>0</v>
      </c>
    </row>
    <row r="176" spans="1:13" x14ac:dyDescent="0.35">
      <c r="A176" s="2">
        <v>173</v>
      </c>
      <c r="B176" s="2" t="s">
        <v>1934</v>
      </c>
      <c r="C176" s="2">
        <v>315</v>
      </c>
      <c r="D176" s="2" t="s">
        <v>322</v>
      </c>
      <c r="E176" s="2">
        <v>7048</v>
      </c>
      <c r="F176" s="2"/>
      <c r="G176" s="2" t="s">
        <v>2120</v>
      </c>
      <c r="H176" s="16">
        <v>1</v>
      </c>
      <c r="I176" s="8">
        <f>VLOOKUP(E176,Sheet14!$A$5:$C$221,2,FALSE)</f>
        <v>1</v>
      </c>
      <c r="J176" s="24">
        <f t="shared" si="5"/>
        <v>0</v>
      </c>
      <c r="K176" s="17">
        <v>1</v>
      </c>
      <c r="L176" s="8">
        <f>VLOOKUP(E176,Sheet14!$A$5:$C$221,3,FALSE)</f>
        <v>1</v>
      </c>
      <c r="M176" s="22">
        <f t="shared" si="7"/>
        <v>0</v>
      </c>
    </row>
    <row r="177" spans="1:13" x14ac:dyDescent="0.35">
      <c r="A177" s="2">
        <v>174</v>
      </c>
      <c r="B177" s="2" t="s">
        <v>1934</v>
      </c>
      <c r="C177" s="2">
        <v>315</v>
      </c>
      <c r="D177" s="2" t="s">
        <v>322</v>
      </c>
      <c r="E177" s="2">
        <v>5716</v>
      </c>
      <c r="F177" s="2"/>
      <c r="G177" s="2" t="s">
        <v>2121</v>
      </c>
      <c r="H177" s="16">
        <v>2</v>
      </c>
      <c r="I177" s="8">
        <f>VLOOKUP(E177,Sheet14!$A$5:$C$221,2,FALSE)</f>
        <v>2</v>
      </c>
      <c r="J177" s="24">
        <f t="shared" si="5"/>
        <v>0</v>
      </c>
      <c r="K177" s="17">
        <v>1</v>
      </c>
      <c r="L177" s="8">
        <f>VLOOKUP(E177,Sheet14!$A$5:$C$221,3,FALSE)</f>
        <v>1</v>
      </c>
      <c r="M177" s="22">
        <f t="shared" si="7"/>
        <v>0</v>
      </c>
    </row>
    <row r="178" spans="1:13" x14ac:dyDescent="0.35">
      <c r="A178" s="2">
        <v>175</v>
      </c>
      <c r="B178" s="2" t="s">
        <v>1934</v>
      </c>
      <c r="C178" s="2">
        <v>315</v>
      </c>
      <c r="D178" s="2" t="s">
        <v>322</v>
      </c>
      <c r="E178" s="2">
        <v>7106</v>
      </c>
      <c r="F178" s="2"/>
      <c r="G178" s="2" t="s">
        <v>2122</v>
      </c>
      <c r="H178" s="16">
        <v>1</v>
      </c>
      <c r="I178" s="8">
        <f>VLOOKUP(E178,Sheet14!$A$5:$C$221,2,FALSE)</f>
        <v>1</v>
      </c>
      <c r="J178" s="24">
        <f t="shared" si="5"/>
        <v>0</v>
      </c>
      <c r="K178" s="17">
        <v>1</v>
      </c>
      <c r="L178" s="8">
        <f>VLOOKUP(E178,Sheet14!$A$5:$C$221,3,FALSE)</f>
        <v>1</v>
      </c>
      <c r="M178" s="22">
        <f t="shared" si="7"/>
        <v>0</v>
      </c>
    </row>
    <row r="179" spans="1:13" x14ac:dyDescent="0.35">
      <c r="A179" s="2">
        <v>176</v>
      </c>
      <c r="B179" s="2" t="s">
        <v>1934</v>
      </c>
      <c r="C179" s="2">
        <v>315</v>
      </c>
      <c r="D179" s="2" t="s">
        <v>322</v>
      </c>
      <c r="E179" s="2">
        <v>5713</v>
      </c>
      <c r="F179" s="2"/>
      <c r="G179" s="2" t="s">
        <v>2123</v>
      </c>
      <c r="H179" s="16">
        <v>1</v>
      </c>
      <c r="I179" s="8">
        <f>VLOOKUP(E179,Sheet14!$A$5:$C$221,2,FALSE)</f>
        <v>1</v>
      </c>
      <c r="J179" s="24">
        <f t="shared" si="5"/>
        <v>0</v>
      </c>
      <c r="K179" s="17">
        <v>1</v>
      </c>
      <c r="L179" s="8">
        <f>VLOOKUP(E179,Sheet14!$A$5:$C$221,3,FALSE)</f>
        <v>1</v>
      </c>
      <c r="M179" s="22">
        <f t="shared" si="7"/>
        <v>0</v>
      </c>
    </row>
    <row r="180" spans="1:13" x14ac:dyDescent="0.35">
      <c r="A180" s="2">
        <v>177</v>
      </c>
      <c r="B180" s="2" t="s">
        <v>1934</v>
      </c>
      <c r="C180" s="2">
        <v>129</v>
      </c>
      <c r="D180" s="2" t="s">
        <v>143</v>
      </c>
      <c r="E180" s="2">
        <v>5683</v>
      </c>
      <c r="F180" s="2"/>
      <c r="G180" s="2" t="s">
        <v>2124</v>
      </c>
      <c r="H180" s="16">
        <v>2</v>
      </c>
      <c r="I180" s="8">
        <f>VLOOKUP(E180,Sheet14!$A$5:$C$221,2,FALSE)</f>
        <v>2</v>
      </c>
      <c r="J180" s="24">
        <f t="shared" si="5"/>
        <v>0</v>
      </c>
      <c r="K180" s="17">
        <v>1</v>
      </c>
      <c r="L180" s="8">
        <f>VLOOKUP(E180,Sheet14!$A$5:$C$221,3,FALSE)</f>
        <v>1</v>
      </c>
      <c r="M180" s="22">
        <f t="shared" si="7"/>
        <v>0</v>
      </c>
    </row>
    <row r="181" spans="1:13" x14ac:dyDescent="0.35">
      <c r="A181" s="2">
        <v>178</v>
      </c>
      <c r="B181" s="2" t="s">
        <v>1934</v>
      </c>
      <c r="C181" s="2">
        <v>129</v>
      </c>
      <c r="D181" s="2" t="s">
        <v>143</v>
      </c>
      <c r="E181" s="2">
        <v>5682</v>
      </c>
      <c r="F181" s="2"/>
      <c r="G181" s="2" t="s">
        <v>2125</v>
      </c>
      <c r="H181" s="16">
        <v>2</v>
      </c>
      <c r="I181" s="8">
        <f>VLOOKUP(E181,Sheet14!$A$5:$C$221,2,FALSE)</f>
        <v>2</v>
      </c>
      <c r="J181" s="24">
        <f t="shared" si="5"/>
        <v>0</v>
      </c>
      <c r="K181" s="17">
        <v>1</v>
      </c>
      <c r="L181" s="8">
        <f>VLOOKUP(E181,Sheet14!$A$5:$C$221,3,FALSE)</f>
        <v>1</v>
      </c>
      <c r="M181" s="22">
        <f t="shared" si="7"/>
        <v>0</v>
      </c>
    </row>
    <row r="182" spans="1:13" x14ac:dyDescent="0.35">
      <c r="A182" s="2">
        <v>179</v>
      </c>
      <c r="B182" s="2" t="s">
        <v>1934</v>
      </c>
      <c r="C182" s="2">
        <v>129</v>
      </c>
      <c r="D182" s="2" t="s">
        <v>143</v>
      </c>
      <c r="E182" s="2">
        <v>7607</v>
      </c>
      <c r="F182" s="2"/>
      <c r="G182" s="2" t="s">
        <v>2126</v>
      </c>
      <c r="H182" s="16">
        <v>1</v>
      </c>
      <c r="I182" s="8">
        <f>VLOOKUP(E182,Sheet14!$A$5:$C$221,2,FALSE)</f>
        <v>1</v>
      </c>
      <c r="J182" s="24">
        <f t="shared" si="5"/>
        <v>0</v>
      </c>
      <c r="K182" s="17">
        <v>1</v>
      </c>
      <c r="L182" s="8">
        <f>VLOOKUP(E182,Sheet14!$A$5:$C$221,3,FALSE)</f>
        <v>1</v>
      </c>
      <c r="M182" s="22">
        <f t="shared" si="7"/>
        <v>0</v>
      </c>
    </row>
    <row r="183" spans="1:13" x14ac:dyDescent="0.35">
      <c r="A183" s="2">
        <v>180</v>
      </c>
      <c r="B183" s="2" t="s">
        <v>1934</v>
      </c>
      <c r="C183" s="2">
        <v>129</v>
      </c>
      <c r="D183" s="2" t="s">
        <v>143</v>
      </c>
      <c r="E183" s="2">
        <v>5681</v>
      </c>
      <c r="F183" s="2"/>
      <c r="G183" s="2" t="s">
        <v>2127</v>
      </c>
      <c r="H183" s="16">
        <v>2</v>
      </c>
      <c r="I183" s="8">
        <f>VLOOKUP(E183,Sheet14!$A$5:$C$221,2,FALSE)</f>
        <v>2</v>
      </c>
      <c r="J183" s="24">
        <f t="shared" si="5"/>
        <v>0</v>
      </c>
      <c r="K183" s="17">
        <v>1</v>
      </c>
      <c r="L183" s="8">
        <f>VLOOKUP(E183,Sheet14!$A$5:$C$221,3,FALSE)</f>
        <v>1</v>
      </c>
      <c r="M183" s="22">
        <f t="shared" si="7"/>
        <v>0</v>
      </c>
    </row>
    <row r="184" spans="1:13" x14ac:dyDescent="0.35">
      <c r="A184" s="2">
        <v>181</v>
      </c>
      <c r="B184" s="2" t="s">
        <v>1934</v>
      </c>
      <c r="C184" s="2">
        <v>129</v>
      </c>
      <c r="D184" s="2" t="s">
        <v>143</v>
      </c>
      <c r="E184" s="2">
        <v>5680</v>
      </c>
      <c r="F184" s="2"/>
      <c r="G184" s="2" t="s">
        <v>2128</v>
      </c>
      <c r="H184" s="16">
        <v>2</v>
      </c>
      <c r="I184" s="8">
        <f>VLOOKUP(E184,Sheet14!$A$5:$C$221,2,FALSE)</f>
        <v>2</v>
      </c>
      <c r="J184" s="24">
        <f t="shared" si="5"/>
        <v>0</v>
      </c>
      <c r="K184" s="17">
        <v>1</v>
      </c>
      <c r="L184" s="8">
        <f>VLOOKUP(E184,Sheet14!$A$5:$C$221,3,FALSE)</f>
        <v>1</v>
      </c>
      <c r="M184" s="22">
        <f t="shared" si="7"/>
        <v>0</v>
      </c>
    </row>
    <row r="185" spans="1:13" x14ac:dyDescent="0.35">
      <c r="A185" s="2">
        <v>182</v>
      </c>
      <c r="B185" s="2" t="s">
        <v>1934</v>
      </c>
      <c r="C185" s="2">
        <v>129</v>
      </c>
      <c r="D185" s="2" t="s">
        <v>143</v>
      </c>
      <c r="E185" s="2">
        <v>5679</v>
      </c>
      <c r="F185" s="2"/>
      <c r="G185" s="2" t="s">
        <v>2129</v>
      </c>
      <c r="H185" s="16">
        <v>2</v>
      </c>
      <c r="I185" s="8">
        <f>VLOOKUP(E185,Sheet14!$A$5:$C$221,2,FALSE)</f>
        <v>2</v>
      </c>
      <c r="J185" s="24">
        <f t="shared" si="5"/>
        <v>0</v>
      </c>
      <c r="K185" s="17">
        <v>1</v>
      </c>
      <c r="L185" s="8">
        <f>VLOOKUP(E185,Sheet14!$A$5:$C$221,3,FALSE)</f>
        <v>1</v>
      </c>
      <c r="M185" s="22">
        <f t="shared" si="7"/>
        <v>0</v>
      </c>
    </row>
    <row r="186" spans="1:13" x14ac:dyDescent="0.35">
      <c r="A186" s="2">
        <v>183</v>
      </c>
      <c r="B186" s="2" t="s">
        <v>1934</v>
      </c>
      <c r="C186" s="2">
        <v>129</v>
      </c>
      <c r="D186" s="2" t="s">
        <v>143</v>
      </c>
      <c r="E186" s="2">
        <v>8058</v>
      </c>
      <c r="F186" s="2"/>
      <c r="G186" s="2" t="s">
        <v>2130</v>
      </c>
      <c r="H186" s="16">
        <v>1</v>
      </c>
      <c r="I186" s="8">
        <f>VLOOKUP(E186,Sheet14!$A$5:$C$221,2,FALSE)</f>
        <v>1</v>
      </c>
      <c r="J186" s="24">
        <f t="shared" si="5"/>
        <v>0</v>
      </c>
      <c r="K186" s="17">
        <v>1</v>
      </c>
      <c r="L186" s="8">
        <f>VLOOKUP(E186,Sheet14!$A$5:$C$221,3,FALSE)</f>
        <v>1</v>
      </c>
      <c r="M186" s="22">
        <f t="shared" si="7"/>
        <v>0</v>
      </c>
    </row>
    <row r="187" spans="1:13" x14ac:dyDescent="0.35">
      <c r="A187" s="2">
        <v>184</v>
      </c>
      <c r="B187" s="2" t="s">
        <v>1934</v>
      </c>
      <c r="C187" s="2">
        <v>129</v>
      </c>
      <c r="D187" s="2" t="s">
        <v>143</v>
      </c>
      <c r="E187" s="2">
        <v>7046</v>
      </c>
      <c r="F187" s="2"/>
      <c r="G187" s="2" t="s">
        <v>2131</v>
      </c>
      <c r="H187" s="16">
        <v>2</v>
      </c>
      <c r="I187" s="8">
        <f>VLOOKUP(E187,Sheet14!$A$5:$C$221,2,FALSE)</f>
        <v>2</v>
      </c>
      <c r="J187" s="24">
        <f t="shared" si="5"/>
        <v>0</v>
      </c>
      <c r="K187" s="17">
        <v>1</v>
      </c>
      <c r="L187" s="8">
        <f>VLOOKUP(E187,Sheet14!$A$5:$C$221,3,FALSE)</f>
        <v>0</v>
      </c>
      <c r="M187" s="22">
        <f t="shared" si="7"/>
        <v>-1</v>
      </c>
    </row>
    <row r="188" spans="1:13" x14ac:dyDescent="0.35">
      <c r="A188" s="2">
        <v>185</v>
      </c>
      <c r="B188" s="2" t="s">
        <v>1934</v>
      </c>
      <c r="C188" s="2">
        <v>129</v>
      </c>
      <c r="D188" s="2" t="s">
        <v>143</v>
      </c>
      <c r="E188" s="2">
        <v>7045</v>
      </c>
      <c r="F188" s="2"/>
      <c r="G188" s="2" t="s">
        <v>2132</v>
      </c>
      <c r="H188" s="16">
        <v>2</v>
      </c>
      <c r="I188" s="8">
        <f>VLOOKUP(E188,Sheet14!$A$5:$C$221,2,FALSE)</f>
        <v>2</v>
      </c>
      <c r="J188" s="24">
        <f t="shared" si="5"/>
        <v>0</v>
      </c>
      <c r="K188" s="17">
        <v>1</v>
      </c>
      <c r="L188" s="8">
        <f>VLOOKUP(E188,Sheet14!$A$5:$C$221,3,FALSE)</f>
        <v>1</v>
      </c>
      <c r="M188" s="22">
        <f t="shared" si="7"/>
        <v>0</v>
      </c>
    </row>
    <row r="189" spans="1:13" x14ac:dyDescent="0.35">
      <c r="A189" s="2">
        <v>186</v>
      </c>
      <c r="B189" s="2" t="s">
        <v>1934</v>
      </c>
      <c r="C189" s="2">
        <v>129</v>
      </c>
      <c r="D189" s="2" t="s">
        <v>143</v>
      </c>
      <c r="E189" s="2">
        <v>5678</v>
      </c>
      <c r="F189" s="2"/>
      <c r="G189" s="2" t="s">
        <v>2133</v>
      </c>
      <c r="H189" s="16">
        <v>2</v>
      </c>
      <c r="I189" s="8">
        <f>VLOOKUP(E189,Sheet14!$A$5:$C$221,2,FALSE)</f>
        <v>2</v>
      </c>
      <c r="J189" s="24">
        <f t="shared" si="5"/>
        <v>0</v>
      </c>
      <c r="K189" s="17">
        <v>1</v>
      </c>
      <c r="L189" s="8">
        <f>VLOOKUP(E189,Sheet14!$A$5:$C$221,3,FALSE)</f>
        <v>1</v>
      </c>
      <c r="M189" s="22">
        <f t="shared" si="7"/>
        <v>0</v>
      </c>
    </row>
    <row r="190" spans="1:13" x14ac:dyDescent="0.35">
      <c r="A190" s="2">
        <v>187</v>
      </c>
      <c r="B190" s="2" t="s">
        <v>1934</v>
      </c>
      <c r="C190" s="2">
        <v>129</v>
      </c>
      <c r="D190" s="2" t="s">
        <v>143</v>
      </c>
      <c r="E190" s="2">
        <v>8057</v>
      </c>
      <c r="F190" s="2"/>
      <c r="G190" s="2" t="s">
        <v>2134</v>
      </c>
      <c r="H190" s="16">
        <v>1</v>
      </c>
      <c r="I190" s="8">
        <f>VLOOKUP(E190,Sheet14!$A$5:$C$221,2,FALSE)</f>
        <v>1</v>
      </c>
      <c r="J190" s="24">
        <f t="shared" si="5"/>
        <v>0</v>
      </c>
      <c r="K190" s="17">
        <v>1</v>
      </c>
      <c r="L190" s="8">
        <f>VLOOKUP(E190,Sheet14!$A$5:$C$221,3,FALSE)</f>
        <v>1</v>
      </c>
      <c r="M190" s="22">
        <f t="shared" si="7"/>
        <v>0</v>
      </c>
    </row>
    <row r="191" spans="1:13" x14ac:dyDescent="0.35">
      <c r="A191" s="2">
        <v>188</v>
      </c>
      <c r="B191" s="2" t="s">
        <v>1934</v>
      </c>
      <c r="C191" s="2">
        <v>129</v>
      </c>
      <c r="D191" s="2" t="s">
        <v>143</v>
      </c>
      <c r="E191" s="2">
        <v>5677</v>
      </c>
      <c r="F191" s="2"/>
      <c r="G191" s="2" t="s">
        <v>2135</v>
      </c>
      <c r="H191" s="16">
        <v>2</v>
      </c>
      <c r="I191" s="8">
        <f>VLOOKUP(E191,Sheet14!$A$5:$C$221,2,FALSE)</f>
        <v>2</v>
      </c>
      <c r="J191" s="24">
        <f t="shared" si="5"/>
        <v>0</v>
      </c>
      <c r="K191" s="17">
        <v>1</v>
      </c>
      <c r="L191" s="8">
        <f>VLOOKUP(E191,Sheet14!$A$5:$C$221,3,FALSE)</f>
        <v>1</v>
      </c>
      <c r="M191" s="22">
        <f t="shared" si="7"/>
        <v>0</v>
      </c>
    </row>
    <row r="192" spans="1:13" x14ac:dyDescent="0.35">
      <c r="A192" s="2">
        <v>189</v>
      </c>
      <c r="B192" s="2" t="s">
        <v>1934</v>
      </c>
      <c r="C192" s="2">
        <v>129</v>
      </c>
      <c r="D192" s="2" t="s">
        <v>143</v>
      </c>
      <c r="E192" s="2">
        <v>7606</v>
      </c>
      <c r="F192" s="2"/>
      <c r="G192" s="2" t="s">
        <v>2136</v>
      </c>
      <c r="H192" s="16">
        <v>1</v>
      </c>
      <c r="I192" s="8">
        <f>VLOOKUP(E192,Sheet14!$A$5:$C$221,2,FALSE)</f>
        <v>1</v>
      </c>
      <c r="J192" s="24">
        <f t="shared" si="5"/>
        <v>0</v>
      </c>
      <c r="K192" s="17">
        <v>1</v>
      </c>
      <c r="L192" s="8">
        <f>VLOOKUP(E192,Sheet14!$A$5:$C$221,3,FALSE)</f>
        <v>1</v>
      </c>
      <c r="M192" s="22">
        <f t="shared" si="7"/>
        <v>0</v>
      </c>
    </row>
    <row r="193" spans="1:13" x14ac:dyDescent="0.35">
      <c r="A193" s="2">
        <v>190</v>
      </c>
      <c r="B193" s="2" t="s">
        <v>1934</v>
      </c>
      <c r="C193" s="2">
        <v>129</v>
      </c>
      <c r="D193" s="2" t="s">
        <v>143</v>
      </c>
      <c r="E193" s="2">
        <v>8056</v>
      </c>
      <c r="F193" s="2"/>
      <c r="G193" s="2" t="s">
        <v>2137</v>
      </c>
      <c r="H193" s="16">
        <v>1</v>
      </c>
      <c r="I193" s="8">
        <f>VLOOKUP(E193,Sheet14!$A$5:$C$221,2,FALSE)</f>
        <v>1</v>
      </c>
      <c r="J193" s="24">
        <f t="shared" si="5"/>
        <v>0</v>
      </c>
      <c r="K193" s="17">
        <v>1</v>
      </c>
      <c r="L193" s="8">
        <f>VLOOKUP(E193,Sheet14!$A$5:$C$221,3,FALSE)</f>
        <v>1</v>
      </c>
      <c r="M193" s="22">
        <f t="shared" si="7"/>
        <v>0</v>
      </c>
    </row>
    <row r="194" spans="1:13" x14ac:dyDescent="0.35">
      <c r="A194" s="2">
        <v>191</v>
      </c>
      <c r="B194" s="2" t="s">
        <v>1934</v>
      </c>
      <c r="C194" s="2">
        <v>129</v>
      </c>
      <c r="D194" s="2" t="s">
        <v>143</v>
      </c>
      <c r="E194" s="2">
        <v>5676</v>
      </c>
      <c r="F194" s="2"/>
      <c r="G194" s="2" t="s">
        <v>2138</v>
      </c>
      <c r="H194" s="16">
        <v>2</v>
      </c>
      <c r="I194" s="8">
        <f>VLOOKUP(E194,Sheet14!$A$5:$C$221,2,FALSE)</f>
        <v>2</v>
      </c>
      <c r="J194" s="24">
        <f t="shared" si="5"/>
        <v>0</v>
      </c>
      <c r="K194" s="17">
        <v>1</v>
      </c>
      <c r="L194" s="8">
        <f>VLOOKUP(E194,Sheet14!$A$5:$C$221,3,FALSE)</f>
        <v>1</v>
      </c>
      <c r="M194" s="22">
        <f t="shared" si="7"/>
        <v>0</v>
      </c>
    </row>
    <row r="195" spans="1:13" x14ac:dyDescent="0.35">
      <c r="A195" s="2">
        <v>192</v>
      </c>
      <c r="B195" s="2" t="s">
        <v>1934</v>
      </c>
      <c r="C195" s="2">
        <v>40</v>
      </c>
      <c r="D195" s="2" t="s">
        <v>78</v>
      </c>
      <c r="E195" s="2">
        <v>3550</v>
      </c>
      <c r="F195" s="2"/>
      <c r="G195" s="2" t="s">
        <v>576</v>
      </c>
      <c r="H195" s="16">
        <v>2</v>
      </c>
      <c r="I195" s="8">
        <f>VLOOKUP(E195,Sheet14!$A$5:$C$221,2,FALSE)</f>
        <v>1</v>
      </c>
      <c r="J195" s="24">
        <f t="shared" si="5"/>
        <v>-1</v>
      </c>
      <c r="K195" s="17">
        <v>1</v>
      </c>
      <c r="L195" s="8">
        <f>VLOOKUP(E195,Sheet14!$A$5:$C$221,3,FALSE)</f>
        <v>1</v>
      </c>
      <c r="M195" s="22">
        <f t="shared" si="7"/>
        <v>0</v>
      </c>
    </row>
    <row r="196" spans="1:13" x14ac:dyDescent="0.35">
      <c r="A196" s="2">
        <v>193</v>
      </c>
      <c r="B196" s="2" t="s">
        <v>1934</v>
      </c>
      <c r="C196" s="2">
        <v>40</v>
      </c>
      <c r="D196" s="2" t="s">
        <v>78</v>
      </c>
      <c r="E196" s="2">
        <v>7461</v>
      </c>
      <c r="F196" s="2"/>
      <c r="G196" s="2" t="s">
        <v>2139</v>
      </c>
      <c r="H196" s="16">
        <v>2</v>
      </c>
      <c r="I196" s="8">
        <f>VLOOKUP(E196,Sheet14!$A$5:$C$221,2,FALSE)</f>
        <v>2</v>
      </c>
      <c r="J196" s="24">
        <f t="shared" ref="J196:J259" si="8">I196-H196</f>
        <v>0</v>
      </c>
      <c r="K196" s="17">
        <v>1</v>
      </c>
      <c r="L196" s="8">
        <f>VLOOKUP(E196,Sheet14!$A$5:$C$221,3,FALSE)</f>
        <v>1</v>
      </c>
      <c r="M196" s="22">
        <f t="shared" si="7"/>
        <v>0</v>
      </c>
    </row>
    <row r="197" spans="1:13" x14ac:dyDescent="0.35">
      <c r="A197" s="2">
        <v>194</v>
      </c>
      <c r="B197" s="2" t="s">
        <v>1934</v>
      </c>
      <c r="C197" s="2">
        <v>40</v>
      </c>
      <c r="D197" s="2" t="s">
        <v>78</v>
      </c>
      <c r="E197" s="2">
        <v>5675</v>
      </c>
      <c r="F197" s="2"/>
      <c r="G197" s="2" t="s">
        <v>2140</v>
      </c>
      <c r="H197" s="16">
        <v>2</v>
      </c>
      <c r="I197" s="8">
        <f>VLOOKUP(E197,Sheet14!$A$5:$C$221,2,FALSE)</f>
        <v>2</v>
      </c>
      <c r="J197" s="24">
        <f t="shared" si="8"/>
        <v>0</v>
      </c>
      <c r="K197" s="17">
        <v>2</v>
      </c>
      <c r="L197" s="8">
        <f>VLOOKUP(E197,Sheet14!$A$5:$C$221,3,FALSE)</f>
        <v>2</v>
      </c>
      <c r="M197" s="22">
        <f t="shared" si="7"/>
        <v>0</v>
      </c>
    </row>
    <row r="198" spans="1:13" x14ac:dyDescent="0.35">
      <c r="A198" s="2">
        <v>195</v>
      </c>
      <c r="B198" s="2" t="s">
        <v>1934</v>
      </c>
      <c r="C198" s="2">
        <v>40</v>
      </c>
      <c r="D198" s="2" t="s">
        <v>78</v>
      </c>
      <c r="E198" s="2">
        <v>3393</v>
      </c>
      <c r="F198" s="2"/>
      <c r="G198" s="2" t="s">
        <v>2141</v>
      </c>
      <c r="H198" s="16">
        <v>2</v>
      </c>
      <c r="I198" s="8">
        <f>VLOOKUP(E198,Sheet14!$A$5:$C$221,2,FALSE)</f>
        <v>1</v>
      </c>
      <c r="J198" s="24">
        <f t="shared" si="8"/>
        <v>-1</v>
      </c>
      <c r="K198" s="17">
        <v>2</v>
      </c>
      <c r="L198" s="8">
        <f>VLOOKUP(E198,Sheet14!$A$5:$C$221,3,FALSE)</f>
        <v>2</v>
      </c>
      <c r="M198" s="22">
        <f t="shared" si="7"/>
        <v>0</v>
      </c>
    </row>
    <row r="199" spans="1:13" x14ac:dyDescent="0.35">
      <c r="A199" s="2">
        <v>196</v>
      </c>
      <c r="B199" s="2" t="s">
        <v>1934</v>
      </c>
      <c r="C199" s="2">
        <v>40</v>
      </c>
      <c r="D199" s="2" t="s">
        <v>78</v>
      </c>
      <c r="E199" s="2">
        <v>5674</v>
      </c>
      <c r="F199" s="2"/>
      <c r="G199" s="2" t="s">
        <v>2142</v>
      </c>
      <c r="H199" s="16">
        <v>1</v>
      </c>
      <c r="I199" s="8">
        <f>VLOOKUP(E199,Sheet14!$A$5:$C$221,2,FALSE)</f>
        <v>1</v>
      </c>
      <c r="J199" s="24">
        <f t="shared" si="8"/>
        <v>0</v>
      </c>
      <c r="K199" s="17">
        <v>1</v>
      </c>
      <c r="L199" s="8">
        <f>VLOOKUP(E199,Sheet14!$A$5:$C$221,3,FALSE)</f>
        <v>1</v>
      </c>
      <c r="M199" s="22">
        <f t="shared" si="7"/>
        <v>0</v>
      </c>
    </row>
    <row r="200" spans="1:13" x14ac:dyDescent="0.35">
      <c r="A200" s="2">
        <v>197</v>
      </c>
      <c r="B200" s="2" t="s">
        <v>1934</v>
      </c>
      <c r="C200" s="2">
        <v>40</v>
      </c>
      <c r="D200" s="2" t="s">
        <v>78</v>
      </c>
      <c r="E200" s="2">
        <v>5673</v>
      </c>
      <c r="F200" s="2"/>
      <c r="G200" s="2" t="s">
        <v>748</v>
      </c>
      <c r="H200" s="16">
        <v>1</v>
      </c>
      <c r="I200" s="8">
        <f>VLOOKUP(E200,Sheet14!$A$5:$C$221,2,FALSE)</f>
        <v>1</v>
      </c>
      <c r="J200" s="24">
        <f t="shared" si="8"/>
        <v>0</v>
      </c>
      <c r="K200" s="17">
        <v>1</v>
      </c>
      <c r="L200" s="8">
        <f>VLOOKUP(E200,Sheet14!$A$5:$C$221,3,FALSE)</f>
        <v>1</v>
      </c>
      <c r="M200" s="22">
        <f t="shared" si="7"/>
        <v>0</v>
      </c>
    </row>
    <row r="201" spans="1:13" x14ac:dyDescent="0.35">
      <c r="A201" s="2">
        <v>198</v>
      </c>
      <c r="B201" s="2" t="s">
        <v>1934</v>
      </c>
      <c r="C201" s="2">
        <v>40</v>
      </c>
      <c r="D201" s="2" t="s">
        <v>78</v>
      </c>
      <c r="E201" s="2">
        <v>5672</v>
      </c>
      <c r="F201" s="2"/>
      <c r="G201" s="2" t="s">
        <v>2143</v>
      </c>
      <c r="H201" s="16">
        <v>1</v>
      </c>
      <c r="I201" s="8">
        <f>VLOOKUP(E201,Sheet14!$A$5:$C$221,2,FALSE)</f>
        <v>1</v>
      </c>
      <c r="J201" s="24">
        <f t="shared" si="8"/>
        <v>0</v>
      </c>
      <c r="K201" s="17">
        <v>1</v>
      </c>
      <c r="L201" s="8">
        <f>VLOOKUP(E201,Sheet14!$A$5:$C$221,3,FALSE)</f>
        <v>1</v>
      </c>
      <c r="M201" s="22">
        <f t="shared" si="7"/>
        <v>0</v>
      </c>
    </row>
    <row r="202" spans="1:13" x14ac:dyDescent="0.35">
      <c r="A202" s="2">
        <v>199</v>
      </c>
      <c r="B202" s="2" t="s">
        <v>1934</v>
      </c>
      <c r="C202" s="2">
        <v>179</v>
      </c>
      <c r="D202" s="2" t="s">
        <v>148</v>
      </c>
      <c r="E202" s="2">
        <v>7080</v>
      </c>
      <c r="F202" s="2"/>
      <c r="G202" s="2" t="s">
        <v>2144</v>
      </c>
      <c r="H202" s="16">
        <v>1</v>
      </c>
      <c r="I202" s="8">
        <f>VLOOKUP(E202,Sheet14!$A$5:$C$221,2,FALSE)</f>
        <v>1</v>
      </c>
      <c r="J202" s="24">
        <f t="shared" si="8"/>
        <v>0</v>
      </c>
      <c r="K202" s="17">
        <v>1</v>
      </c>
      <c r="L202" s="8">
        <f>VLOOKUP(E202,Sheet14!$A$5:$C$221,3,FALSE)</f>
        <v>1</v>
      </c>
      <c r="M202" s="22">
        <f t="shared" si="7"/>
        <v>0</v>
      </c>
    </row>
    <row r="203" spans="1:13" x14ac:dyDescent="0.35">
      <c r="A203" s="2">
        <v>200</v>
      </c>
      <c r="B203" s="2" t="s">
        <v>1934</v>
      </c>
      <c r="C203" s="2">
        <v>179</v>
      </c>
      <c r="D203" s="2" t="s">
        <v>148</v>
      </c>
      <c r="E203" s="2">
        <v>7288</v>
      </c>
      <c r="F203" s="2"/>
      <c r="G203" s="2" t="s">
        <v>2145</v>
      </c>
      <c r="H203" s="16">
        <v>1</v>
      </c>
      <c r="I203" s="8">
        <f>VLOOKUP(E203,Sheet14!$A$5:$C$221,2,FALSE)</f>
        <v>1</v>
      </c>
      <c r="J203" s="24">
        <f t="shared" si="8"/>
        <v>0</v>
      </c>
      <c r="K203" s="17">
        <v>1</v>
      </c>
      <c r="L203" s="8">
        <f>VLOOKUP(E203,Sheet14!$A$5:$C$221,3,FALSE)</f>
        <v>1</v>
      </c>
      <c r="M203" s="22">
        <f t="shared" si="7"/>
        <v>0</v>
      </c>
    </row>
    <row r="204" spans="1:13" x14ac:dyDescent="0.35">
      <c r="A204" s="2">
        <v>201</v>
      </c>
      <c r="B204" s="2" t="s">
        <v>1934</v>
      </c>
      <c r="C204" s="2">
        <v>179</v>
      </c>
      <c r="D204" s="2" t="s">
        <v>148</v>
      </c>
      <c r="E204" s="2">
        <v>7850</v>
      </c>
      <c r="F204" s="2"/>
      <c r="G204" s="2" t="s">
        <v>727</v>
      </c>
      <c r="H204" s="16">
        <v>1</v>
      </c>
      <c r="I204" s="8">
        <f>VLOOKUP(E204,Sheet14!$A$5:$C$221,2,FALSE)</f>
        <v>1</v>
      </c>
      <c r="J204" s="24">
        <f t="shared" si="8"/>
        <v>0</v>
      </c>
      <c r="K204" s="17">
        <v>1</v>
      </c>
      <c r="L204" s="8">
        <f>VLOOKUP(E204,Sheet14!$A$5:$C$221,3,FALSE)</f>
        <v>1</v>
      </c>
      <c r="M204" s="22">
        <f t="shared" si="7"/>
        <v>0</v>
      </c>
    </row>
    <row r="205" spans="1:13" x14ac:dyDescent="0.35">
      <c r="A205" s="2">
        <v>202</v>
      </c>
      <c r="B205" s="2" t="s">
        <v>1934</v>
      </c>
      <c r="C205" s="2">
        <v>179</v>
      </c>
      <c r="D205" s="2" t="s">
        <v>148</v>
      </c>
      <c r="E205" s="2">
        <v>7738</v>
      </c>
      <c r="F205" s="2"/>
      <c r="G205" s="2" t="s">
        <v>2146</v>
      </c>
      <c r="H205" s="16">
        <v>1</v>
      </c>
      <c r="I205" s="8">
        <f>VLOOKUP(E205,Sheet14!$A$5:$C$221,2,FALSE)</f>
        <v>1</v>
      </c>
      <c r="J205" s="24">
        <f t="shared" si="8"/>
        <v>0</v>
      </c>
      <c r="K205" s="17">
        <v>1</v>
      </c>
      <c r="L205" s="8">
        <f>VLOOKUP(E205,Sheet14!$A$5:$C$221,3,FALSE)</f>
        <v>1</v>
      </c>
      <c r="M205" s="22">
        <f t="shared" si="7"/>
        <v>0</v>
      </c>
    </row>
    <row r="206" spans="1:13" x14ac:dyDescent="0.35">
      <c r="A206" s="2">
        <v>203</v>
      </c>
      <c r="B206" s="2" t="s">
        <v>1934</v>
      </c>
      <c r="C206" s="2">
        <v>179</v>
      </c>
      <c r="D206" s="2" t="s">
        <v>148</v>
      </c>
      <c r="E206" s="2">
        <v>7289</v>
      </c>
      <c r="F206" s="2"/>
      <c r="G206" s="2" t="s">
        <v>2147</v>
      </c>
      <c r="H206" s="16">
        <v>1</v>
      </c>
      <c r="I206" s="8">
        <f>VLOOKUP(E206,Sheet14!$A$5:$C$221,2,FALSE)</f>
        <v>1</v>
      </c>
      <c r="J206" s="24">
        <f t="shared" si="8"/>
        <v>0</v>
      </c>
      <c r="K206" s="17">
        <v>1</v>
      </c>
      <c r="L206" s="8">
        <f>VLOOKUP(E206,Sheet14!$A$5:$C$221,3,FALSE)</f>
        <v>1</v>
      </c>
      <c r="M206" s="22">
        <f t="shared" si="7"/>
        <v>0</v>
      </c>
    </row>
    <row r="207" spans="1:13" x14ac:dyDescent="0.35">
      <c r="A207" s="2">
        <v>204</v>
      </c>
      <c r="B207" s="2" t="s">
        <v>1934</v>
      </c>
      <c r="C207" s="2">
        <v>179</v>
      </c>
      <c r="D207" s="2" t="s">
        <v>148</v>
      </c>
      <c r="E207" s="2">
        <v>5671</v>
      </c>
      <c r="F207" s="2"/>
      <c r="G207" s="2" t="s">
        <v>1156</v>
      </c>
      <c r="H207" s="16">
        <v>1</v>
      </c>
      <c r="I207" s="8">
        <f>VLOOKUP(E207,Sheet14!$A$5:$C$221,2,FALSE)</f>
        <v>1</v>
      </c>
      <c r="J207" s="24">
        <f t="shared" si="8"/>
        <v>0</v>
      </c>
      <c r="K207" s="17">
        <v>1</v>
      </c>
      <c r="L207" s="8">
        <f>VLOOKUP(E207,Sheet14!$A$5:$C$221,3,FALSE)</f>
        <v>1</v>
      </c>
      <c r="M207" s="22">
        <f t="shared" si="7"/>
        <v>0</v>
      </c>
    </row>
    <row r="208" spans="1:13" x14ac:dyDescent="0.35">
      <c r="A208" s="2">
        <v>205</v>
      </c>
      <c r="B208" s="2" t="s">
        <v>1934</v>
      </c>
      <c r="C208" s="2">
        <v>179</v>
      </c>
      <c r="D208" s="2" t="s">
        <v>148</v>
      </c>
      <c r="E208" s="2">
        <v>8144</v>
      </c>
      <c r="F208" s="2"/>
      <c r="G208" s="2" t="s">
        <v>2148</v>
      </c>
      <c r="H208" s="16">
        <v>1</v>
      </c>
      <c r="I208" s="8">
        <f>VLOOKUP(E208,Sheet14!$A$5:$C$221,2,FALSE)</f>
        <v>1</v>
      </c>
      <c r="J208" s="24">
        <f t="shared" si="8"/>
        <v>0</v>
      </c>
      <c r="K208" s="17">
        <v>1</v>
      </c>
      <c r="L208" s="8">
        <f>VLOOKUP(E208,Sheet14!$A$5:$C$221,3,FALSE)</f>
        <v>1</v>
      </c>
      <c r="M208" s="22">
        <f t="shared" si="7"/>
        <v>0</v>
      </c>
    </row>
    <row r="209" spans="1:13" x14ac:dyDescent="0.35">
      <c r="A209" s="2">
        <v>206</v>
      </c>
      <c r="B209" s="2" t="s">
        <v>1934</v>
      </c>
      <c r="C209" s="2">
        <v>179</v>
      </c>
      <c r="D209" s="2" t="s">
        <v>148</v>
      </c>
      <c r="E209" s="2">
        <v>7739</v>
      </c>
      <c r="F209" s="2"/>
      <c r="G209" s="2" t="s">
        <v>2149</v>
      </c>
      <c r="H209" s="16">
        <v>2</v>
      </c>
      <c r="I209" s="8">
        <f>VLOOKUP(E209,Sheet14!$A$5:$C$221,2,FALSE)</f>
        <v>2</v>
      </c>
      <c r="J209" s="24">
        <f t="shared" si="8"/>
        <v>0</v>
      </c>
      <c r="K209" s="17">
        <v>1</v>
      </c>
      <c r="L209" s="8">
        <f>VLOOKUP(E209,Sheet14!$A$5:$C$221,3,FALSE)</f>
        <v>1</v>
      </c>
      <c r="M209" s="22">
        <f t="shared" si="7"/>
        <v>0</v>
      </c>
    </row>
    <row r="210" spans="1:13" x14ac:dyDescent="0.35">
      <c r="A210" s="2">
        <v>207</v>
      </c>
      <c r="B210" s="2" t="s">
        <v>1934</v>
      </c>
      <c r="C210" s="2">
        <v>179</v>
      </c>
      <c r="D210" s="2" t="s">
        <v>148</v>
      </c>
      <c r="E210" s="2">
        <v>5670</v>
      </c>
      <c r="F210" s="2"/>
      <c r="G210" s="2" t="s">
        <v>2150</v>
      </c>
      <c r="H210" s="16">
        <v>2</v>
      </c>
      <c r="I210" s="8">
        <f>VLOOKUP(E210,Sheet14!$A$5:$C$221,2,FALSE)</f>
        <v>2</v>
      </c>
      <c r="J210" s="24">
        <f t="shared" si="8"/>
        <v>0</v>
      </c>
      <c r="K210" s="17">
        <v>1</v>
      </c>
      <c r="L210" s="8">
        <f>VLOOKUP(E210,Sheet14!$A$5:$C$221,3,FALSE)</f>
        <v>1</v>
      </c>
      <c r="M210" s="22">
        <f t="shared" si="7"/>
        <v>0</v>
      </c>
    </row>
    <row r="211" spans="1:13" x14ac:dyDescent="0.35">
      <c r="A211" s="2">
        <v>208</v>
      </c>
      <c r="B211" s="2" t="s">
        <v>1934</v>
      </c>
      <c r="C211" s="2">
        <v>179</v>
      </c>
      <c r="D211" s="2" t="s">
        <v>148</v>
      </c>
      <c r="E211" s="2">
        <v>5669</v>
      </c>
      <c r="F211" s="2"/>
      <c r="G211" s="2" t="s">
        <v>2151</v>
      </c>
      <c r="H211" s="16">
        <v>1</v>
      </c>
      <c r="I211" s="8">
        <f>VLOOKUP(E211,Sheet14!$A$5:$C$221,2,FALSE)</f>
        <v>1</v>
      </c>
      <c r="J211" s="24">
        <f t="shared" si="8"/>
        <v>0</v>
      </c>
      <c r="K211" s="17">
        <v>1</v>
      </c>
      <c r="L211" s="8">
        <f>VLOOKUP(E211,Sheet14!$A$5:$C$221,3,FALSE)</f>
        <v>1</v>
      </c>
      <c r="M211" s="22">
        <f t="shared" si="7"/>
        <v>0</v>
      </c>
    </row>
    <row r="212" spans="1:13" x14ac:dyDescent="0.35">
      <c r="A212" s="2">
        <v>209</v>
      </c>
      <c r="B212" s="2" t="s">
        <v>1934</v>
      </c>
      <c r="C212" s="2">
        <v>179</v>
      </c>
      <c r="D212" s="2" t="s">
        <v>148</v>
      </c>
      <c r="E212" s="2">
        <v>5668</v>
      </c>
      <c r="F212" s="2"/>
      <c r="G212" s="2" t="s">
        <v>2152</v>
      </c>
      <c r="H212" s="16">
        <v>2</v>
      </c>
      <c r="I212" s="8">
        <f>VLOOKUP(E212,Sheet14!$A$5:$C$221,2,FALSE)</f>
        <v>2</v>
      </c>
      <c r="J212" s="24">
        <f t="shared" si="8"/>
        <v>0</v>
      </c>
      <c r="K212" s="17">
        <v>1</v>
      </c>
      <c r="L212" s="8">
        <f>VLOOKUP(E212,Sheet14!$A$5:$C$221,3,FALSE)</f>
        <v>1</v>
      </c>
      <c r="M212" s="22">
        <f t="shared" si="7"/>
        <v>0</v>
      </c>
    </row>
    <row r="213" spans="1:13" x14ac:dyDescent="0.35">
      <c r="A213" s="2">
        <v>210</v>
      </c>
      <c r="B213" s="2" t="s">
        <v>1934</v>
      </c>
      <c r="C213" s="2">
        <v>179</v>
      </c>
      <c r="D213" s="2" t="s">
        <v>148</v>
      </c>
      <c r="E213" s="2">
        <v>5667</v>
      </c>
      <c r="F213" s="2"/>
      <c r="G213" s="2" t="s">
        <v>2153</v>
      </c>
      <c r="H213" s="18">
        <v>2</v>
      </c>
      <c r="I213" s="8">
        <f>VLOOKUP(E213,Sheet14!$A$5:$C$221,2,FALSE)</f>
        <v>2</v>
      </c>
      <c r="J213" s="24">
        <f t="shared" si="8"/>
        <v>0</v>
      </c>
      <c r="K213" s="18">
        <v>1</v>
      </c>
      <c r="L213" s="8">
        <f>VLOOKUP(E213,Sheet14!$A$5:$C$221,3,FALSE)</f>
        <v>1</v>
      </c>
      <c r="M213" s="23">
        <v>0</v>
      </c>
    </row>
    <row r="214" spans="1:13" x14ac:dyDescent="0.35">
      <c r="A214" s="2">
        <v>211</v>
      </c>
      <c r="B214" s="2" t="s">
        <v>1934</v>
      </c>
      <c r="C214" s="2">
        <v>179</v>
      </c>
      <c r="D214" s="2" t="s">
        <v>148</v>
      </c>
      <c r="E214" s="2">
        <v>5666</v>
      </c>
      <c r="F214" s="2"/>
      <c r="G214" s="2" t="s">
        <v>2154</v>
      </c>
      <c r="H214" s="16">
        <v>2</v>
      </c>
      <c r="I214" s="8">
        <f>VLOOKUP(E214,Sheet14!$A$5:$C$221,2,FALSE)</f>
        <v>2</v>
      </c>
      <c r="J214" s="24">
        <f t="shared" si="8"/>
        <v>0</v>
      </c>
      <c r="K214" s="17">
        <v>1</v>
      </c>
      <c r="L214" s="8">
        <f>VLOOKUP(E214,Sheet14!$A$5:$C$221,3,FALSE)</f>
        <v>1</v>
      </c>
      <c r="M214" s="22">
        <f t="shared" ref="M214:M237" si="9">L214-K214</f>
        <v>0</v>
      </c>
    </row>
    <row r="215" spans="1:13" x14ac:dyDescent="0.35">
      <c r="A215" s="2">
        <v>212</v>
      </c>
      <c r="B215" s="2" t="s">
        <v>1934</v>
      </c>
      <c r="C215" s="2">
        <v>179</v>
      </c>
      <c r="D215" s="2" t="s">
        <v>148</v>
      </c>
      <c r="E215" s="2">
        <v>7104</v>
      </c>
      <c r="F215" s="2"/>
      <c r="G215" s="2" t="s">
        <v>2155</v>
      </c>
      <c r="H215" s="16">
        <v>1</v>
      </c>
      <c r="I215" s="8">
        <f>VLOOKUP(E215,Sheet14!$A$5:$C$221,2,FALSE)</f>
        <v>1</v>
      </c>
      <c r="J215" s="24">
        <f t="shared" si="8"/>
        <v>0</v>
      </c>
      <c r="K215" s="17">
        <v>1</v>
      </c>
      <c r="L215" s="8">
        <f>VLOOKUP(E215,Sheet14!$A$5:$C$221,3,FALSE)</f>
        <v>1</v>
      </c>
      <c r="M215" s="22">
        <f t="shared" si="9"/>
        <v>0</v>
      </c>
    </row>
    <row r="216" spans="1:13" x14ac:dyDescent="0.35">
      <c r="A216" s="2">
        <v>213</v>
      </c>
      <c r="B216" s="2" t="s">
        <v>1934</v>
      </c>
      <c r="C216" s="2">
        <v>30</v>
      </c>
      <c r="D216" s="2" t="s">
        <v>22</v>
      </c>
      <c r="E216" s="2">
        <v>5648</v>
      </c>
      <c r="F216" s="2"/>
      <c r="G216" s="2" t="s">
        <v>2156</v>
      </c>
      <c r="H216" s="16">
        <v>2</v>
      </c>
      <c r="I216" s="8">
        <f>VLOOKUP(E216,Sheet14!$A$5:$C$221,2,FALSE)</f>
        <v>2</v>
      </c>
      <c r="J216" s="24">
        <f t="shared" si="8"/>
        <v>0</v>
      </c>
      <c r="K216" s="17">
        <v>2</v>
      </c>
      <c r="L216" s="8">
        <f>VLOOKUP(E216,Sheet14!$A$5:$C$221,3,FALSE)</f>
        <v>2</v>
      </c>
      <c r="M216" s="22">
        <f t="shared" si="9"/>
        <v>0</v>
      </c>
    </row>
    <row r="217" spans="1:13" x14ac:dyDescent="0.35">
      <c r="A217" s="2">
        <v>214</v>
      </c>
      <c r="B217" s="2" t="s">
        <v>1934</v>
      </c>
      <c r="C217" s="2">
        <v>30</v>
      </c>
      <c r="D217" s="2" t="s">
        <v>22</v>
      </c>
      <c r="E217" s="2">
        <v>5647</v>
      </c>
      <c r="F217" s="2"/>
      <c r="G217" s="2" t="s">
        <v>27</v>
      </c>
      <c r="H217" s="16">
        <v>2</v>
      </c>
      <c r="I217" s="8">
        <f>VLOOKUP(E217,Sheet14!$A$5:$C$221,2,FALSE)</f>
        <v>2</v>
      </c>
      <c r="J217" s="24">
        <f t="shared" si="8"/>
        <v>0</v>
      </c>
      <c r="K217" s="17">
        <v>2</v>
      </c>
      <c r="L217" s="8">
        <f>VLOOKUP(E217,Sheet14!$A$5:$C$221,3,FALSE)</f>
        <v>2</v>
      </c>
      <c r="M217" s="22">
        <f t="shared" si="9"/>
        <v>0</v>
      </c>
    </row>
    <row r="218" spans="1:13" x14ac:dyDescent="0.35">
      <c r="A218" s="2">
        <v>215</v>
      </c>
      <c r="B218" s="2" t="s">
        <v>1934</v>
      </c>
      <c r="C218" s="2">
        <v>30</v>
      </c>
      <c r="D218" s="2" t="s">
        <v>22</v>
      </c>
      <c r="E218" s="2">
        <v>5646</v>
      </c>
      <c r="F218" s="2"/>
      <c r="G218" s="2" t="s">
        <v>2157</v>
      </c>
      <c r="H218" s="16">
        <v>2</v>
      </c>
      <c r="I218" s="8">
        <f>VLOOKUP(E218,Sheet14!$A$5:$C$221,2,FALSE)</f>
        <v>2</v>
      </c>
      <c r="J218" s="24">
        <f t="shared" si="8"/>
        <v>0</v>
      </c>
      <c r="K218" s="17">
        <v>1</v>
      </c>
      <c r="L218" s="8">
        <f>VLOOKUP(E218,Sheet14!$A$5:$C$221,3,FALSE)</f>
        <v>1</v>
      </c>
      <c r="M218" s="22">
        <f t="shared" si="9"/>
        <v>0</v>
      </c>
    </row>
    <row r="219" spans="1:13" x14ac:dyDescent="0.35">
      <c r="A219" s="2">
        <v>216</v>
      </c>
      <c r="B219" s="2" t="s">
        <v>1934</v>
      </c>
      <c r="C219" s="2">
        <v>30</v>
      </c>
      <c r="D219" s="2" t="s">
        <v>22</v>
      </c>
      <c r="E219" s="2">
        <v>5645</v>
      </c>
      <c r="F219" s="2"/>
      <c r="G219" s="2" t="s">
        <v>2158</v>
      </c>
      <c r="H219" s="16">
        <v>2</v>
      </c>
      <c r="I219" s="8">
        <f>VLOOKUP(E219,Sheet14!$A$5:$C$221,2,FALSE)</f>
        <v>2</v>
      </c>
      <c r="J219" s="24">
        <f t="shared" si="8"/>
        <v>0</v>
      </c>
      <c r="K219" s="17">
        <v>2</v>
      </c>
      <c r="L219" s="8">
        <f>VLOOKUP(E219,Sheet14!$A$5:$C$221,3,FALSE)</f>
        <v>2</v>
      </c>
      <c r="M219" s="22">
        <f t="shared" si="9"/>
        <v>0</v>
      </c>
    </row>
    <row r="220" spans="1:13" x14ac:dyDescent="0.35">
      <c r="A220" s="2">
        <v>217</v>
      </c>
      <c r="B220" s="2" t="s">
        <v>1934</v>
      </c>
      <c r="C220" s="2">
        <v>30</v>
      </c>
      <c r="D220" s="2" t="s">
        <v>22</v>
      </c>
      <c r="E220" s="2">
        <v>7786</v>
      </c>
      <c r="F220" s="2"/>
      <c r="G220" s="2" t="s">
        <v>2159</v>
      </c>
      <c r="H220" s="16">
        <v>2</v>
      </c>
      <c r="I220" s="8">
        <f>VLOOKUP(E220,Sheet14!$A$5:$C$221,2,FALSE)</f>
        <v>2</v>
      </c>
      <c r="J220" s="24">
        <f t="shared" si="8"/>
        <v>0</v>
      </c>
      <c r="K220" s="17">
        <v>1</v>
      </c>
      <c r="L220" s="8">
        <f>VLOOKUP(E220,Sheet14!$A$5:$C$221,3,FALSE)</f>
        <v>1</v>
      </c>
      <c r="M220" s="22">
        <f t="shared" si="9"/>
        <v>0</v>
      </c>
    </row>
    <row r="221" spans="1:13" x14ac:dyDescent="0.35">
      <c r="A221" s="2">
        <v>218</v>
      </c>
      <c r="B221" s="2" t="s">
        <v>1934</v>
      </c>
      <c r="C221" s="2">
        <v>30</v>
      </c>
      <c r="D221" s="2" t="s">
        <v>22</v>
      </c>
      <c r="E221" s="2">
        <v>5643</v>
      </c>
      <c r="F221" s="2"/>
      <c r="G221" s="2" t="s">
        <v>2160</v>
      </c>
      <c r="H221" s="16">
        <v>2</v>
      </c>
      <c r="I221" s="8">
        <f>VLOOKUP(E221,Sheet14!$A$5:$C$221,2,FALSE)</f>
        <v>2</v>
      </c>
      <c r="J221" s="24">
        <f t="shared" si="8"/>
        <v>0</v>
      </c>
      <c r="K221" s="17">
        <v>2</v>
      </c>
      <c r="L221" s="8">
        <f>VLOOKUP(E221,Sheet14!$A$5:$C$221,3,FALSE)</f>
        <v>2</v>
      </c>
      <c r="M221" s="22">
        <f t="shared" si="9"/>
        <v>0</v>
      </c>
    </row>
    <row r="222" spans="1:13" x14ac:dyDescent="0.35">
      <c r="A222" s="2">
        <v>219</v>
      </c>
      <c r="B222" s="2" t="s">
        <v>1934</v>
      </c>
      <c r="C222" s="2">
        <v>30</v>
      </c>
      <c r="D222" s="2" t="s">
        <v>22</v>
      </c>
      <c r="E222" s="2">
        <v>5644</v>
      </c>
      <c r="F222" s="2"/>
      <c r="G222" s="2" t="s">
        <v>2161</v>
      </c>
      <c r="H222" s="16">
        <v>2</v>
      </c>
      <c r="I222" s="8">
        <f>VLOOKUP(E222,Sheet14!$A$5:$C$221,2,FALSE)</f>
        <v>2</v>
      </c>
      <c r="J222" s="24">
        <f t="shared" si="8"/>
        <v>0</v>
      </c>
      <c r="K222" s="17">
        <v>2</v>
      </c>
      <c r="L222" s="8">
        <f>VLOOKUP(E222,Sheet14!$A$5:$C$221,3,FALSE)</f>
        <v>2</v>
      </c>
      <c r="M222" s="22">
        <f t="shared" si="9"/>
        <v>0</v>
      </c>
    </row>
    <row r="223" spans="1:13" x14ac:dyDescent="0.35">
      <c r="A223" s="2">
        <v>220</v>
      </c>
      <c r="B223" s="2" t="s">
        <v>1934</v>
      </c>
      <c r="C223" s="2">
        <v>30</v>
      </c>
      <c r="D223" s="2" t="s">
        <v>22</v>
      </c>
      <c r="E223" s="2">
        <v>5642</v>
      </c>
      <c r="F223" s="2"/>
      <c r="G223" s="2" t="s">
        <v>2162</v>
      </c>
      <c r="H223" s="16">
        <v>2</v>
      </c>
      <c r="I223" s="8">
        <f>VLOOKUP(E223,Sheet14!$A$5:$C$221,2,FALSE)</f>
        <v>2</v>
      </c>
      <c r="J223" s="24">
        <f t="shared" si="8"/>
        <v>0</v>
      </c>
      <c r="K223" s="17">
        <v>2</v>
      </c>
      <c r="L223" s="8">
        <f>VLOOKUP(E223,Sheet14!$A$5:$C$221,3,FALSE)</f>
        <v>2</v>
      </c>
      <c r="M223" s="22">
        <f t="shared" si="9"/>
        <v>0</v>
      </c>
    </row>
    <row r="224" spans="1:13" x14ac:dyDescent="0.35">
      <c r="A224" s="2">
        <v>221</v>
      </c>
      <c r="B224" s="2" t="s">
        <v>1934</v>
      </c>
      <c r="C224" s="2">
        <v>30</v>
      </c>
      <c r="D224" s="2" t="s">
        <v>22</v>
      </c>
      <c r="E224" s="2">
        <v>5641</v>
      </c>
      <c r="F224" s="2"/>
      <c r="G224" s="2" t="s">
        <v>2163</v>
      </c>
      <c r="H224" s="16">
        <v>1</v>
      </c>
      <c r="I224" s="8">
        <f>VLOOKUP(E224,Sheet14!$A$5:$C$221,2,FALSE)</f>
        <v>1</v>
      </c>
      <c r="J224" s="24">
        <f t="shared" si="8"/>
        <v>0</v>
      </c>
      <c r="K224" s="17">
        <v>1</v>
      </c>
      <c r="L224" s="8">
        <f>VLOOKUP(E224,Sheet14!$A$5:$C$221,3,FALSE)</f>
        <v>1</v>
      </c>
      <c r="M224" s="22">
        <f t="shared" si="9"/>
        <v>0</v>
      </c>
    </row>
    <row r="225" spans="1:13" x14ac:dyDescent="0.35">
      <c r="A225" s="2">
        <v>222</v>
      </c>
      <c r="B225" s="2" t="s">
        <v>1934</v>
      </c>
      <c r="C225" s="2">
        <v>30</v>
      </c>
      <c r="D225" s="2" t="s">
        <v>22</v>
      </c>
      <c r="E225" s="2">
        <v>7785</v>
      </c>
      <c r="F225" s="2"/>
      <c r="G225" s="2" t="s">
        <v>2164</v>
      </c>
      <c r="H225" s="16">
        <v>2</v>
      </c>
      <c r="I225" s="8">
        <f>VLOOKUP(E225,Sheet14!$A$5:$C$221,2,FALSE)</f>
        <v>2</v>
      </c>
      <c r="J225" s="24">
        <f t="shared" si="8"/>
        <v>0</v>
      </c>
      <c r="K225" s="17">
        <v>1</v>
      </c>
      <c r="L225" s="8">
        <f>VLOOKUP(E225,Sheet14!$A$5:$C$221,3,FALSE)</f>
        <v>1</v>
      </c>
      <c r="M225" s="22">
        <f t="shared" si="9"/>
        <v>0</v>
      </c>
    </row>
    <row r="226" spans="1:13" x14ac:dyDescent="0.35">
      <c r="A226" s="2">
        <v>223</v>
      </c>
      <c r="B226" s="2" t="s">
        <v>1934</v>
      </c>
      <c r="C226" s="2">
        <v>30</v>
      </c>
      <c r="D226" s="2" t="s">
        <v>22</v>
      </c>
      <c r="E226" s="2">
        <v>5640</v>
      </c>
      <c r="F226" s="2"/>
      <c r="G226" s="2" t="s">
        <v>2165</v>
      </c>
      <c r="H226" s="16">
        <v>2</v>
      </c>
      <c r="I226" s="8">
        <f>VLOOKUP(E226,Sheet14!$A$5:$C$221,2,FALSE)</f>
        <v>2</v>
      </c>
      <c r="J226" s="24">
        <f t="shared" si="8"/>
        <v>0</v>
      </c>
      <c r="K226" s="17">
        <v>2</v>
      </c>
      <c r="L226" s="8">
        <f>VLOOKUP(E226,Sheet14!$A$5:$C$221,3,FALSE)</f>
        <v>2</v>
      </c>
      <c r="M226" s="22">
        <f t="shared" si="9"/>
        <v>0</v>
      </c>
    </row>
    <row r="227" spans="1:13" x14ac:dyDescent="0.35">
      <c r="A227" s="2">
        <v>224</v>
      </c>
      <c r="B227" s="2" t="s">
        <v>1934</v>
      </c>
      <c r="C227" s="2">
        <v>30</v>
      </c>
      <c r="D227" s="2" t="s">
        <v>22</v>
      </c>
      <c r="E227" s="2">
        <v>7217</v>
      </c>
      <c r="F227" s="2"/>
      <c r="G227" s="2" t="s">
        <v>2166</v>
      </c>
      <c r="H227" s="16">
        <v>2</v>
      </c>
      <c r="I227" s="8">
        <f>VLOOKUP(E227,Sheet14!$A$5:$C$221,2,FALSE)</f>
        <v>2</v>
      </c>
      <c r="J227" s="24">
        <f t="shared" si="8"/>
        <v>0</v>
      </c>
      <c r="K227" s="17">
        <v>1</v>
      </c>
      <c r="L227" s="8">
        <f>VLOOKUP(E227,Sheet14!$A$5:$C$221,3,FALSE)</f>
        <v>1</v>
      </c>
      <c r="M227" s="22">
        <f t="shared" si="9"/>
        <v>0</v>
      </c>
    </row>
    <row r="228" spans="1:13" x14ac:dyDescent="0.35">
      <c r="A228" s="2">
        <v>225</v>
      </c>
      <c r="B228" s="2" t="s">
        <v>1934</v>
      </c>
      <c r="C228" s="2">
        <v>30</v>
      </c>
      <c r="D228" s="2" t="s">
        <v>22</v>
      </c>
      <c r="E228" s="2">
        <v>5638</v>
      </c>
      <c r="F228" s="2"/>
      <c r="G228" s="2" t="s">
        <v>2167</v>
      </c>
      <c r="H228" s="16">
        <v>2</v>
      </c>
      <c r="I228" s="8">
        <f>VLOOKUP(E228,Sheet14!$A$5:$C$221,2,FALSE)</f>
        <v>2</v>
      </c>
      <c r="J228" s="24">
        <f t="shared" si="8"/>
        <v>0</v>
      </c>
      <c r="K228" s="17">
        <v>2</v>
      </c>
      <c r="L228" s="8">
        <f>VLOOKUP(E228,Sheet14!$A$5:$C$221,3,FALSE)</f>
        <v>2</v>
      </c>
      <c r="M228" s="22">
        <f t="shared" si="9"/>
        <v>0</v>
      </c>
    </row>
    <row r="229" spans="1:13" x14ac:dyDescent="0.35">
      <c r="A229" s="2">
        <v>226</v>
      </c>
      <c r="B229" s="2" t="s">
        <v>1934</v>
      </c>
      <c r="C229" s="2">
        <v>30</v>
      </c>
      <c r="D229" s="2" t="s">
        <v>22</v>
      </c>
      <c r="E229" s="2">
        <v>5637</v>
      </c>
      <c r="F229" s="2"/>
      <c r="G229" s="2" t="s">
        <v>2168</v>
      </c>
      <c r="H229" s="16">
        <v>2</v>
      </c>
      <c r="I229" s="8">
        <f>VLOOKUP(E229,Sheet14!$A$5:$C$221,2,FALSE)</f>
        <v>2</v>
      </c>
      <c r="J229" s="24">
        <f t="shared" si="8"/>
        <v>0</v>
      </c>
      <c r="K229" s="17">
        <v>2</v>
      </c>
      <c r="L229" s="8">
        <f>VLOOKUP(E229,Sheet14!$A$5:$C$221,3,FALSE)</f>
        <v>2</v>
      </c>
      <c r="M229" s="22">
        <f t="shared" si="9"/>
        <v>0</v>
      </c>
    </row>
    <row r="230" spans="1:13" x14ac:dyDescent="0.35">
      <c r="A230" s="2">
        <v>227</v>
      </c>
      <c r="B230" s="2" t="s">
        <v>1934</v>
      </c>
      <c r="C230" s="2">
        <v>30</v>
      </c>
      <c r="D230" s="2" t="s">
        <v>22</v>
      </c>
      <c r="E230" s="2">
        <v>5636</v>
      </c>
      <c r="F230" s="2"/>
      <c r="G230" s="2" t="s">
        <v>2169</v>
      </c>
      <c r="H230" s="16">
        <v>2</v>
      </c>
      <c r="I230" s="8">
        <f>VLOOKUP(E230,Sheet14!$A$5:$C$221,2,FALSE)</f>
        <v>2</v>
      </c>
      <c r="J230" s="24">
        <f t="shared" si="8"/>
        <v>0</v>
      </c>
      <c r="K230" s="17">
        <v>1</v>
      </c>
      <c r="L230" s="8">
        <f>VLOOKUP(E230,Sheet14!$A$5:$C$221,3,FALSE)</f>
        <v>1</v>
      </c>
      <c r="M230" s="22">
        <f t="shared" si="9"/>
        <v>0</v>
      </c>
    </row>
    <row r="231" spans="1:13" x14ac:dyDescent="0.35">
      <c r="A231" s="2">
        <v>228</v>
      </c>
      <c r="B231" s="2" t="s">
        <v>1934</v>
      </c>
      <c r="C231" s="2">
        <v>30</v>
      </c>
      <c r="D231" s="2" t="s">
        <v>22</v>
      </c>
      <c r="E231" s="2">
        <v>7432</v>
      </c>
      <c r="F231" s="2"/>
      <c r="G231" s="2" t="s">
        <v>2170</v>
      </c>
      <c r="H231" s="16">
        <v>2</v>
      </c>
      <c r="I231" s="8">
        <f>VLOOKUP(E231,Sheet14!$A$5:$C$221,2,FALSE)</f>
        <v>2</v>
      </c>
      <c r="J231" s="24">
        <f t="shared" si="8"/>
        <v>0</v>
      </c>
      <c r="K231" s="17">
        <v>1</v>
      </c>
      <c r="L231" s="8">
        <f>VLOOKUP(E231,Sheet14!$A$5:$C$221,3,FALSE)</f>
        <v>1</v>
      </c>
      <c r="M231" s="22">
        <f t="shared" si="9"/>
        <v>0</v>
      </c>
    </row>
    <row r="232" spans="1:13" x14ac:dyDescent="0.35">
      <c r="A232" s="2">
        <v>229</v>
      </c>
      <c r="B232" s="2" t="s">
        <v>1934</v>
      </c>
      <c r="C232" s="2">
        <v>20</v>
      </c>
      <c r="D232" s="2" t="s">
        <v>235</v>
      </c>
      <c r="E232" s="2">
        <v>5722</v>
      </c>
      <c r="F232" s="2"/>
      <c r="G232" s="2" t="s">
        <v>2171</v>
      </c>
      <c r="H232" s="16">
        <v>2</v>
      </c>
      <c r="I232" s="8">
        <f>VLOOKUP(E232,Sheet14!$A$5:$C$221,2,FALSE)</f>
        <v>2</v>
      </c>
      <c r="J232" s="24">
        <f t="shared" si="8"/>
        <v>0</v>
      </c>
      <c r="K232" s="17">
        <v>1</v>
      </c>
      <c r="L232" s="8">
        <f>VLOOKUP(E232,Sheet14!$A$5:$C$221,3,FALSE)</f>
        <v>1</v>
      </c>
      <c r="M232" s="22">
        <f t="shared" si="9"/>
        <v>0</v>
      </c>
    </row>
    <row r="233" spans="1:13" x14ac:dyDescent="0.35">
      <c r="A233" s="2">
        <v>230</v>
      </c>
      <c r="B233" s="2" t="s">
        <v>1934</v>
      </c>
      <c r="C233" s="2">
        <v>20</v>
      </c>
      <c r="D233" s="2" t="s">
        <v>235</v>
      </c>
      <c r="E233" s="2">
        <v>5635</v>
      </c>
      <c r="F233" s="2"/>
      <c r="G233" s="2" t="s">
        <v>2172</v>
      </c>
      <c r="H233" s="16">
        <v>2</v>
      </c>
      <c r="I233" s="8">
        <f>VLOOKUP(E233,Sheet14!$A$5:$C$221,2,FALSE)</f>
        <v>2</v>
      </c>
      <c r="J233" s="24">
        <f t="shared" si="8"/>
        <v>0</v>
      </c>
      <c r="K233" s="17">
        <v>2</v>
      </c>
      <c r="L233" s="8">
        <f>VLOOKUP(E233,Sheet14!$A$5:$C$221,3,FALSE)</f>
        <v>2</v>
      </c>
      <c r="M233" s="22">
        <f t="shared" si="9"/>
        <v>0</v>
      </c>
    </row>
    <row r="234" spans="1:13" x14ac:dyDescent="0.35">
      <c r="A234" s="2">
        <v>231</v>
      </c>
      <c r="B234" s="2" t="s">
        <v>1934</v>
      </c>
      <c r="C234" s="2">
        <v>20</v>
      </c>
      <c r="D234" s="2" t="s">
        <v>235</v>
      </c>
      <c r="E234" s="2">
        <v>5721</v>
      </c>
      <c r="F234" s="2"/>
      <c r="G234" s="2" t="s">
        <v>2173</v>
      </c>
      <c r="H234" s="16">
        <v>2</v>
      </c>
      <c r="I234" s="8">
        <f>VLOOKUP(E234,Sheet14!$A$5:$C$221,2,FALSE)</f>
        <v>1</v>
      </c>
      <c r="J234" s="24">
        <f t="shared" si="8"/>
        <v>-1</v>
      </c>
      <c r="K234" s="17">
        <v>1</v>
      </c>
      <c r="L234" s="8">
        <f>VLOOKUP(E234,Sheet14!$A$5:$C$221,3,FALSE)</f>
        <v>1</v>
      </c>
      <c r="M234" s="22">
        <f t="shared" si="9"/>
        <v>0</v>
      </c>
    </row>
    <row r="235" spans="1:13" x14ac:dyDescent="0.35">
      <c r="A235" s="2">
        <v>232</v>
      </c>
      <c r="B235" s="2" t="s">
        <v>1934</v>
      </c>
      <c r="C235" s="2">
        <v>20</v>
      </c>
      <c r="D235" s="2" t="s">
        <v>235</v>
      </c>
      <c r="E235" s="2">
        <v>5634</v>
      </c>
      <c r="F235" s="2"/>
      <c r="G235" s="2" t="s">
        <v>2174</v>
      </c>
      <c r="H235" s="16">
        <v>2</v>
      </c>
      <c r="I235" s="8">
        <f>VLOOKUP(E235,Sheet14!$A$5:$C$221,2,FALSE)</f>
        <v>2</v>
      </c>
      <c r="J235" s="24">
        <f t="shared" si="8"/>
        <v>0</v>
      </c>
      <c r="K235" s="17">
        <v>2</v>
      </c>
      <c r="L235" s="8">
        <f>VLOOKUP(E235,Sheet14!$A$5:$C$221,3,FALSE)</f>
        <v>1</v>
      </c>
      <c r="M235" s="22">
        <f t="shared" si="9"/>
        <v>-1</v>
      </c>
    </row>
    <row r="236" spans="1:13" x14ac:dyDescent="0.35">
      <c r="A236" s="2">
        <v>233</v>
      </c>
      <c r="B236" s="2" t="s">
        <v>1934</v>
      </c>
      <c r="C236" s="2">
        <v>20</v>
      </c>
      <c r="D236" s="2" t="s">
        <v>235</v>
      </c>
      <c r="E236" s="2">
        <v>5632</v>
      </c>
      <c r="F236" s="2"/>
      <c r="G236" s="2" t="s">
        <v>643</v>
      </c>
      <c r="H236" s="16">
        <v>2</v>
      </c>
      <c r="I236" s="8">
        <f>VLOOKUP(E236,Sheet14!$A$5:$C$221,2,FALSE)</f>
        <v>1</v>
      </c>
      <c r="J236" s="24">
        <f t="shared" si="8"/>
        <v>-1</v>
      </c>
      <c r="K236" s="17">
        <v>2</v>
      </c>
      <c r="L236" s="8">
        <f>VLOOKUP(E236,Sheet14!$A$5:$C$221,3,FALSE)</f>
        <v>1</v>
      </c>
      <c r="M236" s="22">
        <f t="shared" si="9"/>
        <v>-1</v>
      </c>
    </row>
    <row r="237" spans="1:13" x14ac:dyDescent="0.35">
      <c r="A237" s="2">
        <v>234</v>
      </c>
      <c r="B237" s="2" t="s">
        <v>1934</v>
      </c>
      <c r="C237" s="2">
        <v>20</v>
      </c>
      <c r="D237" s="2" t="s">
        <v>235</v>
      </c>
      <c r="E237" s="2">
        <v>5718</v>
      </c>
      <c r="F237" s="2"/>
      <c r="G237" s="2" t="s">
        <v>2175</v>
      </c>
      <c r="H237" s="16">
        <v>2</v>
      </c>
      <c r="I237" s="8">
        <f>VLOOKUP(E237,Sheet14!$A$5:$C$221,2,FALSE)</f>
        <v>2</v>
      </c>
      <c r="J237" s="24">
        <f t="shared" si="8"/>
        <v>0</v>
      </c>
      <c r="K237" s="17">
        <v>1</v>
      </c>
      <c r="L237" s="8">
        <f>VLOOKUP(E237,Sheet14!$A$5:$C$221,3,FALSE)</f>
        <v>1</v>
      </c>
      <c r="M237" s="22">
        <f t="shared" si="9"/>
        <v>0</v>
      </c>
    </row>
    <row r="238" spans="1:13" x14ac:dyDescent="0.35">
      <c r="A238" s="2">
        <v>235</v>
      </c>
      <c r="B238" s="2" t="s">
        <v>1934</v>
      </c>
      <c r="C238" s="2">
        <v>20</v>
      </c>
      <c r="D238" s="2" t="s">
        <v>235</v>
      </c>
      <c r="E238" s="2">
        <v>3552</v>
      </c>
      <c r="F238" s="2"/>
      <c r="G238" s="2" t="s">
        <v>2176</v>
      </c>
      <c r="H238" s="18">
        <v>2</v>
      </c>
      <c r="I238" s="8">
        <f>VLOOKUP(E238,Sheet14!$A$5:$C$221,2,FALSE)</f>
        <v>2</v>
      </c>
      <c r="J238" s="24">
        <f t="shared" si="8"/>
        <v>0</v>
      </c>
      <c r="K238" s="18">
        <v>1</v>
      </c>
      <c r="L238" s="8">
        <f>VLOOKUP(E238,Sheet14!$A$5:$C$221,3,FALSE)</f>
        <v>1</v>
      </c>
      <c r="M238" s="23">
        <v>0</v>
      </c>
    </row>
    <row r="239" spans="1:13" x14ac:dyDescent="0.35">
      <c r="A239" s="2">
        <v>236</v>
      </c>
      <c r="B239" s="2" t="s">
        <v>1934</v>
      </c>
      <c r="C239" s="2">
        <v>20</v>
      </c>
      <c r="D239" s="2" t="s">
        <v>235</v>
      </c>
      <c r="E239" s="2">
        <v>5629</v>
      </c>
      <c r="F239" s="2"/>
      <c r="G239" s="2" t="s">
        <v>2177</v>
      </c>
      <c r="H239" s="16">
        <v>2</v>
      </c>
      <c r="I239" s="8">
        <f>VLOOKUP(E239,Sheet14!$A$5:$C$221,2,FALSE)</f>
        <v>2</v>
      </c>
      <c r="J239" s="24">
        <f t="shared" si="8"/>
        <v>0</v>
      </c>
      <c r="K239" s="17">
        <v>1</v>
      </c>
      <c r="L239" s="8">
        <f>VLOOKUP(E239,Sheet14!$A$5:$C$221,3,FALSE)</f>
        <v>1</v>
      </c>
      <c r="M239" s="22">
        <f t="shared" ref="M239:M249" si="10">L239-K239</f>
        <v>0</v>
      </c>
    </row>
    <row r="240" spans="1:13" x14ac:dyDescent="0.35">
      <c r="A240" s="2">
        <v>237</v>
      </c>
      <c r="B240" s="2" t="s">
        <v>1934</v>
      </c>
      <c r="C240" s="2">
        <v>20</v>
      </c>
      <c r="D240" s="2" t="s">
        <v>235</v>
      </c>
      <c r="E240" s="2">
        <v>5628</v>
      </c>
      <c r="F240" s="2"/>
      <c r="G240" s="2" t="s">
        <v>2178</v>
      </c>
      <c r="H240" s="16">
        <v>2</v>
      </c>
      <c r="I240" s="8">
        <f>VLOOKUP(E240,Sheet14!$A$5:$C$221,2,FALSE)</f>
        <v>2</v>
      </c>
      <c r="J240" s="24">
        <f t="shared" si="8"/>
        <v>0</v>
      </c>
      <c r="K240" s="17">
        <v>1</v>
      </c>
      <c r="L240" s="8">
        <f>VLOOKUP(E240,Sheet14!$A$5:$C$221,3,FALSE)</f>
        <v>1</v>
      </c>
      <c r="M240" s="22">
        <f t="shared" si="10"/>
        <v>0</v>
      </c>
    </row>
    <row r="241" spans="1:13" x14ac:dyDescent="0.35">
      <c r="A241" s="2">
        <v>238</v>
      </c>
      <c r="B241" s="2" t="s">
        <v>1934</v>
      </c>
      <c r="C241" s="2">
        <v>8</v>
      </c>
      <c r="D241" s="2" t="s">
        <v>62</v>
      </c>
      <c r="E241" s="2">
        <v>8150</v>
      </c>
      <c r="F241" s="2"/>
      <c r="G241" s="2" t="s">
        <v>2179</v>
      </c>
      <c r="H241" s="16">
        <v>1</v>
      </c>
      <c r="I241" s="8">
        <f>VLOOKUP(E241,Sheet14!$A$5:$C$221,2,FALSE)</f>
        <v>1</v>
      </c>
      <c r="J241" s="24">
        <f t="shared" si="8"/>
        <v>0</v>
      </c>
      <c r="K241" s="17">
        <v>1</v>
      </c>
      <c r="L241" s="8">
        <f>VLOOKUP(E241,Sheet14!$A$5:$C$221,3,FALSE)</f>
        <v>1</v>
      </c>
      <c r="M241" s="22">
        <f t="shared" si="10"/>
        <v>0</v>
      </c>
    </row>
    <row r="242" spans="1:13" x14ac:dyDescent="0.35">
      <c r="A242" s="2">
        <v>239</v>
      </c>
      <c r="B242" s="2" t="s">
        <v>1934</v>
      </c>
      <c r="C242" s="2">
        <v>8</v>
      </c>
      <c r="D242" s="2" t="s">
        <v>62</v>
      </c>
      <c r="E242" s="2">
        <v>5614</v>
      </c>
      <c r="F242" s="2"/>
      <c r="G242" s="2" t="s">
        <v>1374</v>
      </c>
      <c r="H242" s="16">
        <v>2</v>
      </c>
      <c r="I242" s="8">
        <f>VLOOKUP(E242,Sheet14!$A$5:$C$221,2,FALSE)</f>
        <v>2</v>
      </c>
      <c r="J242" s="24">
        <f t="shared" si="8"/>
        <v>0</v>
      </c>
      <c r="K242" s="17">
        <v>1</v>
      </c>
      <c r="L242" s="8">
        <f>VLOOKUP(E242,Sheet14!$A$5:$C$221,3,FALSE)</f>
        <v>1</v>
      </c>
      <c r="M242" s="22">
        <f t="shared" si="10"/>
        <v>0</v>
      </c>
    </row>
    <row r="243" spans="1:13" x14ac:dyDescent="0.35">
      <c r="A243" s="2">
        <v>240</v>
      </c>
      <c r="B243" s="2" t="s">
        <v>1934</v>
      </c>
      <c r="C243" s="2">
        <v>8</v>
      </c>
      <c r="D243" s="2" t="s">
        <v>62</v>
      </c>
      <c r="E243" s="2">
        <v>7041</v>
      </c>
      <c r="F243" s="2"/>
      <c r="G243" s="2" t="s">
        <v>2180</v>
      </c>
      <c r="H243" s="16">
        <v>1</v>
      </c>
      <c r="I243" s="8">
        <f>VLOOKUP(E243,Sheet14!$A$5:$C$221,2,FALSE)</f>
        <v>1</v>
      </c>
      <c r="J243" s="24">
        <f t="shared" si="8"/>
        <v>0</v>
      </c>
      <c r="K243" s="17">
        <v>1</v>
      </c>
      <c r="L243" s="8">
        <f>VLOOKUP(E243,Sheet14!$A$5:$C$221,3,FALSE)</f>
        <v>1</v>
      </c>
      <c r="M243" s="22">
        <f t="shared" si="10"/>
        <v>0</v>
      </c>
    </row>
    <row r="244" spans="1:13" x14ac:dyDescent="0.35">
      <c r="A244" s="2">
        <v>241</v>
      </c>
      <c r="B244" s="2" t="s">
        <v>1934</v>
      </c>
      <c r="C244" s="2">
        <v>8</v>
      </c>
      <c r="D244" s="2" t="s">
        <v>62</v>
      </c>
      <c r="E244" s="2">
        <v>5613</v>
      </c>
      <c r="F244" s="2"/>
      <c r="G244" s="2" t="s">
        <v>2181</v>
      </c>
      <c r="H244" s="16">
        <v>2</v>
      </c>
      <c r="I244" s="8">
        <f>VLOOKUP(E244,Sheet14!$A$5:$C$221,2,FALSE)</f>
        <v>2</v>
      </c>
      <c r="J244" s="24">
        <f t="shared" si="8"/>
        <v>0</v>
      </c>
      <c r="K244" s="17">
        <v>1</v>
      </c>
      <c r="L244" s="8">
        <f>VLOOKUP(E244,Sheet14!$A$5:$C$221,3,FALSE)</f>
        <v>1</v>
      </c>
      <c r="M244" s="22">
        <f t="shared" si="10"/>
        <v>0</v>
      </c>
    </row>
    <row r="245" spans="1:13" x14ac:dyDescent="0.35">
      <c r="A245" s="2">
        <v>242</v>
      </c>
      <c r="B245" s="2" t="s">
        <v>1934</v>
      </c>
      <c r="C245" s="2">
        <v>8</v>
      </c>
      <c r="D245" s="2" t="s">
        <v>62</v>
      </c>
      <c r="E245" s="2">
        <v>7412</v>
      </c>
      <c r="F245" s="2"/>
      <c r="G245" s="2" t="s">
        <v>2182</v>
      </c>
      <c r="H245" s="16">
        <v>1</v>
      </c>
      <c r="I245" s="8">
        <f>VLOOKUP(E245,Sheet14!$A$5:$C$221,2,FALSE)</f>
        <v>1</v>
      </c>
      <c r="J245" s="24">
        <f t="shared" si="8"/>
        <v>0</v>
      </c>
      <c r="K245" s="17">
        <v>1</v>
      </c>
      <c r="L245" s="8">
        <f>VLOOKUP(E245,Sheet14!$A$5:$C$221,3,FALSE)</f>
        <v>1</v>
      </c>
      <c r="M245" s="22">
        <f t="shared" si="10"/>
        <v>0</v>
      </c>
    </row>
    <row r="246" spans="1:13" x14ac:dyDescent="0.35">
      <c r="A246" s="2">
        <v>243</v>
      </c>
      <c r="B246" s="2" t="s">
        <v>1934</v>
      </c>
      <c r="C246" s="2">
        <v>8</v>
      </c>
      <c r="D246" s="2" t="s">
        <v>62</v>
      </c>
      <c r="E246" s="2">
        <v>8052</v>
      </c>
      <c r="F246" s="2"/>
      <c r="G246" s="2" t="s">
        <v>2183</v>
      </c>
      <c r="H246" s="16">
        <v>2</v>
      </c>
      <c r="I246" s="8">
        <f>VLOOKUP(E246,Sheet14!$A$5:$C$221,2,FALSE)</f>
        <v>2</v>
      </c>
      <c r="J246" s="24">
        <f t="shared" si="8"/>
        <v>0</v>
      </c>
      <c r="K246" s="17">
        <v>1</v>
      </c>
      <c r="L246" s="8">
        <f>VLOOKUP(E246,Sheet14!$A$5:$C$221,3,FALSE)</f>
        <v>1</v>
      </c>
      <c r="M246" s="22">
        <f t="shared" si="10"/>
        <v>0</v>
      </c>
    </row>
    <row r="247" spans="1:13" x14ac:dyDescent="0.35">
      <c r="A247" s="2">
        <v>244</v>
      </c>
      <c r="B247" s="2" t="s">
        <v>1934</v>
      </c>
      <c r="C247" s="2">
        <v>8</v>
      </c>
      <c r="D247" s="2" t="s">
        <v>62</v>
      </c>
      <c r="E247" s="2">
        <v>5612</v>
      </c>
      <c r="F247" s="2"/>
      <c r="G247" s="2" t="s">
        <v>2184</v>
      </c>
      <c r="H247" s="16">
        <v>2</v>
      </c>
      <c r="I247" s="8">
        <f>VLOOKUP(E247,Sheet14!$A$5:$C$221,2,FALSE)</f>
        <v>1</v>
      </c>
      <c r="J247" s="24">
        <f t="shared" si="8"/>
        <v>-1</v>
      </c>
      <c r="K247" s="17">
        <v>2</v>
      </c>
      <c r="L247" s="8">
        <f>VLOOKUP(E247,Sheet14!$A$5:$C$221,3,FALSE)</f>
        <v>2</v>
      </c>
      <c r="M247" s="22">
        <f t="shared" si="10"/>
        <v>0</v>
      </c>
    </row>
    <row r="248" spans="1:13" x14ac:dyDescent="0.35">
      <c r="A248" s="2">
        <v>245</v>
      </c>
      <c r="B248" s="2" t="s">
        <v>1934</v>
      </c>
      <c r="C248" s="2">
        <v>8</v>
      </c>
      <c r="D248" s="2" t="s">
        <v>62</v>
      </c>
      <c r="E248" s="2">
        <v>5611</v>
      </c>
      <c r="F248" s="2"/>
      <c r="G248" s="2" t="s">
        <v>2185</v>
      </c>
      <c r="H248" s="16">
        <v>2</v>
      </c>
      <c r="I248" s="8">
        <f>VLOOKUP(E248,Sheet14!$A$5:$C$221,2,FALSE)</f>
        <v>2</v>
      </c>
      <c r="J248" s="24">
        <f t="shared" si="8"/>
        <v>0</v>
      </c>
      <c r="K248" s="17">
        <v>2</v>
      </c>
      <c r="L248" s="8">
        <f>VLOOKUP(E248,Sheet14!$A$5:$C$221,3,FALSE)</f>
        <v>2</v>
      </c>
      <c r="M248" s="22">
        <f t="shared" si="10"/>
        <v>0</v>
      </c>
    </row>
    <row r="249" spans="1:13" x14ac:dyDescent="0.35">
      <c r="A249" s="2">
        <v>246</v>
      </c>
      <c r="B249" s="2" t="s">
        <v>1934</v>
      </c>
      <c r="C249" s="2">
        <v>8</v>
      </c>
      <c r="D249" s="2" t="s">
        <v>62</v>
      </c>
      <c r="E249" s="2">
        <v>5610</v>
      </c>
      <c r="F249" s="2"/>
      <c r="G249" s="2" t="s">
        <v>2186</v>
      </c>
      <c r="H249" s="16">
        <v>1</v>
      </c>
      <c r="I249" s="8">
        <f>VLOOKUP(E249,Sheet14!$A$5:$C$221,2,FALSE)</f>
        <v>1</v>
      </c>
      <c r="J249" s="24">
        <f t="shared" si="8"/>
        <v>0</v>
      </c>
      <c r="K249" s="17">
        <v>1</v>
      </c>
      <c r="L249" s="8">
        <f>VLOOKUP(E249,Sheet14!$A$5:$C$221,3,FALSE)</f>
        <v>1</v>
      </c>
      <c r="M249" s="22">
        <f t="shared" si="10"/>
        <v>0</v>
      </c>
    </row>
    <row r="250" spans="1:13" x14ac:dyDescent="0.35">
      <c r="A250" s="2">
        <v>247</v>
      </c>
      <c r="B250" s="2" t="s">
        <v>1934</v>
      </c>
      <c r="C250" s="2">
        <v>8</v>
      </c>
      <c r="D250" s="2" t="s">
        <v>62</v>
      </c>
      <c r="E250" s="2">
        <v>3286</v>
      </c>
      <c r="F250" s="2"/>
      <c r="G250" s="2" t="s">
        <v>422</v>
      </c>
      <c r="H250" s="18">
        <v>2</v>
      </c>
      <c r="I250" s="8">
        <f>VLOOKUP(E250,Sheet14!$A$5:$C$221,2,FALSE)</f>
        <v>2</v>
      </c>
      <c r="J250" s="24">
        <f t="shared" si="8"/>
        <v>0</v>
      </c>
      <c r="K250" s="18">
        <v>2</v>
      </c>
      <c r="L250" s="8">
        <f>VLOOKUP(E250,Sheet14!$A$5:$C$221,3,FALSE)</f>
        <v>1</v>
      </c>
      <c r="M250" s="23">
        <v>0</v>
      </c>
    </row>
    <row r="251" spans="1:13" x14ac:dyDescent="0.35">
      <c r="A251" s="2">
        <v>248</v>
      </c>
      <c r="B251" s="2" t="s">
        <v>1934</v>
      </c>
      <c r="C251" s="2">
        <v>8</v>
      </c>
      <c r="D251" s="2" t="s">
        <v>62</v>
      </c>
      <c r="E251" s="2">
        <v>5609</v>
      </c>
      <c r="F251" s="2"/>
      <c r="G251" s="2" t="s">
        <v>2187</v>
      </c>
      <c r="H251" s="16">
        <v>2</v>
      </c>
      <c r="I251" s="8">
        <f>VLOOKUP(E251,Sheet14!$A$5:$C$221,2,FALSE)</f>
        <v>2</v>
      </c>
      <c r="J251" s="24">
        <f t="shared" si="8"/>
        <v>0</v>
      </c>
      <c r="K251" s="17">
        <v>1</v>
      </c>
      <c r="L251" s="8">
        <f>VLOOKUP(E251,Sheet14!$A$5:$C$221,3,FALSE)</f>
        <v>1</v>
      </c>
      <c r="M251" s="22">
        <f t="shared" ref="M251:M256" si="11">L251-K251</f>
        <v>0</v>
      </c>
    </row>
    <row r="252" spans="1:13" x14ac:dyDescent="0.35">
      <c r="A252" s="2">
        <v>249</v>
      </c>
      <c r="B252" s="2" t="s">
        <v>1934</v>
      </c>
      <c r="C252" s="2">
        <v>8</v>
      </c>
      <c r="D252" s="2" t="s">
        <v>62</v>
      </c>
      <c r="E252" s="2">
        <v>5607</v>
      </c>
      <c r="F252" s="2"/>
      <c r="G252" s="2" t="s">
        <v>1552</v>
      </c>
      <c r="H252" s="18">
        <v>2</v>
      </c>
      <c r="I252" s="8">
        <f>VLOOKUP(E252,Sheet14!$A$5:$C$221,2,FALSE)</f>
        <v>1</v>
      </c>
      <c r="J252" s="24">
        <f t="shared" si="8"/>
        <v>-1</v>
      </c>
      <c r="K252" s="18">
        <v>1</v>
      </c>
      <c r="L252" s="8">
        <f>VLOOKUP(E252,Sheet14!$A$5:$C$221,3,FALSE)</f>
        <v>1</v>
      </c>
      <c r="M252" s="22">
        <f t="shared" si="11"/>
        <v>0</v>
      </c>
    </row>
    <row r="253" spans="1:13" x14ac:dyDescent="0.35">
      <c r="A253" s="2">
        <v>250</v>
      </c>
      <c r="B253" s="2" t="s">
        <v>1934</v>
      </c>
      <c r="C253" s="2">
        <v>8</v>
      </c>
      <c r="D253" s="2" t="s">
        <v>62</v>
      </c>
      <c r="E253" s="2">
        <v>5608</v>
      </c>
      <c r="F253" s="2"/>
      <c r="G253" s="2" t="s">
        <v>2188</v>
      </c>
      <c r="H253" s="16">
        <v>2</v>
      </c>
      <c r="I253" s="8">
        <f>VLOOKUP(E253,Sheet14!$A$5:$C$221,2,FALSE)</f>
        <v>2</v>
      </c>
      <c r="J253" s="24">
        <f t="shared" si="8"/>
        <v>0</v>
      </c>
      <c r="K253" s="17">
        <v>1</v>
      </c>
      <c r="L253" s="8">
        <f>VLOOKUP(E253,Sheet14!$A$5:$C$221,3,FALSE)</f>
        <v>1</v>
      </c>
      <c r="M253" s="22">
        <f t="shared" si="11"/>
        <v>0</v>
      </c>
    </row>
    <row r="254" spans="1:13" x14ac:dyDescent="0.35">
      <c r="A254" s="2">
        <v>251</v>
      </c>
      <c r="B254" s="2" t="s">
        <v>1934</v>
      </c>
      <c r="C254" s="2">
        <v>8</v>
      </c>
      <c r="D254" s="2" t="s">
        <v>62</v>
      </c>
      <c r="E254" s="2">
        <v>5606</v>
      </c>
      <c r="F254" s="2"/>
      <c r="G254" s="2" t="s">
        <v>415</v>
      </c>
      <c r="H254" s="16">
        <v>2</v>
      </c>
      <c r="I254" s="8">
        <f>VLOOKUP(E254,Sheet14!$A$5:$C$221,2,FALSE)</f>
        <v>2</v>
      </c>
      <c r="J254" s="24">
        <f t="shared" si="8"/>
        <v>0</v>
      </c>
      <c r="K254" s="17">
        <v>2</v>
      </c>
      <c r="L254" s="8">
        <f>VLOOKUP(E254,Sheet14!$A$5:$C$221,3,FALSE)</f>
        <v>2</v>
      </c>
      <c r="M254" s="22">
        <f t="shared" si="11"/>
        <v>0</v>
      </c>
    </row>
    <row r="255" spans="1:13" x14ac:dyDescent="0.35">
      <c r="A255" s="2">
        <v>252</v>
      </c>
      <c r="B255" s="2" t="s">
        <v>1934</v>
      </c>
      <c r="C255" s="2">
        <v>8</v>
      </c>
      <c r="D255" s="2" t="s">
        <v>62</v>
      </c>
      <c r="E255" s="2">
        <v>5605</v>
      </c>
      <c r="F255" s="2"/>
      <c r="G255" s="2" t="s">
        <v>2189</v>
      </c>
      <c r="H255" s="16">
        <v>2</v>
      </c>
      <c r="I255" s="8">
        <f>VLOOKUP(E255,Sheet14!$A$5:$C$221,2,FALSE)</f>
        <v>2</v>
      </c>
      <c r="J255" s="24">
        <f t="shared" si="8"/>
        <v>0</v>
      </c>
      <c r="K255" s="17">
        <v>2</v>
      </c>
      <c r="L255" s="8">
        <f>VLOOKUP(E255,Sheet14!$A$5:$C$221,3,FALSE)</f>
        <v>2</v>
      </c>
      <c r="M255" s="22">
        <f t="shared" si="11"/>
        <v>0</v>
      </c>
    </row>
    <row r="256" spans="1:13" x14ac:dyDescent="0.35">
      <c r="A256" s="2">
        <v>253</v>
      </c>
      <c r="B256" s="2" t="s">
        <v>1934</v>
      </c>
      <c r="C256" s="2">
        <v>275</v>
      </c>
      <c r="D256" s="2" t="s">
        <v>354</v>
      </c>
      <c r="E256" s="2">
        <v>7339</v>
      </c>
      <c r="F256" s="2"/>
      <c r="G256" s="2" t="s">
        <v>2190</v>
      </c>
      <c r="H256" s="16">
        <v>1</v>
      </c>
      <c r="I256" s="8">
        <f>VLOOKUP(E256,Sheet14!$A$5:$C$221,2,FALSE)</f>
        <v>1</v>
      </c>
      <c r="J256" s="24">
        <f t="shared" si="8"/>
        <v>0</v>
      </c>
      <c r="K256" s="17">
        <v>1</v>
      </c>
      <c r="L256" s="8">
        <f>VLOOKUP(E256,Sheet14!$A$5:$C$221,3,FALSE)</f>
        <v>1</v>
      </c>
      <c r="M256" s="22">
        <f t="shared" si="11"/>
        <v>0</v>
      </c>
    </row>
    <row r="257" spans="1:13" x14ac:dyDescent="0.35">
      <c r="A257" s="2">
        <v>254</v>
      </c>
      <c r="B257" s="2" t="s">
        <v>1934</v>
      </c>
      <c r="C257" s="2">
        <v>275</v>
      </c>
      <c r="D257" s="2" t="s">
        <v>354</v>
      </c>
      <c r="E257" s="2">
        <v>7102</v>
      </c>
      <c r="F257" s="2"/>
      <c r="G257" s="2" t="s">
        <v>2191</v>
      </c>
      <c r="H257" s="18">
        <v>2</v>
      </c>
      <c r="I257" s="8">
        <f>VLOOKUP(E257,Sheet14!$A$5:$C$221,2,FALSE)</f>
        <v>1</v>
      </c>
      <c r="J257" s="24">
        <f t="shared" si="8"/>
        <v>-1</v>
      </c>
      <c r="K257" s="18">
        <v>1</v>
      </c>
      <c r="L257" s="8">
        <f>VLOOKUP(E257,Sheet14!$A$5:$C$221,3,FALSE)</f>
        <v>1</v>
      </c>
      <c r="M257" s="23">
        <v>0</v>
      </c>
    </row>
    <row r="258" spans="1:13" x14ac:dyDescent="0.35">
      <c r="A258" s="2">
        <v>255</v>
      </c>
      <c r="B258" s="2" t="s">
        <v>1934</v>
      </c>
      <c r="C258" s="2">
        <v>275</v>
      </c>
      <c r="D258" s="2" t="s">
        <v>354</v>
      </c>
      <c r="E258" s="2">
        <v>8149</v>
      </c>
      <c r="F258" s="2"/>
      <c r="G258" s="2" t="s">
        <v>2192</v>
      </c>
      <c r="H258" s="16">
        <v>1</v>
      </c>
      <c r="I258" s="8">
        <f>VLOOKUP(E258,Sheet14!$A$5:$C$221,2,FALSE)</f>
        <v>1</v>
      </c>
      <c r="J258" s="24">
        <f t="shared" si="8"/>
        <v>0</v>
      </c>
      <c r="K258" s="17">
        <v>1</v>
      </c>
      <c r="L258" s="8">
        <f>VLOOKUP(E258,Sheet14!$A$5:$C$221,3,FALSE)</f>
        <v>1</v>
      </c>
      <c r="M258" s="22">
        <f t="shared" ref="M258:M273" si="12">L258-K258</f>
        <v>0</v>
      </c>
    </row>
    <row r="259" spans="1:13" x14ac:dyDescent="0.35">
      <c r="A259" s="2">
        <v>256</v>
      </c>
      <c r="B259" s="2" t="s">
        <v>1934</v>
      </c>
      <c r="C259" s="2">
        <v>275</v>
      </c>
      <c r="D259" s="2" t="s">
        <v>354</v>
      </c>
      <c r="E259" s="2">
        <v>5603</v>
      </c>
      <c r="F259" s="2"/>
      <c r="G259" s="2" t="s">
        <v>2193</v>
      </c>
      <c r="H259" s="16">
        <v>2</v>
      </c>
      <c r="I259" s="8">
        <f>VLOOKUP(E259,Sheet14!$A$5:$C$221,2,FALSE)</f>
        <v>2</v>
      </c>
      <c r="J259" s="24">
        <f t="shared" si="8"/>
        <v>0</v>
      </c>
      <c r="K259" s="17">
        <v>2</v>
      </c>
      <c r="L259" s="8">
        <f>VLOOKUP(E259,Sheet14!$A$5:$C$221,3,FALSE)</f>
        <v>2</v>
      </c>
      <c r="M259" s="22">
        <f t="shared" si="12"/>
        <v>0</v>
      </c>
    </row>
    <row r="260" spans="1:13" x14ac:dyDescent="0.35">
      <c r="A260" s="2">
        <v>257</v>
      </c>
      <c r="B260" s="2" t="s">
        <v>1934</v>
      </c>
      <c r="C260" s="2">
        <v>275</v>
      </c>
      <c r="D260" s="2" t="s">
        <v>354</v>
      </c>
      <c r="E260" s="2">
        <v>3389</v>
      </c>
      <c r="F260" s="2"/>
      <c r="G260" s="2" t="s">
        <v>2194</v>
      </c>
      <c r="H260" s="16">
        <v>2</v>
      </c>
      <c r="I260" s="8">
        <f>VLOOKUP(E260,Sheet14!$A$5:$C$221,2,FALSE)</f>
        <v>2</v>
      </c>
      <c r="J260" s="24">
        <f t="shared" ref="J260:J273" si="13">I260-H260</f>
        <v>0</v>
      </c>
      <c r="K260" s="17">
        <v>1</v>
      </c>
      <c r="L260" s="8">
        <f>VLOOKUP(E260,Sheet14!$A$5:$C$221,3,FALSE)</f>
        <v>1</v>
      </c>
      <c r="M260" s="22">
        <f t="shared" si="12"/>
        <v>0</v>
      </c>
    </row>
    <row r="261" spans="1:13" x14ac:dyDescent="0.35">
      <c r="A261" s="2">
        <v>258</v>
      </c>
      <c r="B261" s="2" t="s">
        <v>1934</v>
      </c>
      <c r="C261" s="2">
        <v>275</v>
      </c>
      <c r="D261" s="2" t="s">
        <v>354</v>
      </c>
      <c r="E261" s="2">
        <v>7663</v>
      </c>
      <c r="F261" s="2"/>
      <c r="G261" s="2" t="s">
        <v>2195</v>
      </c>
      <c r="H261" s="16">
        <v>1</v>
      </c>
      <c r="I261" s="8">
        <f>VLOOKUP(E261,Sheet14!$A$5:$C$221,2,FALSE)</f>
        <v>1</v>
      </c>
      <c r="J261" s="24">
        <f t="shared" si="13"/>
        <v>0</v>
      </c>
      <c r="K261" s="17">
        <v>1</v>
      </c>
      <c r="L261" s="8">
        <f>VLOOKUP(E261,Sheet14!$A$5:$C$221,3,FALSE)</f>
        <v>1</v>
      </c>
      <c r="M261" s="22">
        <f t="shared" si="12"/>
        <v>0</v>
      </c>
    </row>
    <row r="262" spans="1:13" x14ac:dyDescent="0.35">
      <c r="A262" s="2">
        <v>259</v>
      </c>
      <c r="B262" s="2" t="s">
        <v>1934</v>
      </c>
      <c r="C262" s="2">
        <v>275</v>
      </c>
      <c r="D262" s="2" t="s">
        <v>354</v>
      </c>
      <c r="E262" s="2">
        <v>5602</v>
      </c>
      <c r="F262" s="2"/>
      <c r="G262" s="2" t="s">
        <v>2196</v>
      </c>
      <c r="H262" s="16">
        <v>2</v>
      </c>
      <c r="I262" s="8">
        <f>VLOOKUP(E262,Sheet14!$A$5:$C$221,2,FALSE)</f>
        <v>2</v>
      </c>
      <c r="J262" s="24">
        <f t="shared" si="13"/>
        <v>0</v>
      </c>
      <c r="K262" s="17">
        <v>1</v>
      </c>
      <c r="L262" s="8">
        <f>VLOOKUP(E262,Sheet14!$A$5:$C$221,3,FALSE)</f>
        <v>1</v>
      </c>
      <c r="M262" s="22">
        <f t="shared" si="12"/>
        <v>0</v>
      </c>
    </row>
    <row r="263" spans="1:13" x14ac:dyDescent="0.35">
      <c r="A263" s="2">
        <v>260</v>
      </c>
      <c r="B263" s="2" t="s">
        <v>1934</v>
      </c>
      <c r="C263" s="2">
        <v>275</v>
      </c>
      <c r="D263" s="2" t="s">
        <v>354</v>
      </c>
      <c r="E263" s="2">
        <v>3388</v>
      </c>
      <c r="F263" s="2"/>
      <c r="G263" s="2" t="s">
        <v>837</v>
      </c>
      <c r="H263" s="16">
        <v>2</v>
      </c>
      <c r="I263" s="8">
        <f>VLOOKUP(E263,Sheet14!$A$5:$C$221,2,FALSE)</f>
        <v>2</v>
      </c>
      <c r="J263" s="24">
        <f t="shared" si="13"/>
        <v>0</v>
      </c>
      <c r="K263" s="17">
        <v>2</v>
      </c>
      <c r="L263" s="8">
        <f>VLOOKUP(E263,Sheet14!$A$5:$C$221,3,FALSE)</f>
        <v>2</v>
      </c>
      <c r="M263" s="22">
        <f t="shared" si="12"/>
        <v>0</v>
      </c>
    </row>
    <row r="264" spans="1:13" x14ac:dyDescent="0.35">
      <c r="A264" s="2">
        <v>261</v>
      </c>
      <c r="B264" s="2" t="s">
        <v>1934</v>
      </c>
      <c r="C264" s="2">
        <v>606</v>
      </c>
      <c r="D264" s="2" t="s">
        <v>157</v>
      </c>
      <c r="E264" s="2">
        <v>7767</v>
      </c>
      <c r="F264" s="2"/>
      <c r="G264" s="2" t="s">
        <v>2197</v>
      </c>
      <c r="H264" s="16">
        <v>2</v>
      </c>
      <c r="I264" s="8">
        <f>VLOOKUP(E264,Sheet14!$A$5:$C$221,2,FALSE)</f>
        <v>1</v>
      </c>
      <c r="J264" s="24">
        <f t="shared" si="13"/>
        <v>-1</v>
      </c>
      <c r="K264" s="17">
        <v>1</v>
      </c>
      <c r="L264" s="8">
        <f>VLOOKUP(E264,Sheet14!$A$5:$C$221,3,FALSE)</f>
        <v>1</v>
      </c>
      <c r="M264" s="22">
        <f t="shared" si="12"/>
        <v>0</v>
      </c>
    </row>
    <row r="265" spans="1:13" x14ac:dyDescent="0.35">
      <c r="A265" s="2">
        <v>262</v>
      </c>
      <c r="B265" s="2" t="s">
        <v>1934</v>
      </c>
      <c r="C265" s="2">
        <v>606</v>
      </c>
      <c r="D265" s="2" t="s">
        <v>157</v>
      </c>
      <c r="E265" s="2">
        <v>5633</v>
      </c>
      <c r="F265" s="2"/>
      <c r="G265" s="2" t="s">
        <v>2198</v>
      </c>
      <c r="H265" s="16">
        <v>2</v>
      </c>
      <c r="I265" s="8">
        <f>VLOOKUP(E265,Sheet14!$A$5:$C$221,2,FALSE)</f>
        <v>1</v>
      </c>
      <c r="J265" s="24">
        <f t="shared" si="13"/>
        <v>-1</v>
      </c>
      <c r="K265" s="17">
        <v>1</v>
      </c>
      <c r="L265" s="8">
        <f>VLOOKUP(E265,Sheet14!$A$5:$C$221,3,FALSE)</f>
        <v>1</v>
      </c>
      <c r="M265" s="22">
        <f t="shared" si="12"/>
        <v>0</v>
      </c>
    </row>
    <row r="266" spans="1:13" x14ac:dyDescent="0.35">
      <c r="A266" s="2">
        <v>263</v>
      </c>
      <c r="B266" s="2" t="s">
        <v>1934</v>
      </c>
      <c r="C266" s="2">
        <v>606</v>
      </c>
      <c r="D266" s="2" t="s">
        <v>157</v>
      </c>
      <c r="E266" s="2">
        <v>5631</v>
      </c>
      <c r="F266" s="2"/>
      <c r="G266" s="2" t="s">
        <v>2199</v>
      </c>
      <c r="H266" s="16">
        <v>2</v>
      </c>
      <c r="I266" s="8">
        <f>VLOOKUP(E266,Sheet14!$A$5:$C$221,2,FALSE)</f>
        <v>1</v>
      </c>
      <c r="J266" s="24">
        <f t="shared" si="13"/>
        <v>-1</v>
      </c>
      <c r="K266" s="17">
        <v>1</v>
      </c>
      <c r="L266" s="8">
        <f>VLOOKUP(E266,Sheet14!$A$5:$C$221,3,FALSE)</f>
        <v>1</v>
      </c>
      <c r="M266" s="22">
        <f t="shared" si="12"/>
        <v>0</v>
      </c>
    </row>
    <row r="267" spans="1:13" x14ac:dyDescent="0.35">
      <c r="A267" s="2">
        <v>264</v>
      </c>
      <c r="B267" s="2" t="s">
        <v>1934</v>
      </c>
      <c r="C267" s="2">
        <v>606</v>
      </c>
      <c r="D267" s="2" t="s">
        <v>157</v>
      </c>
      <c r="E267" s="2">
        <v>5630</v>
      </c>
      <c r="F267" s="2"/>
      <c r="G267" s="2" t="s">
        <v>2200</v>
      </c>
      <c r="H267" s="16">
        <v>2</v>
      </c>
      <c r="I267" s="8">
        <f>VLOOKUP(E267,Sheet14!$A$5:$C$221,2,FALSE)</f>
        <v>1</v>
      </c>
      <c r="J267" s="24">
        <f t="shared" si="13"/>
        <v>-1</v>
      </c>
      <c r="K267" s="17">
        <v>1</v>
      </c>
      <c r="L267" s="8">
        <f>VLOOKUP(E267,Sheet14!$A$5:$C$221,3,FALSE)</f>
        <v>1</v>
      </c>
      <c r="M267" s="22">
        <f t="shared" si="12"/>
        <v>0</v>
      </c>
    </row>
    <row r="268" spans="1:13" x14ac:dyDescent="0.35">
      <c r="A268" s="2">
        <v>265</v>
      </c>
      <c r="B268" s="2" t="s">
        <v>1934</v>
      </c>
      <c r="C268" s="2">
        <v>606</v>
      </c>
      <c r="D268" s="2" t="s">
        <v>157</v>
      </c>
      <c r="E268" s="2">
        <v>7105</v>
      </c>
      <c r="F268" s="2"/>
      <c r="G268" s="2" t="s">
        <v>2201</v>
      </c>
      <c r="H268" s="16">
        <v>2</v>
      </c>
      <c r="I268" s="8">
        <f>VLOOKUP(E268,Sheet14!$A$5:$C$221,2,FALSE)</f>
        <v>1</v>
      </c>
      <c r="J268" s="24">
        <f t="shared" si="13"/>
        <v>-1</v>
      </c>
      <c r="K268" s="17">
        <v>1</v>
      </c>
      <c r="L268" s="8">
        <f>VLOOKUP(E268,Sheet14!$A$5:$C$221,3,FALSE)</f>
        <v>1</v>
      </c>
      <c r="M268" s="22">
        <f t="shared" si="12"/>
        <v>0</v>
      </c>
    </row>
    <row r="269" spans="1:13" x14ac:dyDescent="0.35">
      <c r="A269" s="2">
        <v>266</v>
      </c>
      <c r="B269" s="2" t="s">
        <v>1934</v>
      </c>
      <c r="C269" s="2">
        <v>606</v>
      </c>
      <c r="D269" s="2" t="s">
        <v>157</v>
      </c>
      <c r="E269" s="2">
        <v>5714</v>
      </c>
      <c r="F269" s="2"/>
      <c r="G269" s="2" t="s">
        <v>2202</v>
      </c>
      <c r="H269" s="16">
        <v>2</v>
      </c>
      <c r="I269" s="8">
        <f>VLOOKUP(E269,Sheet14!$A$5:$C$221,2,FALSE)</f>
        <v>1</v>
      </c>
      <c r="J269" s="24">
        <f t="shared" si="13"/>
        <v>-1</v>
      </c>
      <c r="K269" s="17">
        <v>1</v>
      </c>
      <c r="L269" s="8">
        <f>VLOOKUP(E269,Sheet14!$A$5:$C$221,3,FALSE)</f>
        <v>1</v>
      </c>
      <c r="M269" s="22">
        <f t="shared" si="12"/>
        <v>0</v>
      </c>
    </row>
    <row r="270" spans="1:13" x14ac:dyDescent="0.35">
      <c r="A270" s="2">
        <v>267</v>
      </c>
      <c r="B270" s="2" t="s">
        <v>1934</v>
      </c>
      <c r="C270" s="2">
        <v>606</v>
      </c>
      <c r="D270" s="2" t="s">
        <v>157</v>
      </c>
      <c r="E270" s="2">
        <v>7338</v>
      </c>
      <c r="F270" s="2"/>
      <c r="G270" s="2" t="s">
        <v>2203</v>
      </c>
      <c r="H270" s="16">
        <v>2</v>
      </c>
      <c r="I270" s="8">
        <f>VLOOKUP(E270,Sheet14!$A$5:$C$221,2,FALSE)</f>
        <v>2</v>
      </c>
      <c r="J270" s="24">
        <f t="shared" si="13"/>
        <v>0</v>
      </c>
      <c r="K270" s="17">
        <v>1</v>
      </c>
      <c r="L270" s="8">
        <f>VLOOKUP(E270,Sheet14!$A$5:$C$221,3,FALSE)</f>
        <v>1</v>
      </c>
      <c r="M270" s="22">
        <f t="shared" si="12"/>
        <v>0</v>
      </c>
    </row>
    <row r="271" spans="1:13" x14ac:dyDescent="0.35">
      <c r="A271" s="2">
        <v>268</v>
      </c>
      <c r="B271" s="2" t="s">
        <v>1934</v>
      </c>
      <c r="C271" s="2">
        <v>606</v>
      </c>
      <c r="D271" s="2" t="s">
        <v>157</v>
      </c>
      <c r="E271" s="2">
        <v>7608</v>
      </c>
      <c r="F271" s="2"/>
      <c r="G271" s="2" t="s">
        <v>2204</v>
      </c>
      <c r="H271" s="16">
        <v>2</v>
      </c>
      <c r="I271" s="8">
        <f>VLOOKUP(E271,Sheet14!$A$5:$C$221,2,FALSE)</f>
        <v>1</v>
      </c>
      <c r="J271" s="24">
        <f t="shared" si="13"/>
        <v>-1</v>
      </c>
      <c r="K271" s="17">
        <v>1</v>
      </c>
      <c r="L271" s="8">
        <f>VLOOKUP(E271,Sheet14!$A$5:$C$221,3,FALSE)</f>
        <v>1</v>
      </c>
      <c r="M271" s="22">
        <f t="shared" si="12"/>
        <v>0</v>
      </c>
    </row>
    <row r="272" spans="1:13" x14ac:dyDescent="0.35">
      <c r="A272" s="2">
        <v>269</v>
      </c>
      <c r="B272" s="2" t="s">
        <v>1934</v>
      </c>
      <c r="C272" s="2">
        <v>606</v>
      </c>
      <c r="D272" s="2" t="s">
        <v>157</v>
      </c>
      <c r="E272" s="2">
        <v>7103</v>
      </c>
      <c r="F272" s="2"/>
      <c r="G272" s="2" t="s">
        <v>2205</v>
      </c>
      <c r="H272" s="16">
        <v>2</v>
      </c>
      <c r="I272" s="8">
        <f>VLOOKUP(E272,Sheet14!$A$5:$C$221,2,FALSE)</f>
        <v>1</v>
      </c>
      <c r="J272" s="24">
        <f t="shared" si="13"/>
        <v>-1</v>
      </c>
      <c r="K272" s="17">
        <v>1</v>
      </c>
      <c r="L272" s="8">
        <f>VLOOKUP(E272,Sheet14!$A$5:$C$221,3,FALSE)</f>
        <v>1</v>
      </c>
      <c r="M272" s="22">
        <f t="shared" si="12"/>
        <v>0</v>
      </c>
    </row>
    <row r="273" spans="1:13" x14ac:dyDescent="0.35">
      <c r="A273" s="2">
        <v>270</v>
      </c>
      <c r="B273" s="2" t="s">
        <v>1934</v>
      </c>
      <c r="C273" s="2">
        <v>606</v>
      </c>
      <c r="D273" s="2" t="s">
        <v>157</v>
      </c>
      <c r="E273" s="2">
        <v>7042</v>
      </c>
      <c r="F273" s="2"/>
      <c r="G273" s="2" t="s">
        <v>2206</v>
      </c>
      <c r="H273" s="16">
        <v>2</v>
      </c>
      <c r="I273" s="8">
        <f>VLOOKUP(E273,Sheet14!$A$5:$C$221,2,FALSE)</f>
        <v>1</v>
      </c>
      <c r="J273" s="24">
        <f t="shared" si="13"/>
        <v>-1</v>
      </c>
      <c r="K273" s="17">
        <v>1</v>
      </c>
      <c r="L273" s="8">
        <f>VLOOKUP(E273,Sheet14!$A$5:$C$221,3,FALSE)</f>
        <v>1</v>
      </c>
      <c r="M273" s="22">
        <f t="shared" si="12"/>
        <v>0</v>
      </c>
    </row>
    <row r="274" spans="1:13" x14ac:dyDescent="0.35">
      <c r="H274" s="15">
        <f t="shared" ref="H274:M274" si="14">SUM(H4:H273)</f>
        <v>391</v>
      </c>
      <c r="I274" s="15">
        <f t="shared" si="14"/>
        <v>367</v>
      </c>
      <c r="J274" s="15">
        <f t="shared" si="14"/>
        <v>-24</v>
      </c>
      <c r="K274" s="15">
        <f t="shared" si="14"/>
        <v>290</v>
      </c>
      <c r="L274" s="15">
        <f t="shared" si="14"/>
        <v>285</v>
      </c>
      <c r="M274" s="15">
        <f t="shared" si="14"/>
        <v>-4</v>
      </c>
    </row>
    <row r="275" spans="1:13" x14ac:dyDescent="0.35">
      <c r="J275" s="13">
        <v>5</v>
      </c>
      <c r="M275" s="13">
        <v>4</v>
      </c>
    </row>
  </sheetData>
  <sheetProtection formatCells="0" formatColumns="0" formatRows="0" insertColumns="0" insertRows="0" insertHyperlinks="0" deleteColumns="0" deleteRows="0" sort="0" autoFilter="0" pivotTables="0"/>
  <autoFilter ref="A3:M275" xr:uid="{AEE66DBD-7C62-458C-887A-7985091DEBED}"/>
  <conditionalFormatting sqref="E1:E65536">
    <cfRule type="duplicateValues" dxfId="0" priority="1" stopIfTrue="1"/>
  </conditionalFormatting>
  <pageMargins left="0.7" right="0.7" top="0.75" bottom="0.75" header="0.3" footer="0.3"/>
  <pageSetup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327CA-97B2-45F9-B049-9CD0237D567F}">
  <dimension ref="A3:G8"/>
  <sheetViews>
    <sheetView workbookViewId="0">
      <selection activeCell="C17" sqref="C17"/>
    </sheetView>
  </sheetViews>
  <sheetFormatPr defaultRowHeight="14.5" x14ac:dyDescent="0.35"/>
  <cols>
    <col min="1" max="1" width="19.26953125" bestFit="1" customWidth="1"/>
    <col min="2" max="2" width="29" bestFit="1" customWidth="1"/>
    <col min="3" max="3" width="13.54296875" bestFit="1" customWidth="1"/>
    <col min="4" max="4" width="10.6328125" bestFit="1" customWidth="1"/>
    <col min="5" max="5" width="19" bestFit="1" customWidth="1"/>
    <col min="6" max="6" width="14.54296875" bestFit="1" customWidth="1"/>
    <col min="7" max="7" width="11.6328125" bestFit="1" customWidth="1"/>
  </cols>
  <sheetData>
    <row r="3" spans="1:7" x14ac:dyDescent="0.35">
      <c r="A3" s="20" t="s">
        <v>2212</v>
      </c>
      <c r="B3" t="s">
        <v>2223</v>
      </c>
      <c r="C3" t="s">
        <v>2224</v>
      </c>
      <c r="D3" t="s">
        <v>2225</v>
      </c>
      <c r="E3" t="s">
        <v>2226</v>
      </c>
      <c r="F3" t="s">
        <v>2227</v>
      </c>
      <c r="G3" t="s">
        <v>2228</v>
      </c>
    </row>
    <row r="4" spans="1:7" x14ac:dyDescent="0.35">
      <c r="A4" s="21" t="s">
        <v>235</v>
      </c>
      <c r="B4">
        <v>1</v>
      </c>
      <c r="C4">
        <v>1</v>
      </c>
      <c r="D4">
        <v>0</v>
      </c>
      <c r="E4">
        <v>1</v>
      </c>
      <c r="F4">
        <v>1</v>
      </c>
      <c r="G4">
        <v>0</v>
      </c>
    </row>
    <row r="5" spans="1:7" x14ac:dyDescent="0.35">
      <c r="A5" s="21" t="s">
        <v>148</v>
      </c>
      <c r="B5">
        <v>1</v>
      </c>
      <c r="C5">
        <v>1</v>
      </c>
      <c r="D5">
        <v>0</v>
      </c>
      <c r="E5">
        <v>1</v>
      </c>
      <c r="F5">
        <v>1</v>
      </c>
      <c r="G5">
        <v>0</v>
      </c>
    </row>
    <row r="6" spans="1:7" x14ac:dyDescent="0.35">
      <c r="A6" s="21" t="s">
        <v>73</v>
      </c>
      <c r="B6">
        <v>3</v>
      </c>
      <c r="C6">
        <v>3</v>
      </c>
      <c r="D6">
        <v>0</v>
      </c>
      <c r="E6">
        <v>4</v>
      </c>
      <c r="F6">
        <v>4</v>
      </c>
      <c r="G6">
        <v>0</v>
      </c>
    </row>
    <row r="7" spans="1:7" x14ac:dyDescent="0.35">
      <c r="A7" s="21" t="s">
        <v>246</v>
      </c>
      <c r="B7">
        <v>1</v>
      </c>
      <c r="C7">
        <v>0</v>
      </c>
      <c r="D7">
        <v>-1</v>
      </c>
      <c r="E7">
        <v>3</v>
      </c>
      <c r="F7">
        <v>3</v>
      </c>
      <c r="G7">
        <v>0</v>
      </c>
    </row>
    <row r="8" spans="1:7" x14ac:dyDescent="0.35">
      <c r="A8" s="21" t="s">
        <v>2214</v>
      </c>
      <c r="B8">
        <v>6</v>
      </c>
      <c r="C8">
        <v>5</v>
      </c>
      <c r="D8">
        <v>-1</v>
      </c>
      <c r="E8">
        <v>9</v>
      </c>
      <c r="F8">
        <v>9</v>
      </c>
      <c r="G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2D3D-DB46-4DB7-AFF6-2437706B6208}">
  <dimension ref="A1:M13"/>
  <sheetViews>
    <sheetView showRuler="0" zoomScale="70" zoomScaleNormal="70" workbookViewId="0">
      <selection activeCell="F10" sqref="F10"/>
    </sheetView>
  </sheetViews>
  <sheetFormatPr defaultColWidth="8.81640625" defaultRowHeight="14.5" x14ac:dyDescent="0.35"/>
  <cols>
    <col min="1" max="1" width="4" style="12" customWidth="1"/>
    <col min="2" max="6" width="20" style="12" customWidth="1"/>
    <col min="7" max="7" width="9.1796875" style="12" customWidth="1"/>
    <col min="8" max="8" width="15.6328125" style="13" bestFit="1" customWidth="1"/>
    <col min="9" max="10" width="15.6328125" style="13" customWidth="1"/>
    <col min="11" max="11" width="19.26953125" style="13" bestFit="1" customWidth="1"/>
    <col min="12" max="13" width="9.1796875" style="12" customWidth="1"/>
    <col min="14" max="256" width="8.81640625" style="12"/>
    <col min="257" max="257" width="4" style="12" customWidth="1"/>
    <col min="258" max="262" width="20" style="12" customWidth="1"/>
    <col min="263" max="263" width="9.1796875" style="12" customWidth="1"/>
    <col min="264" max="264" width="15.6328125" style="12" bestFit="1" customWidth="1"/>
    <col min="265" max="266" width="15.6328125" style="12" customWidth="1"/>
    <col min="267" max="267" width="19.26953125" style="12" bestFit="1" customWidth="1"/>
    <col min="268" max="269" width="9.1796875" style="12" customWidth="1"/>
    <col min="270" max="512" width="8.81640625" style="12"/>
    <col min="513" max="513" width="4" style="12" customWidth="1"/>
    <col min="514" max="518" width="20" style="12" customWidth="1"/>
    <col min="519" max="519" width="9.1796875" style="12" customWidth="1"/>
    <col min="520" max="520" width="15.6328125" style="12" bestFit="1" customWidth="1"/>
    <col min="521" max="522" width="15.6328125" style="12" customWidth="1"/>
    <col min="523" max="523" width="19.26953125" style="12" bestFit="1" customWidth="1"/>
    <col min="524" max="525" width="9.1796875" style="12" customWidth="1"/>
    <col min="526" max="768" width="8.81640625" style="12"/>
    <col min="769" max="769" width="4" style="12" customWidth="1"/>
    <col min="770" max="774" width="20" style="12" customWidth="1"/>
    <col min="775" max="775" width="9.1796875" style="12" customWidth="1"/>
    <col min="776" max="776" width="15.6328125" style="12" bestFit="1" customWidth="1"/>
    <col min="777" max="778" width="15.6328125" style="12" customWidth="1"/>
    <col min="779" max="779" width="19.26953125" style="12" bestFit="1" customWidth="1"/>
    <col min="780" max="781" width="9.1796875" style="12" customWidth="1"/>
    <col min="782" max="1024" width="8.81640625" style="12"/>
    <col min="1025" max="1025" width="4" style="12" customWidth="1"/>
    <col min="1026" max="1030" width="20" style="12" customWidth="1"/>
    <col min="1031" max="1031" width="9.1796875" style="12" customWidth="1"/>
    <col min="1032" max="1032" width="15.6328125" style="12" bestFit="1" customWidth="1"/>
    <col min="1033" max="1034" width="15.6328125" style="12" customWidth="1"/>
    <col min="1035" max="1035" width="19.26953125" style="12" bestFit="1" customWidth="1"/>
    <col min="1036" max="1037" width="9.1796875" style="12" customWidth="1"/>
    <col min="1038" max="1280" width="8.81640625" style="12"/>
    <col min="1281" max="1281" width="4" style="12" customWidth="1"/>
    <col min="1282" max="1286" width="20" style="12" customWidth="1"/>
    <col min="1287" max="1287" width="9.1796875" style="12" customWidth="1"/>
    <col min="1288" max="1288" width="15.6328125" style="12" bestFit="1" customWidth="1"/>
    <col min="1289" max="1290" width="15.6328125" style="12" customWidth="1"/>
    <col min="1291" max="1291" width="19.26953125" style="12" bestFit="1" customWidth="1"/>
    <col min="1292" max="1293" width="9.1796875" style="12" customWidth="1"/>
    <col min="1294" max="1536" width="8.81640625" style="12"/>
    <col min="1537" max="1537" width="4" style="12" customWidth="1"/>
    <col min="1538" max="1542" width="20" style="12" customWidth="1"/>
    <col min="1543" max="1543" width="9.1796875" style="12" customWidth="1"/>
    <col min="1544" max="1544" width="15.6328125" style="12" bestFit="1" customWidth="1"/>
    <col min="1545" max="1546" width="15.6328125" style="12" customWidth="1"/>
    <col min="1547" max="1547" width="19.26953125" style="12" bestFit="1" customWidth="1"/>
    <col min="1548" max="1549" width="9.1796875" style="12" customWidth="1"/>
    <col min="1550" max="1792" width="8.81640625" style="12"/>
    <col min="1793" max="1793" width="4" style="12" customWidth="1"/>
    <col min="1794" max="1798" width="20" style="12" customWidth="1"/>
    <col min="1799" max="1799" width="9.1796875" style="12" customWidth="1"/>
    <col min="1800" max="1800" width="15.6328125" style="12" bestFit="1" customWidth="1"/>
    <col min="1801" max="1802" width="15.6328125" style="12" customWidth="1"/>
    <col min="1803" max="1803" width="19.26953125" style="12" bestFit="1" customWidth="1"/>
    <col min="1804" max="1805" width="9.1796875" style="12" customWidth="1"/>
    <col min="1806" max="2048" width="8.81640625" style="12"/>
    <col min="2049" max="2049" width="4" style="12" customWidth="1"/>
    <col min="2050" max="2054" width="20" style="12" customWidth="1"/>
    <col min="2055" max="2055" width="9.1796875" style="12" customWidth="1"/>
    <col min="2056" max="2056" width="15.6328125" style="12" bestFit="1" customWidth="1"/>
    <col min="2057" max="2058" width="15.6328125" style="12" customWidth="1"/>
    <col min="2059" max="2059" width="19.26953125" style="12" bestFit="1" customWidth="1"/>
    <col min="2060" max="2061" width="9.1796875" style="12" customWidth="1"/>
    <col min="2062" max="2304" width="8.81640625" style="12"/>
    <col min="2305" max="2305" width="4" style="12" customWidth="1"/>
    <col min="2306" max="2310" width="20" style="12" customWidth="1"/>
    <col min="2311" max="2311" width="9.1796875" style="12" customWidth="1"/>
    <col min="2312" max="2312" width="15.6328125" style="12" bestFit="1" customWidth="1"/>
    <col min="2313" max="2314" width="15.6328125" style="12" customWidth="1"/>
    <col min="2315" max="2315" width="19.26953125" style="12" bestFit="1" customWidth="1"/>
    <col min="2316" max="2317" width="9.1796875" style="12" customWidth="1"/>
    <col min="2318" max="2560" width="8.81640625" style="12"/>
    <col min="2561" max="2561" width="4" style="12" customWidth="1"/>
    <col min="2562" max="2566" width="20" style="12" customWidth="1"/>
    <col min="2567" max="2567" width="9.1796875" style="12" customWidth="1"/>
    <col min="2568" max="2568" width="15.6328125" style="12" bestFit="1" customWidth="1"/>
    <col min="2569" max="2570" width="15.6328125" style="12" customWidth="1"/>
    <col min="2571" max="2571" width="19.26953125" style="12" bestFit="1" customWidth="1"/>
    <col min="2572" max="2573" width="9.1796875" style="12" customWidth="1"/>
    <col min="2574" max="2816" width="8.81640625" style="12"/>
    <col min="2817" max="2817" width="4" style="12" customWidth="1"/>
    <col min="2818" max="2822" width="20" style="12" customWidth="1"/>
    <col min="2823" max="2823" width="9.1796875" style="12" customWidth="1"/>
    <col min="2824" max="2824" width="15.6328125" style="12" bestFit="1" customWidth="1"/>
    <col min="2825" max="2826" width="15.6328125" style="12" customWidth="1"/>
    <col min="2827" max="2827" width="19.26953125" style="12" bestFit="1" customWidth="1"/>
    <col min="2828" max="2829" width="9.1796875" style="12" customWidth="1"/>
    <col min="2830" max="3072" width="8.81640625" style="12"/>
    <col min="3073" max="3073" width="4" style="12" customWidth="1"/>
    <col min="3074" max="3078" width="20" style="12" customWidth="1"/>
    <col min="3079" max="3079" width="9.1796875" style="12" customWidth="1"/>
    <col min="3080" max="3080" width="15.6328125" style="12" bestFit="1" customWidth="1"/>
    <col min="3081" max="3082" width="15.6328125" style="12" customWidth="1"/>
    <col min="3083" max="3083" width="19.26953125" style="12" bestFit="1" customWidth="1"/>
    <col min="3084" max="3085" width="9.1796875" style="12" customWidth="1"/>
    <col min="3086" max="3328" width="8.81640625" style="12"/>
    <col min="3329" max="3329" width="4" style="12" customWidth="1"/>
    <col min="3330" max="3334" width="20" style="12" customWidth="1"/>
    <col min="3335" max="3335" width="9.1796875" style="12" customWidth="1"/>
    <col min="3336" max="3336" width="15.6328125" style="12" bestFit="1" customWidth="1"/>
    <col min="3337" max="3338" width="15.6328125" style="12" customWidth="1"/>
    <col min="3339" max="3339" width="19.26953125" style="12" bestFit="1" customWidth="1"/>
    <col min="3340" max="3341" width="9.1796875" style="12" customWidth="1"/>
    <col min="3342" max="3584" width="8.81640625" style="12"/>
    <col min="3585" max="3585" width="4" style="12" customWidth="1"/>
    <col min="3586" max="3590" width="20" style="12" customWidth="1"/>
    <col min="3591" max="3591" width="9.1796875" style="12" customWidth="1"/>
    <col min="3592" max="3592" width="15.6328125" style="12" bestFit="1" customWidth="1"/>
    <col min="3593" max="3594" width="15.6328125" style="12" customWidth="1"/>
    <col min="3595" max="3595" width="19.26953125" style="12" bestFit="1" customWidth="1"/>
    <col min="3596" max="3597" width="9.1796875" style="12" customWidth="1"/>
    <col min="3598" max="3840" width="8.81640625" style="12"/>
    <col min="3841" max="3841" width="4" style="12" customWidth="1"/>
    <col min="3842" max="3846" width="20" style="12" customWidth="1"/>
    <col min="3847" max="3847" width="9.1796875" style="12" customWidth="1"/>
    <col min="3848" max="3848" width="15.6328125" style="12" bestFit="1" customWidth="1"/>
    <col min="3849" max="3850" width="15.6328125" style="12" customWidth="1"/>
    <col min="3851" max="3851" width="19.26953125" style="12" bestFit="1" customWidth="1"/>
    <col min="3852" max="3853" width="9.1796875" style="12" customWidth="1"/>
    <col min="3854" max="4096" width="8.81640625" style="12"/>
    <col min="4097" max="4097" width="4" style="12" customWidth="1"/>
    <col min="4098" max="4102" width="20" style="12" customWidth="1"/>
    <col min="4103" max="4103" width="9.1796875" style="12" customWidth="1"/>
    <col min="4104" max="4104" width="15.6328125" style="12" bestFit="1" customWidth="1"/>
    <col min="4105" max="4106" width="15.6328125" style="12" customWidth="1"/>
    <col min="4107" max="4107" width="19.26953125" style="12" bestFit="1" customWidth="1"/>
    <col min="4108" max="4109" width="9.1796875" style="12" customWidth="1"/>
    <col min="4110" max="4352" width="8.81640625" style="12"/>
    <col min="4353" max="4353" width="4" style="12" customWidth="1"/>
    <col min="4354" max="4358" width="20" style="12" customWidth="1"/>
    <col min="4359" max="4359" width="9.1796875" style="12" customWidth="1"/>
    <col min="4360" max="4360" width="15.6328125" style="12" bestFit="1" customWidth="1"/>
    <col min="4361" max="4362" width="15.6328125" style="12" customWidth="1"/>
    <col min="4363" max="4363" width="19.26953125" style="12" bestFit="1" customWidth="1"/>
    <col min="4364" max="4365" width="9.1796875" style="12" customWidth="1"/>
    <col min="4366" max="4608" width="8.81640625" style="12"/>
    <col min="4609" max="4609" width="4" style="12" customWidth="1"/>
    <col min="4610" max="4614" width="20" style="12" customWidth="1"/>
    <col min="4615" max="4615" width="9.1796875" style="12" customWidth="1"/>
    <col min="4616" max="4616" width="15.6328125" style="12" bestFit="1" customWidth="1"/>
    <col min="4617" max="4618" width="15.6328125" style="12" customWidth="1"/>
    <col min="4619" max="4619" width="19.26953125" style="12" bestFit="1" customWidth="1"/>
    <col min="4620" max="4621" width="9.1796875" style="12" customWidth="1"/>
    <col min="4622" max="4864" width="8.81640625" style="12"/>
    <col min="4865" max="4865" width="4" style="12" customWidth="1"/>
    <col min="4866" max="4870" width="20" style="12" customWidth="1"/>
    <col min="4871" max="4871" width="9.1796875" style="12" customWidth="1"/>
    <col min="4872" max="4872" width="15.6328125" style="12" bestFit="1" customWidth="1"/>
    <col min="4873" max="4874" width="15.6328125" style="12" customWidth="1"/>
    <col min="4875" max="4875" width="19.26953125" style="12" bestFit="1" customWidth="1"/>
    <col min="4876" max="4877" width="9.1796875" style="12" customWidth="1"/>
    <col min="4878" max="5120" width="8.81640625" style="12"/>
    <col min="5121" max="5121" width="4" style="12" customWidth="1"/>
    <col min="5122" max="5126" width="20" style="12" customWidth="1"/>
    <col min="5127" max="5127" width="9.1796875" style="12" customWidth="1"/>
    <col min="5128" max="5128" width="15.6328125" style="12" bestFit="1" customWidth="1"/>
    <col min="5129" max="5130" width="15.6328125" style="12" customWidth="1"/>
    <col min="5131" max="5131" width="19.26953125" style="12" bestFit="1" customWidth="1"/>
    <col min="5132" max="5133" width="9.1796875" style="12" customWidth="1"/>
    <col min="5134" max="5376" width="8.81640625" style="12"/>
    <col min="5377" max="5377" width="4" style="12" customWidth="1"/>
    <col min="5378" max="5382" width="20" style="12" customWidth="1"/>
    <col min="5383" max="5383" width="9.1796875" style="12" customWidth="1"/>
    <col min="5384" max="5384" width="15.6328125" style="12" bestFit="1" customWidth="1"/>
    <col min="5385" max="5386" width="15.6328125" style="12" customWidth="1"/>
    <col min="5387" max="5387" width="19.26953125" style="12" bestFit="1" customWidth="1"/>
    <col min="5388" max="5389" width="9.1796875" style="12" customWidth="1"/>
    <col min="5390" max="5632" width="8.81640625" style="12"/>
    <col min="5633" max="5633" width="4" style="12" customWidth="1"/>
    <col min="5634" max="5638" width="20" style="12" customWidth="1"/>
    <col min="5639" max="5639" width="9.1796875" style="12" customWidth="1"/>
    <col min="5640" max="5640" width="15.6328125" style="12" bestFit="1" customWidth="1"/>
    <col min="5641" max="5642" width="15.6328125" style="12" customWidth="1"/>
    <col min="5643" max="5643" width="19.26953125" style="12" bestFit="1" customWidth="1"/>
    <col min="5644" max="5645" width="9.1796875" style="12" customWidth="1"/>
    <col min="5646" max="5888" width="8.81640625" style="12"/>
    <col min="5889" max="5889" width="4" style="12" customWidth="1"/>
    <col min="5890" max="5894" width="20" style="12" customWidth="1"/>
    <col min="5895" max="5895" width="9.1796875" style="12" customWidth="1"/>
    <col min="5896" max="5896" width="15.6328125" style="12" bestFit="1" customWidth="1"/>
    <col min="5897" max="5898" width="15.6328125" style="12" customWidth="1"/>
    <col min="5899" max="5899" width="19.26953125" style="12" bestFit="1" customWidth="1"/>
    <col min="5900" max="5901" width="9.1796875" style="12" customWidth="1"/>
    <col min="5902" max="6144" width="8.81640625" style="12"/>
    <col min="6145" max="6145" width="4" style="12" customWidth="1"/>
    <col min="6146" max="6150" width="20" style="12" customWidth="1"/>
    <col min="6151" max="6151" width="9.1796875" style="12" customWidth="1"/>
    <col min="6152" max="6152" width="15.6328125" style="12" bestFit="1" customWidth="1"/>
    <col min="6153" max="6154" width="15.6328125" style="12" customWidth="1"/>
    <col min="6155" max="6155" width="19.26953125" style="12" bestFit="1" customWidth="1"/>
    <col min="6156" max="6157" width="9.1796875" style="12" customWidth="1"/>
    <col min="6158" max="6400" width="8.81640625" style="12"/>
    <col min="6401" max="6401" width="4" style="12" customWidth="1"/>
    <col min="6402" max="6406" width="20" style="12" customWidth="1"/>
    <col min="6407" max="6407" width="9.1796875" style="12" customWidth="1"/>
    <col min="6408" max="6408" width="15.6328125" style="12" bestFit="1" customWidth="1"/>
    <col min="6409" max="6410" width="15.6328125" style="12" customWidth="1"/>
    <col min="6411" max="6411" width="19.26953125" style="12" bestFit="1" customWidth="1"/>
    <col min="6412" max="6413" width="9.1796875" style="12" customWidth="1"/>
    <col min="6414" max="6656" width="8.81640625" style="12"/>
    <col min="6657" max="6657" width="4" style="12" customWidth="1"/>
    <col min="6658" max="6662" width="20" style="12" customWidth="1"/>
    <col min="6663" max="6663" width="9.1796875" style="12" customWidth="1"/>
    <col min="6664" max="6664" width="15.6328125" style="12" bestFit="1" customWidth="1"/>
    <col min="6665" max="6666" width="15.6328125" style="12" customWidth="1"/>
    <col min="6667" max="6667" width="19.26953125" style="12" bestFit="1" customWidth="1"/>
    <col min="6668" max="6669" width="9.1796875" style="12" customWidth="1"/>
    <col min="6670" max="6912" width="8.81640625" style="12"/>
    <col min="6913" max="6913" width="4" style="12" customWidth="1"/>
    <col min="6914" max="6918" width="20" style="12" customWidth="1"/>
    <col min="6919" max="6919" width="9.1796875" style="12" customWidth="1"/>
    <col min="6920" max="6920" width="15.6328125" style="12" bestFit="1" customWidth="1"/>
    <col min="6921" max="6922" width="15.6328125" style="12" customWidth="1"/>
    <col min="6923" max="6923" width="19.26953125" style="12" bestFit="1" customWidth="1"/>
    <col min="6924" max="6925" width="9.1796875" style="12" customWidth="1"/>
    <col min="6926" max="7168" width="8.81640625" style="12"/>
    <col min="7169" max="7169" width="4" style="12" customWidth="1"/>
    <col min="7170" max="7174" width="20" style="12" customWidth="1"/>
    <col min="7175" max="7175" width="9.1796875" style="12" customWidth="1"/>
    <col min="7176" max="7176" width="15.6328125" style="12" bestFit="1" customWidth="1"/>
    <col min="7177" max="7178" width="15.6328125" style="12" customWidth="1"/>
    <col min="7179" max="7179" width="19.26953125" style="12" bestFit="1" customWidth="1"/>
    <col min="7180" max="7181" width="9.1796875" style="12" customWidth="1"/>
    <col min="7182" max="7424" width="8.81640625" style="12"/>
    <col min="7425" max="7425" width="4" style="12" customWidth="1"/>
    <col min="7426" max="7430" width="20" style="12" customWidth="1"/>
    <col min="7431" max="7431" width="9.1796875" style="12" customWidth="1"/>
    <col min="7432" max="7432" width="15.6328125" style="12" bestFit="1" customWidth="1"/>
    <col min="7433" max="7434" width="15.6328125" style="12" customWidth="1"/>
    <col min="7435" max="7435" width="19.26953125" style="12" bestFit="1" customWidth="1"/>
    <col min="7436" max="7437" width="9.1796875" style="12" customWidth="1"/>
    <col min="7438" max="7680" width="8.81640625" style="12"/>
    <col min="7681" max="7681" width="4" style="12" customWidth="1"/>
    <col min="7682" max="7686" width="20" style="12" customWidth="1"/>
    <col min="7687" max="7687" width="9.1796875" style="12" customWidth="1"/>
    <col min="7688" max="7688" width="15.6328125" style="12" bestFit="1" customWidth="1"/>
    <col min="7689" max="7690" width="15.6328125" style="12" customWidth="1"/>
    <col min="7691" max="7691" width="19.26953125" style="12" bestFit="1" customWidth="1"/>
    <col min="7692" max="7693" width="9.1796875" style="12" customWidth="1"/>
    <col min="7694" max="7936" width="8.81640625" style="12"/>
    <col min="7937" max="7937" width="4" style="12" customWidth="1"/>
    <col min="7938" max="7942" width="20" style="12" customWidth="1"/>
    <col min="7943" max="7943" width="9.1796875" style="12" customWidth="1"/>
    <col min="7944" max="7944" width="15.6328125" style="12" bestFit="1" customWidth="1"/>
    <col min="7945" max="7946" width="15.6328125" style="12" customWidth="1"/>
    <col min="7947" max="7947" width="19.26953125" style="12" bestFit="1" customWidth="1"/>
    <col min="7948" max="7949" width="9.1796875" style="12" customWidth="1"/>
    <col min="7950" max="8192" width="8.81640625" style="12"/>
    <col min="8193" max="8193" width="4" style="12" customWidth="1"/>
    <col min="8194" max="8198" width="20" style="12" customWidth="1"/>
    <col min="8199" max="8199" width="9.1796875" style="12" customWidth="1"/>
    <col min="8200" max="8200" width="15.6328125" style="12" bestFit="1" customWidth="1"/>
    <col min="8201" max="8202" width="15.6328125" style="12" customWidth="1"/>
    <col min="8203" max="8203" width="19.26953125" style="12" bestFit="1" customWidth="1"/>
    <col min="8204" max="8205" width="9.1796875" style="12" customWidth="1"/>
    <col min="8206" max="8448" width="8.81640625" style="12"/>
    <col min="8449" max="8449" width="4" style="12" customWidth="1"/>
    <col min="8450" max="8454" width="20" style="12" customWidth="1"/>
    <col min="8455" max="8455" width="9.1796875" style="12" customWidth="1"/>
    <col min="8456" max="8456" width="15.6328125" style="12" bestFit="1" customWidth="1"/>
    <col min="8457" max="8458" width="15.6328125" style="12" customWidth="1"/>
    <col min="8459" max="8459" width="19.26953125" style="12" bestFit="1" customWidth="1"/>
    <col min="8460" max="8461" width="9.1796875" style="12" customWidth="1"/>
    <col min="8462" max="8704" width="8.81640625" style="12"/>
    <col min="8705" max="8705" width="4" style="12" customWidth="1"/>
    <col min="8706" max="8710" width="20" style="12" customWidth="1"/>
    <col min="8711" max="8711" width="9.1796875" style="12" customWidth="1"/>
    <col min="8712" max="8712" width="15.6328125" style="12" bestFit="1" customWidth="1"/>
    <col min="8713" max="8714" width="15.6328125" style="12" customWidth="1"/>
    <col min="8715" max="8715" width="19.26953125" style="12" bestFit="1" customWidth="1"/>
    <col min="8716" max="8717" width="9.1796875" style="12" customWidth="1"/>
    <col min="8718" max="8960" width="8.81640625" style="12"/>
    <col min="8961" max="8961" width="4" style="12" customWidth="1"/>
    <col min="8962" max="8966" width="20" style="12" customWidth="1"/>
    <col min="8967" max="8967" width="9.1796875" style="12" customWidth="1"/>
    <col min="8968" max="8968" width="15.6328125" style="12" bestFit="1" customWidth="1"/>
    <col min="8969" max="8970" width="15.6328125" style="12" customWidth="1"/>
    <col min="8971" max="8971" width="19.26953125" style="12" bestFit="1" customWidth="1"/>
    <col min="8972" max="8973" width="9.1796875" style="12" customWidth="1"/>
    <col min="8974" max="9216" width="8.81640625" style="12"/>
    <col min="9217" max="9217" width="4" style="12" customWidth="1"/>
    <col min="9218" max="9222" width="20" style="12" customWidth="1"/>
    <col min="9223" max="9223" width="9.1796875" style="12" customWidth="1"/>
    <col min="9224" max="9224" width="15.6328125" style="12" bestFit="1" customWidth="1"/>
    <col min="9225" max="9226" width="15.6328125" style="12" customWidth="1"/>
    <col min="9227" max="9227" width="19.26953125" style="12" bestFit="1" customWidth="1"/>
    <col min="9228" max="9229" width="9.1796875" style="12" customWidth="1"/>
    <col min="9230" max="9472" width="8.81640625" style="12"/>
    <col min="9473" max="9473" width="4" style="12" customWidth="1"/>
    <col min="9474" max="9478" width="20" style="12" customWidth="1"/>
    <col min="9479" max="9479" width="9.1796875" style="12" customWidth="1"/>
    <col min="9480" max="9480" width="15.6328125" style="12" bestFit="1" customWidth="1"/>
    <col min="9481" max="9482" width="15.6328125" style="12" customWidth="1"/>
    <col min="9483" max="9483" width="19.26953125" style="12" bestFit="1" customWidth="1"/>
    <col min="9484" max="9485" width="9.1796875" style="12" customWidth="1"/>
    <col min="9486" max="9728" width="8.81640625" style="12"/>
    <col min="9729" max="9729" width="4" style="12" customWidth="1"/>
    <col min="9730" max="9734" width="20" style="12" customWidth="1"/>
    <col min="9735" max="9735" width="9.1796875" style="12" customWidth="1"/>
    <col min="9736" max="9736" width="15.6328125" style="12" bestFit="1" customWidth="1"/>
    <col min="9737" max="9738" width="15.6328125" style="12" customWidth="1"/>
    <col min="9739" max="9739" width="19.26953125" style="12" bestFit="1" customWidth="1"/>
    <col min="9740" max="9741" width="9.1796875" style="12" customWidth="1"/>
    <col min="9742" max="9984" width="8.81640625" style="12"/>
    <col min="9985" max="9985" width="4" style="12" customWidth="1"/>
    <col min="9986" max="9990" width="20" style="12" customWidth="1"/>
    <col min="9991" max="9991" width="9.1796875" style="12" customWidth="1"/>
    <col min="9992" max="9992" width="15.6328125" style="12" bestFit="1" customWidth="1"/>
    <col min="9993" max="9994" width="15.6328125" style="12" customWidth="1"/>
    <col min="9995" max="9995" width="19.26953125" style="12" bestFit="1" customWidth="1"/>
    <col min="9996" max="9997" width="9.1796875" style="12" customWidth="1"/>
    <col min="9998" max="10240" width="8.81640625" style="12"/>
    <col min="10241" max="10241" width="4" style="12" customWidth="1"/>
    <col min="10242" max="10246" width="20" style="12" customWidth="1"/>
    <col min="10247" max="10247" width="9.1796875" style="12" customWidth="1"/>
    <col min="10248" max="10248" width="15.6328125" style="12" bestFit="1" customWidth="1"/>
    <col min="10249" max="10250" width="15.6328125" style="12" customWidth="1"/>
    <col min="10251" max="10251" width="19.26953125" style="12" bestFit="1" customWidth="1"/>
    <col min="10252" max="10253" width="9.1796875" style="12" customWidth="1"/>
    <col min="10254" max="10496" width="8.81640625" style="12"/>
    <col min="10497" max="10497" width="4" style="12" customWidth="1"/>
    <col min="10498" max="10502" width="20" style="12" customWidth="1"/>
    <col min="10503" max="10503" width="9.1796875" style="12" customWidth="1"/>
    <col min="10504" max="10504" width="15.6328125" style="12" bestFit="1" customWidth="1"/>
    <col min="10505" max="10506" width="15.6328125" style="12" customWidth="1"/>
    <col min="10507" max="10507" width="19.26953125" style="12" bestFit="1" customWidth="1"/>
    <col min="10508" max="10509" width="9.1796875" style="12" customWidth="1"/>
    <col min="10510" max="10752" width="8.81640625" style="12"/>
    <col min="10753" max="10753" width="4" style="12" customWidth="1"/>
    <col min="10754" max="10758" width="20" style="12" customWidth="1"/>
    <col min="10759" max="10759" width="9.1796875" style="12" customWidth="1"/>
    <col min="10760" max="10760" width="15.6328125" style="12" bestFit="1" customWidth="1"/>
    <col min="10761" max="10762" width="15.6328125" style="12" customWidth="1"/>
    <col min="10763" max="10763" width="19.26953125" style="12" bestFit="1" customWidth="1"/>
    <col min="10764" max="10765" width="9.1796875" style="12" customWidth="1"/>
    <col min="10766" max="11008" width="8.81640625" style="12"/>
    <col min="11009" max="11009" width="4" style="12" customWidth="1"/>
    <col min="11010" max="11014" width="20" style="12" customWidth="1"/>
    <col min="11015" max="11015" width="9.1796875" style="12" customWidth="1"/>
    <col min="11016" max="11016" width="15.6328125" style="12" bestFit="1" customWidth="1"/>
    <col min="11017" max="11018" width="15.6328125" style="12" customWidth="1"/>
    <col min="11019" max="11019" width="19.26953125" style="12" bestFit="1" customWidth="1"/>
    <col min="11020" max="11021" width="9.1796875" style="12" customWidth="1"/>
    <col min="11022" max="11264" width="8.81640625" style="12"/>
    <col min="11265" max="11265" width="4" style="12" customWidth="1"/>
    <col min="11266" max="11270" width="20" style="12" customWidth="1"/>
    <col min="11271" max="11271" width="9.1796875" style="12" customWidth="1"/>
    <col min="11272" max="11272" width="15.6328125" style="12" bestFit="1" customWidth="1"/>
    <col min="11273" max="11274" width="15.6328125" style="12" customWidth="1"/>
    <col min="11275" max="11275" width="19.26953125" style="12" bestFit="1" customWidth="1"/>
    <col min="11276" max="11277" width="9.1796875" style="12" customWidth="1"/>
    <col min="11278" max="11520" width="8.81640625" style="12"/>
    <col min="11521" max="11521" width="4" style="12" customWidth="1"/>
    <col min="11522" max="11526" width="20" style="12" customWidth="1"/>
    <col min="11527" max="11527" width="9.1796875" style="12" customWidth="1"/>
    <col min="11528" max="11528" width="15.6328125" style="12" bestFit="1" customWidth="1"/>
    <col min="11529" max="11530" width="15.6328125" style="12" customWidth="1"/>
    <col min="11531" max="11531" width="19.26953125" style="12" bestFit="1" customWidth="1"/>
    <col min="11532" max="11533" width="9.1796875" style="12" customWidth="1"/>
    <col min="11534" max="11776" width="8.81640625" style="12"/>
    <col min="11777" max="11777" width="4" style="12" customWidth="1"/>
    <col min="11778" max="11782" width="20" style="12" customWidth="1"/>
    <col min="11783" max="11783" width="9.1796875" style="12" customWidth="1"/>
    <col min="11784" max="11784" width="15.6328125" style="12" bestFit="1" customWidth="1"/>
    <col min="11785" max="11786" width="15.6328125" style="12" customWidth="1"/>
    <col min="11787" max="11787" width="19.26953125" style="12" bestFit="1" customWidth="1"/>
    <col min="11788" max="11789" width="9.1796875" style="12" customWidth="1"/>
    <col min="11790" max="12032" width="8.81640625" style="12"/>
    <col min="12033" max="12033" width="4" style="12" customWidth="1"/>
    <col min="12034" max="12038" width="20" style="12" customWidth="1"/>
    <col min="12039" max="12039" width="9.1796875" style="12" customWidth="1"/>
    <col min="12040" max="12040" width="15.6328125" style="12" bestFit="1" customWidth="1"/>
    <col min="12041" max="12042" width="15.6328125" style="12" customWidth="1"/>
    <col min="12043" max="12043" width="19.26953125" style="12" bestFit="1" customWidth="1"/>
    <col min="12044" max="12045" width="9.1796875" style="12" customWidth="1"/>
    <col min="12046" max="12288" width="8.81640625" style="12"/>
    <col min="12289" max="12289" width="4" style="12" customWidth="1"/>
    <col min="12290" max="12294" width="20" style="12" customWidth="1"/>
    <col min="12295" max="12295" width="9.1796875" style="12" customWidth="1"/>
    <col min="12296" max="12296" width="15.6328125" style="12" bestFit="1" customWidth="1"/>
    <col min="12297" max="12298" width="15.6328125" style="12" customWidth="1"/>
    <col min="12299" max="12299" width="19.26953125" style="12" bestFit="1" customWidth="1"/>
    <col min="12300" max="12301" width="9.1796875" style="12" customWidth="1"/>
    <col min="12302" max="12544" width="8.81640625" style="12"/>
    <col min="12545" max="12545" width="4" style="12" customWidth="1"/>
    <col min="12546" max="12550" width="20" style="12" customWidth="1"/>
    <col min="12551" max="12551" width="9.1796875" style="12" customWidth="1"/>
    <col min="12552" max="12552" width="15.6328125" style="12" bestFit="1" customWidth="1"/>
    <col min="12553" max="12554" width="15.6328125" style="12" customWidth="1"/>
    <col min="12555" max="12555" width="19.26953125" style="12" bestFit="1" customWidth="1"/>
    <col min="12556" max="12557" width="9.1796875" style="12" customWidth="1"/>
    <col min="12558" max="12800" width="8.81640625" style="12"/>
    <col min="12801" max="12801" width="4" style="12" customWidth="1"/>
    <col min="12802" max="12806" width="20" style="12" customWidth="1"/>
    <col min="12807" max="12807" width="9.1796875" style="12" customWidth="1"/>
    <col min="12808" max="12808" width="15.6328125" style="12" bestFit="1" customWidth="1"/>
    <col min="12809" max="12810" width="15.6328125" style="12" customWidth="1"/>
    <col min="12811" max="12811" width="19.26953125" style="12" bestFit="1" customWidth="1"/>
    <col min="12812" max="12813" width="9.1796875" style="12" customWidth="1"/>
    <col min="12814" max="13056" width="8.81640625" style="12"/>
    <col min="13057" max="13057" width="4" style="12" customWidth="1"/>
    <col min="13058" max="13062" width="20" style="12" customWidth="1"/>
    <col min="13063" max="13063" width="9.1796875" style="12" customWidth="1"/>
    <col min="13064" max="13064" width="15.6328125" style="12" bestFit="1" customWidth="1"/>
    <col min="13065" max="13066" width="15.6328125" style="12" customWidth="1"/>
    <col min="13067" max="13067" width="19.26953125" style="12" bestFit="1" customWidth="1"/>
    <col min="13068" max="13069" width="9.1796875" style="12" customWidth="1"/>
    <col min="13070" max="13312" width="8.81640625" style="12"/>
    <col min="13313" max="13313" width="4" style="12" customWidth="1"/>
    <col min="13314" max="13318" width="20" style="12" customWidth="1"/>
    <col min="13319" max="13319" width="9.1796875" style="12" customWidth="1"/>
    <col min="13320" max="13320" width="15.6328125" style="12" bestFit="1" customWidth="1"/>
    <col min="13321" max="13322" width="15.6328125" style="12" customWidth="1"/>
    <col min="13323" max="13323" width="19.26953125" style="12" bestFit="1" customWidth="1"/>
    <col min="13324" max="13325" width="9.1796875" style="12" customWidth="1"/>
    <col min="13326" max="13568" width="8.81640625" style="12"/>
    <col min="13569" max="13569" width="4" style="12" customWidth="1"/>
    <col min="13570" max="13574" width="20" style="12" customWidth="1"/>
    <col min="13575" max="13575" width="9.1796875" style="12" customWidth="1"/>
    <col min="13576" max="13576" width="15.6328125" style="12" bestFit="1" customWidth="1"/>
    <col min="13577" max="13578" width="15.6328125" style="12" customWidth="1"/>
    <col min="13579" max="13579" width="19.26953125" style="12" bestFit="1" customWidth="1"/>
    <col min="13580" max="13581" width="9.1796875" style="12" customWidth="1"/>
    <col min="13582" max="13824" width="8.81640625" style="12"/>
    <col min="13825" max="13825" width="4" style="12" customWidth="1"/>
    <col min="13826" max="13830" width="20" style="12" customWidth="1"/>
    <col min="13831" max="13831" width="9.1796875" style="12" customWidth="1"/>
    <col min="13832" max="13832" width="15.6328125" style="12" bestFit="1" customWidth="1"/>
    <col min="13833" max="13834" width="15.6328125" style="12" customWidth="1"/>
    <col min="13835" max="13835" width="19.26953125" style="12" bestFit="1" customWidth="1"/>
    <col min="13836" max="13837" width="9.1796875" style="12" customWidth="1"/>
    <col min="13838" max="14080" width="8.81640625" style="12"/>
    <col min="14081" max="14081" width="4" style="12" customWidth="1"/>
    <col min="14082" max="14086" width="20" style="12" customWidth="1"/>
    <col min="14087" max="14087" width="9.1796875" style="12" customWidth="1"/>
    <col min="14088" max="14088" width="15.6328125" style="12" bestFit="1" customWidth="1"/>
    <col min="14089" max="14090" width="15.6328125" style="12" customWidth="1"/>
    <col min="14091" max="14091" width="19.26953125" style="12" bestFit="1" customWidth="1"/>
    <col min="14092" max="14093" width="9.1796875" style="12" customWidth="1"/>
    <col min="14094" max="14336" width="8.81640625" style="12"/>
    <col min="14337" max="14337" width="4" style="12" customWidth="1"/>
    <col min="14338" max="14342" width="20" style="12" customWidth="1"/>
    <col min="14343" max="14343" width="9.1796875" style="12" customWidth="1"/>
    <col min="14344" max="14344" width="15.6328125" style="12" bestFit="1" customWidth="1"/>
    <col min="14345" max="14346" width="15.6328125" style="12" customWidth="1"/>
    <col min="14347" max="14347" width="19.26953125" style="12" bestFit="1" customWidth="1"/>
    <col min="14348" max="14349" width="9.1796875" style="12" customWidth="1"/>
    <col min="14350" max="14592" width="8.81640625" style="12"/>
    <col min="14593" max="14593" width="4" style="12" customWidth="1"/>
    <col min="14594" max="14598" width="20" style="12" customWidth="1"/>
    <col min="14599" max="14599" width="9.1796875" style="12" customWidth="1"/>
    <col min="14600" max="14600" width="15.6328125" style="12" bestFit="1" customWidth="1"/>
    <col min="14601" max="14602" width="15.6328125" style="12" customWidth="1"/>
    <col min="14603" max="14603" width="19.26953125" style="12" bestFit="1" customWidth="1"/>
    <col min="14604" max="14605" width="9.1796875" style="12" customWidth="1"/>
    <col min="14606" max="14848" width="8.81640625" style="12"/>
    <col min="14849" max="14849" width="4" style="12" customWidth="1"/>
    <col min="14850" max="14854" width="20" style="12" customWidth="1"/>
    <col min="14855" max="14855" width="9.1796875" style="12" customWidth="1"/>
    <col min="14856" max="14856" width="15.6328125" style="12" bestFit="1" customWidth="1"/>
    <col min="14857" max="14858" width="15.6328125" style="12" customWidth="1"/>
    <col min="14859" max="14859" width="19.26953125" style="12" bestFit="1" customWidth="1"/>
    <col min="14860" max="14861" width="9.1796875" style="12" customWidth="1"/>
    <col min="14862" max="15104" width="8.81640625" style="12"/>
    <col min="15105" max="15105" width="4" style="12" customWidth="1"/>
    <col min="15106" max="15110" width="20" style="12" customWidth="1"/>
    <col min="15111" max="15111" width="9.1796875" style="12" customWidth="1"/>
    <col min="15112" max="15112" width="15.6328125" style="12" bestFit="1" customWidth="1"/>
    <col min="15113" max="15114" width="15.6328125" style="12" customWidth="1"/>
    <col min="15115" max="15115" width="19.26953125" style="12" bestFit="1" customWidth="1"/>
    <col min="15116" max="15117" width="9.1796875" style="12" customWidth="1"/>
    <col min="15118" max="15360" width="8.81640625" style="12"/>
    <col min="15361" max="15361" width="4" style="12" customWidth="1"/>
    <col min="15362" max="15366" width="20" style="12" customWidth="1"/>
    <col min="15367" max="15367" width="9.1796875" style="12" customWidth="1"/>
    <col min="15368" max="15368" width="15.6328125" style="12" bestFit="1" customWidth="1"/>
    <col min="15369" max="15370" width="15.6328125" style="12" customWidth="1"/>
    <col min="15371" max="15371" width="19.26953125" style="12" bestFit="1" customWidth="1"/>
    <col min="15372" max="15373" width="9.1796875" style="12" customWidth="1"/>
    <col min="15374" max="15616" width="8.81640625" style="12"/>
    <col min="15617" max="15617" width="4" style="12" customWidth="1"/>
    <col min="15618" max="15622" width="20" style="12" customWidth="1"/>
    <col min="15623" max="15623" width="9.1796875" style="12" customWidth="1"/>
    <col min="15624" max="15624" width="15.6328125" style="12" bestFit="1" customWidth="1"/>
    <col min="15625" max="15626" width="15.6328125" style="12" customWidth="1"/>
    <col min="15627" max="15627" width="19.26953125" style="12" bestFit="1" customWidth="1"/>
    <col min="15628" max="15629" width="9.1796875" style="12" customWidth="1"/>
    <col min="15630" max="15872" width="8.81640625" style="12"/>
    <col min="15873" max="15873" width="4" style="12" customWidth="1"/>
    <col min="15874" max="15878" width="20" style="12" customWidth="1"/>
    <col min="15879" max="15879" width="9.1796875" style="12" customWidth="1"/>
    <col min="15880" max="15880" width="15.6328125" style="12" bestFit="1" customWidth="1"/>
    <col min="15881" max="15882" width="15.6328125" style="12" customWidth="1"/>
    <col min="15883" max="15883" width="19.26953125" style="12" bestFit="1" customWidth="1"/>
    <col min="15884" max="15885" width="9.1796875" style="12" customWidth="1"/>
    <col min="15886" max="16128" width="8.81640625" style="12"/>
    <col min="16129" max="16129" width="4" style="12" customWidth="1"/>
    <col min="16130" max="16134" width="20" style="12" customWidth="1"/>
    <col min="16135" max="16135" width="9.1796875" style="12" customWidth="1"/>
    <col min="16136" max="16136" width="15.6328125" style="12" bestFit="1" customWidth="1"/>
    <col min="16137" max="16138" width="15.6328125" style="12" customWidth="1"/>
    <col min="16139" max="16139" width="19.26953125" style="12" bestFit="1" customWidth="1"/>
    <col min="16140" max="16141" width="9.1796875" style="12" customWidth="1"/>
    <col min="16142" max="16384" width="8.81640625" style="12"/>
  </cols>
  <sheetData>
    <row r="1" spans="1:13" x14ac:dyDescent="0.35">
      <c r="A1" s="11" t="s">
        <v>2207</v>
      </c>
    </row>
    <row r="2" spans="1:13" x14ac:dyDescent="0.35">
      <c r="A2" s="11" t="s">
        <v>1922</v>
      </c>
    </row>
    <row r="3" spans="1:13" x14ac:dyDescent="0.35">
      <c r="A3" s="14" t="s">
        <v>1923</v>
      </c>
      <c r="B3" s="14" t="s">
        <v>1924</v>
      </c>
      <c r="C3" s="14" t="s">
        <v>1925</v>
      </c>
      <c r="D3" s="14" t="s">
        <v>1926</v>
      </c>
      <c r="E3" s="14" t="s">
        <v>2208</v>
      </c>
      <c r="F3" s="14" t="s">
        <v>2209</v>
      </c>
      <c r="G3" s="14" t="s">
        <v>1928</v>
      </c>
      <c r="H3" s="5" t="s">
        <v>1929</v>
      </c>
      <c r="I3" s="5" t="s">
        <v>1930</v>
      </c>
      <c r="J3" s="5" t="s">
        <v>1931</v>
      </c>
      <c r="K3" s="5" t="s">
        <v>1932</v>
      </c>
      <c r="L3" s="5" t="s">
        <v>1930</v>
      </c>
      <c r="M3" s="5" t="s">
        <v>1931</v>
      </c>
    </row>
    <row r="4" spans="1:13" x14ac:dyDescent="0.35">
      <c r="A4" s="12">
        <v>1</v>
      </c>
      <c r="B4" s="12" t="s">
        <v>1934</v>
      </c>
      <c r="C4" s="12">
        <v>63</v>
      </c>
      <c r="D4" s="2" t="s">
        <v>246</v>
      </c>
      <c r="E4" s="2">
        <v>1676</v>
      </c>
      <c r="F4" s="2" t="s">
        <v>2210</v>
      </c>
      <c r="G4" s="12" t="s">
        <v>2211</v>
      </c>
      <c r="H4" s="7">
        <v>0</v>
      </c>
      <c r="I4" s="19">
        <v>0</v>
      </c>
      <c r="J4" s="9">
        <f t="shared" ref="J4:J12" si="0">I4-H4</f>
        <v>0</v>
      </c>
      <c r="K4" s="7">
        <v>1</v>
      </c>
      <c r="L4" s="19">
        <v>1</v>
      </c>
      <c r="M4" s="9">
        <f t="shared" ref="M4:M12" si="1">L4-K4</f>
        <v>0</v>
      </c>
    </row>
    <row r="5" spans="1:13" x14ac:dyDescent="0.35">
      <c r="A5" s="12">
        <v>2</v>
      </c>
      <c r="B5" s="12" t="s">
        <v>1934</v>
      </c>
      <c r="C5" s="12">
        <v>63</v>
      </c>
      <c r="D5" s="2" t="s">
        <v>246</v>
      </c>
      <c r="E5" s="2">
        <v>1670</v>
      </c>
      <c r="F5" s="2" t="s">
        <v>957</v>
      </c>
      <c r="G5" s="12" t="s">
        <v>2211</v>
      </c>
      <c r="H5" s="7">
        <v>0</v>
      </c>
      <c r="I5" s="19">
        <v>0</v>
      </c>
      <c r="J5" s="9">
        <f t="shared" si="0"/>
        <v>0</v>
      </c>
      <c r="K5" s="7">
        <v>1</v>
      </c>
      <c r="L5" s="19">
        <v>1</v>
      </c>
      <c r="M5" s="9">
        <f t="shared" si="1"/>
        <v>0</v>
      </c>
    </row>
    <row r="6" spans="1:13" x14ac:dyDescent="0.35">
      <c r="A6" s="12">
        <v>3</v>
      </c>
      <c r="B6" s="12" t="s">
        <v>1934</v>
      </c>
      <c r="C6" s="12">
        <v>63</v>
      </c>
      <c r="D6" s="2" t="s">
        <v>246</v>
      </c>
      <c r="E6" s="2">
        <v>1707</v>
      </c>
      <c r="F6" s="2" t="s">
        <v>1811</v>
      </c>
      <c r="G6" s="12" t="s">
        <v>2211</v>
      </c>
      <c r="H6" s="7">
        <v>1</v>
      </c>
      <c r="I6" s="19">
        <v>0</v>
      </c>
      <c r="J6" s="9">
        <f t="shared" si="0"/>
        <v>-1</v>
      </c>
      <c r="K6" s="7">
        <v>1</v>
      </c>
      <c r="L6" s="19">
        <v>1</v>
      </c>
      <c r="M6" s="9">
        <f t="shared" si="1"/>
        <v>0</v>
      </c>
    </row>
    <row r="7" spans="1:13" x14ac:dyDescent="0.35">
      <c r="A7" s="12">
        <v>4</v>
      </c>
      <c r="B7" s="12" t="s">
        <v>1934</v>
      </c>
      <c r="C7" s="12">
        <v>59</v>
      </c>
      <c r="D7" s="2" t="s">
        <v>73</v>
      </c>
      <c r="E7" s="2">
        <v>1863</v>
      </c>
      <c r="F7" s="2" t="s">
        <v>310</v>
      </c>
      <c r="G7" s="12" t="s">
        <v>2211</v>
      </c>
      <c r="H7" s="7">
        <v>1</v>
      </c>
      <c r="I7" s="19">
        <v>1</v>
      </c>
      <c r="J7" s="9">
        <f t="shared" si="0"/>
        <v>0</v>
      </c>
      <c r="K7" s="7">
        <v>1</v>
      </c>
      <c r="L7" s="19">
        <v>1</v>
      </c>
      <c r="M7" s="9">
        <f t="shared" si="1"/>
        <v>0</v>
      </c>
    </row>
    <row r="8" spans="1:13" x14ac:dyDescent="0.35">
      <c r="A8" s="12">
        <v>5</v>
      </c>
      <c r="B8" s="12" t="s">
        <v>1934</v>
      </c>
      <c r="C8" s="12">
        <v>59</v>
      </c>
      <c r="D8" s="2" t="s">
        <v>73</v>
      </c>
      <c r="E8" s="2">
        <v>1304</v>
      </c>
      <c r="F8" s="2" t="s">
        <v>873</v>
      </c>
      <c r="G8" s="12" t="s">
        <v>2211</v>
      </c>
      <c r="H8" s="7">
        <v>1</v>
      </c>
      <c r="I8" s="19">
        <v>1</v>
      </c>
      <c r="J8" s="9">
        <f t="shared" si="0"/>
        <v>0</v>
      </c>
      <c r="K8" s="7">
        <v>1</v>
      </c>
      <c r="L8" s="19">
        <v>1</v>
      </c>
      <c r="M8" s="9">
        <f t="shared" si="1"/>
        <v>0</v>
      </c>
    </row>
    <row r="9" spans="1:13" x14ac:dyDescent="0.35">
      <c r="A9" s="12">
        <v>6</v>
      </c>
      <c r="B9" s="12" t="s">
        <v>1934</v>
      </c>
      <c r="C9" s="12">
        <v>59</v>
      </c>
      <c r="D9" s="2" t="s">
        <v>73</v>
      </c>
      <c r="E9" s="2">
        <v>1887</v>
      </c>
      <c r="F9" s="2" t="s">
        <v>1658</v>
      </c>
      <c r="G9" s="12" t="s">
        <v>2211</v>
      </c>
      <c r="H9" s="7">
        <v>0</v>
      </c>
      <c r="I9" s="19">
        <v>0</v>
      </c>
      <c r="J9" s="9">
        <f t="shared" si="0"/>
        <v>0</v>
      </c>
      <c r="K9" s="7">
        <v>1</v>
      </c>
      <c r="L9" s="19">
        <v>1</v>
      </c>
      <c r="M9" s="9">
        <f t="shared" si="1"/>
        <v>0</v>
      </c>
    </row>
    <row r="10" spans="1:13" x14ac:dyDescent="0.35">
      <c r="A10" s="12">
        <v>7</v>
      </c>
      <c r="B10" s="12" t="s">
        <v>1934</v>
      </c>
      <c r="C10" s="12">
        <v>59</v>
      </c>
      <c r="D10" s="2" t="s">
        <v>73</v>
      </c>
      <c r="E10" s="2">
        <v>1500</v>
      </c>
      <c r="F10" s="2" t="s">
        <v>531</v>
      </c>
      <c r="G10" s="12" t="s">
        <v>2211</v>
      </c>
      <c r="H10" s="7">
        <v>1</v>
      </c>
      <c r="I10" s="19">
        <v>1</v>
      </c>
      <c r="J10" s="9">
        <f t="shared" si="0"/>
        <v>0</v>
      </c>
      <c r="K10" s="7">
        <v>1</v>
      </c>
      <c r="L10" s="19">
        <v>1</v>
      </c>
      <c r="M10" s="9">
        <f t="shared" si="1"/>
        <v>0</v>
      </c>
    </row>
    <row r="11" spans="1:13" x14ac:dyDescent="0.35">
      <c r="A11" s="12">
        <v>8</v>
      </c>
      <c r="B11" s="12" t="s">
        <v>1934</v>
      </c>
      <c r="C11" s="12">
        <v>179</v>
      </c>
      <c r="D11" s="2" t="s">
        <v>148</v>
      </c>
      <c r="E11" s="2">
        <v>1487</v>
      </c>
      <c r="F11" s="2" t="s">
        <v>1137</v>
      </c>
      <c r="G11" s="12" t="s">
        <v>2211</v>
      </c>
      <c r="H11" s="7">
        <v>1</v>
      </c>
      <c r="I11" s="19">
        <v>1</v>
      </c>
      <c r="J11" s="9">
        <f t="shared" si="0"/>
        <v>0</v>
      </c>
      <c r="K11" s="7">
        <v>1</v>
      </c>
      <c r="L11" s="19">
        <v>1</v>
      </c>
      <c r="M11" s="9">
        <f t="shared" si="1"/>
        <v>0</v>
      </c>
    </row>
    <row r="12" spans="1:13" x14ac:dyDescent="0.35">
      <c r="A12" s="12">
        <v>9</v>
      </c>
      <c r="B12" s="12" t="s">
        <v>1934</v>
      </c>
      <c r="C12" s="12">
        <v>20</v>
      </c>
      <c r="D12" s="2" t="s">
        <v>235</v>
      </c>
      <c r="E12" s="2">
        <v>1679</v>
      </c>
      <c r="F12" s="2" t="s">
        <v>1479</v>
      </c>
      <c r="G12" s="12" t="s">
        <v>2211</v>
      </c>
      <c r="H12" s="7">
        <v>1</v>
      </c>
      <c r="I12" s="19">
        <v>1</v>
      </c>
      <c r="J12" s="9">
        <f t="shared" si="0"/>
        <v>0</v>
      </c>
      <c r="K12" s="7">
        <v>1</v>
      </c>
      <c r="L12" s="19">
        <v>1</v>
      </c>
      <c r="M12" s="9">
        <f t="shared" si="1"/>
        <v>0</v>
      </c>
    </row>
    <row r="13" spans="1:13" x14ac:dyDescent="0.35">
      <c r="H13" s="15">
        <f t="shared" ref="H13:M13" si="2">SUM(H4:H12)</f>
        <v>6</v>
      </c>
      <c r="I13" s="15">
        <f t="shared" si="2"/>
        <v>5</v>
      </c>
      <c r="J13" s="15">
        <f t="shared" si="2"/>
        <v>-1</v>
      </c>
      <c r="K13" s="15">
        <f t="shared" si="2"/>
        <v>9</v>
      </c>
      <c r="L13" s="15">
        <f t="shared" si="2"/>
        <v>9</v>
      </c>
      <c r="M13" s="15">
        <f t="shared" si="2"/>
        <v>0</v>
      </c>
    </row>
  </sheetData>
  <sheetProtection formatCells="0" formatColumns="0" formatRows="0" insertColumns="0" insertRows="0" insertHyperlinks="0" deleteColumns="0" deleteRows="0" sort="0" autoFilter="0" pivotTables="0"/>
  <autoFilter ref="A3:M13" xr:uid="{BEA8A893-946C-4989-9934-F6ECD8BA2099}"/>
  <pageMargins left="0.7" right="0.7" top="0.75" bottom="0.75" header="0.3" footer="0.3"/>
  <pageSetup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C3B25-62B7-44BA-903C-C656A85BECEE}">
  <dimension ref="A3:F26"/>
  <sheetViews>
    <sheetView workbookViewId="0">
      <selection activeCell="E11" sqref="E11"/>
    </sheetView>
  </sheetViews>
  <sheetFormatPr defaultRowHeight="14.5" x14ac:dyDescent="0.35"/>
  <cols>
    <col min="1" max="1" width="16" bestFit="1" customWidth="1"/>
    <col min="2" max="2" width="17.7265625" bestFit="1" customWidth="1"/>
    <col min="3" max="3" width="6.54296875" bestFit="1" customWidth="1"/>
    <col min="4" max="4" width="9.54296875" bestFit="1" customWidth="1"/>
    <col min="5" max="5" width="17.453125" bestFit="1" customWidth="1"/>
    <col min="6" max="6" width="10.7265625" bestFit="1" customWidth="1"/>
  </cols>
  <sheetData>
    <row r="3" spans="1:6" x14ac:dyDescent="0.35">
      <c r="A3" s="20" t="s">
        <v>2215</v>
      </c>
      <c r="B3" s="20" t="s">
        <v>2216</v>
      </c>
    </row>
    <row r="4" spans="1:6" x14ac:dyDescent="0.35">
      <c r="A4" s="20" t="s">
        <v>2212</v>
      </c>
      <c r="B4" t="s">
        <v>14</v>
      </c>
      <c r="C4" t="s">
        <v>317</v>
      </c>
      <c r="D4" t="s">
        <v>1827</v>
      </c>
      <c r="E4" t="s">
        <v>74</v>
      </c>
      <c r="F4" t="s">
        <v>2214</v>
      </c>
    </row>
    <row r="5" spans="1:6" x14ac:dyDescent="0.35">
      <c r="A5" s="21">
        <v>8</v>
      </c>
      <c r="B5">
        <v>4</v>
      </c>
      <c r="C5">
        <v>4</v>
      </c>
      <c r="D5">
        <v>1</v>
      </c>
      <c r="E5">
        <v>1</v>
      </c>
      <c r="F5">
        <v>10</v>
      </c>
    </row>
    <row r="6" spans="1:6" x14ac:dyDescent="0.35">
      <c r="A6" s="21">
        <v>20</v>
      </c>
      <c r="B6">
        <v>2</v>
      </c>
      <c r="C6">
        <v>4</v>
      </c>
      <c r="E6">
        <v>4</v>
      </c>
      <c r="F6">
        <v>10</v>
      </c>
    </row>
    <row r="7" spans="1:6" x14ac:dyDescent="0.35">
      <c r="A7" s="21">
        <v>30</v>
      </c>
      <c r="B7">
        <v>2</v>
      </c>
      <c r="C7">
        <v>3</v>
      </c>
      <c r="E7">
        <v>1</v>
      </c>
      <c r="F7">
        <v>6</v>
      </c>
    </row>
    <row r="8" spans="1:6" x14ac:dyDescent="0.35">
      <c r="A8" s="21">
        <v>40</v>
      </c>
      <c r="B8">
        <v>2</v>
      </c>
      <c r="C8">
        <v>3</v>
      </c>
      <c r="D8">
        <v>1</v>
      </c>
      <c r="E8">
        <v>1</v>
      </c>
      <c r="F8">
        <v>7</v>
      </c>
    </row>
    <row r="9" spans="1:6" x14ac:dyDescent="0.35">
      <c r="A9" s="21">
        <v>59</v>
      </c>
      <c r="B9">
        <v>4</v>
      </c>
      <c r="C9">
        <v>7</v>
      </c>
      <c r="E9">
        <v>6</v>
      </c>
      <c r="F9">
        <v>17</v>
      </c>
    </row>
    <row r="10" spans="1:6" x14ac:dyDescent="0.35">
      <c r="A10" s="21">
        <v>63</v>
      </c>
      <c r="B10">
        <v>4</v>
      </c>
      <c r="C10">
        <v>4</v>
      </c>
      <c r="E10">
        <v>1</v>
      </c>
      <c r="F10">
        <v>9</v>
      </c>
    </row>
    <row r="11" spans="1:6" x14ac:dyDescent="0.35">
      <c r="A11" s="21">
        <v>128</v>
      </c>
      <c r="B11">
        <v>2</v>
      </c>
      <c r="C11">
        <v>3</v>
      </c>
      <c r="E11">
        <v>2</v>
      </c>
      <c r="F11">
        <v>7</v>
      </c>
    </row>
    <row r="12" spans="1:6" x14ac:dyDescent="0.35">
      <c r="A12" s="21">
        <v>129</v>
      </c>
      <c r="B12">
        <v>2</v>
      </c>
      <c r="C12">
        <v>4</v>
      </c>
      <c r="E12">
        <v>1</v>
      </c>
      <c r="F12">
        <v>7</v>
      </c>
    </row>
    <row r="13" spans="1:6" x14ac:dyDescent="0.35">
      <c r="A13" s="21">
        <v>131</v>
      </c>
      <c r="B13">
        <v>3</v>
      </c>
      <c r="C13">
        <v>4</v>
      </c>
      <c r="E13">
        <v>1</v>
      </c>
      <c r="F13">
        <v>8</v>
      </c>
    </row>
    <row r="14" spans="1:6" x14ac:dyDescent="0.35">
      <c r="A14" s="21">
        <v>138</v>
      </c>
      <c r="B14">
        <v>2</v>
      </c>
      <c r="C14">
        <v>3</v>
      </c>
      <c r="E14">
        <v>1</v>
      </c>
      <c r="F14">
        <v>6</v>
      </c>
    </row>
    <row r="15" spans="1:6" x14ac:dyDescent="0.35">
      <c r="A15" s="21">
        <v>160</v>
      </c>
      <c r="B15">
        <v>2</v>
      </c>
      <c r="C15">
        <v>4</v>
      </c>
      <c r="E15">
        <v>1</v>
      </c>
      <c r="F15">
        <v>7</v>
      </c>
    </row>
    <row r="16" spans="1:6" x14ac:dyDescent="0.35">
      <c r="A16" s="21">
        <v>164</v>
      </c>
      <c r="B16">
        <v>4</v>
      </c>
      <c r="C16">
        <v>4</v>
      </c>
      <c r="E16">
        <v>1</v>
      </c>
      <c r="F16">
        <v>9</v>
      </c>
    </row>
    <row r="17" spans="1:6" x14ac:dyDescent="0.35">
      <c r="A17" s="21">
        <v>179</v>
      </c>
      <c r="B17">
        <v>2</v>
      </c>
      <c r="C17">
        <v>3</v>
      </c>
      <c r="E17">
        <v>1</v>
      </c>
      <c r="F17">
        <v>6</v>
      </c>
    </row>
    <row r="18" spans="1:6" x14ac:dyDescent="0.35">
      <c r="A18" s="21">
        <v>184</v>
      </c>
      <c r="B18">
        <v>1</v>
      </c>
      <c r="C18">
        <v>3</v>
      </c>
      <c r="E18">
        <v>2</v>
      </c>
      <c r="F18">
        <v>6</v>
      </c>
    </row>
    <row r="19" spans="1:6" x14ac:dyDescent="0.35">
      <c r="A19" s="21">
        <v>275</v>
      </c>
      <c r="B19">
        <v>3</v>
      </c>
      <c r="C19">
        <v>3</v>
      </c>
      <c r="E19">
        <v>1</v>
      </c>
      <c r="F19">
        <v>7</v>
      </c>
    </row>
    <row r="20" spans="1:6" x14ac:dyDescent="0.35">
      <c r="A20" s="21">
        <v>315</v>
      </c>
      <c r="B20">
        <v>2</v>
      </c>
      <c r="C20">
        <v>3</v>
      </c>
      <c r="E20">
        <v>1</v>
      </c>
      <c r="F20">
        <v>6</v>
      </c>
    </row>
    <row r="21" spans="1:6" x14ac:dyDescent="0.35">
      <c r="A21" s="21">
        <v>324</v>
      </c>
      <c r="B21">
        <v>2</v>
      </c>
      <c r="C21">
        <v>3</v>
      </c>
      <c r="E21">
        <v>1</v>
      </c>
      <c r="F21">
        <v>6</v>
      </c>
    </row>
    <row r="22" spans="1:6" x14ac:dyDescent="0.35">
      <c r="A22" s="21">
        <v>342</v>
      </c>
      <c r="B22">
        <v>3</v>
      </c>
      <c r="C22">
        <v>4</v>
      </c>
      <c r="E22">
        <v>2</v>
      </c>
      <c r="F22">
        <v>9</v>
      </c>
    </row>
    <row r="23" spans="1:6" x14ac:dyDescent="0.35">
      <c r="A23" s="21">
        <v>604</v>
      </c>
      <c r="B23">
        <v>3</v>
      </c>
      <c r="C23">
        <v>3</v>
      </c>
      <c r="F23">
        <v>6</v>
      </c>
    </row>
    <row r="24" spans="1:6" x14ac:dyDescent="0.35">
      <c r="A24" s="21">
        <v>606</v>
      </c>
      <c r="B24">
        <v>2</v>
      </c>
      <c r="C24">
        <v>2</v>
      </c>
      <c r="E24">
        <v>1</v>
      </c>
      <c r="F24">
        <v>5</v>
      </c>
    </row>
    <row r="25" spans="1:6" x14ac:dyDescent="0.35">
      <c r="A25" s="21">
        <v>607</v>
      </c>
      <c r="B25">
        <v>2</v>
      </c>
      <c r="C25">
        <v>2</v>
      </c>
      <c r="E25">
        <v>1</v>
      </c>
      <c r="F25">
        <v>5</v>
      </c>
    </row>
    <row r="26" spans="1:6" x14ac:dyDescent="0.35">
      <c r="A26" s="21" t="s">
        <v>2214</v>
      </c>
      <c r="B26">
        <v>53</v>
      </c>
      <c r="C26">
        <v>73</v>
      </c>
      <c r="D26">
        <v>2</v>
      </c>
      <c r="E26">
        <v>31</v>
      </c>
      <c r="F26">
        <v>159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73651-C666-40DF-9B8C-BA5CE5021AC2}">
  <dimension ref="A1:I160"/>
  <sheetViews>
    <sheetView zoomScale="85" zoomScaleNormal="85" workbookViewId="0">
      <selection sqref="A1:XFD1048576"/>
    </sheetView>
  </sheetViews>
  <sheetFormatPr defaultRowHeight="14.5" x14ac:dyDescent="0.35"/>
  <cols>
    <col min="1" max="1" width="13" bestFit="1" customWidth="1"/>
    <col min="2" max="2" width="17.6328125" bestFit="1" customWidth="1"/>
    <col min="3" max="3" width="7.36328125" bestFit="1" customWidth="1"/>
    <col min="4" max="4" width="9.1796875" bestFit="1" customWidth="1"/>
    <col min="5" max="5" width="31.08984375" bestFit="1" customWidth="1"/>
    <col min="6" max="6" width="25.54296875" bestFit="1" customWidth="1"/>
    <col min="7" max="7" width="23.54296875" bestFit="1" customWidth="1"/>
    <col min="8" max="8" width="20.54296875" bestFit="1" customWidth="1"/>
    <col min="9" max="9" width="15.26953125" bestFit="1" customWidth="1"/>
  </cols>
  <sheetData>
    <row r="1" spans="1:9" x14ac:dyDescent="0.35">
      <c r="A1" t="s">
        <v>11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12</v>
      </c>
    </row>
    <row r="2" spans="1:9" x14ac:dyDescent="0.35">
      <c r="A2">
        <v>606</v>
      </c>
      <c r="B2" t="s">
        <v>14</v>
      </c>
      <c r="C2">
        <v>379367</v>
      </c>
      <c r="D2" t="s">
        <v>32</v>
      </c>
      <c r="E2" t="s">
        <v>965</v>
      </c>
      <c r="F2" t="s">
        <v>17</v>
      </c>
      <c r="G2" t="s">
        <v>306</v>
      </c>
      <c r="H2" t="s">
        <v>157</v>
      </c>
      <c r="I2" t="s">
        <v>23</v>
      </c>
    </row>
    <row r="3" spans="1:9" x14ac:dyDescent="0.35">
      <c r="A3">
        <v>606</v>
      </c>
      <c r="B3" t="s">
        <v>14</v>
      </c>
      <c r="C3">
        <v>393712</v>
      </c>
      <c r="D3" t="s">
        <v>32</v>
      </c>
      <c r="E3" t="s">
        <v>1484</v>
      </c>
      <c r="F3" t="s">
        <v>17</v>
      </c>
      <c r="G3" t="s">
        <v>306</v>
      </c>
      <c r="H3" t="s">
        <v>157</v>
      </c>
      <c r="I3" t="s">
        <v>23</v>
      </c>
    </row>
    <row r="4" spans="1:9" x14ac:dyDescent="0.35">
      <c r="A4">
        <v>606</v>
      </c>
      <c r="B4" t="s">
        <v>317</v>
      </c>
      <c r="C4">
        <v>413039</v>
      </c>
      <c r="D4" t="s">
        <v>32</v>
      </c>
      <c r="E4" t="s">
        <v>1893</v>
      </c>
      <c r="F4" t="s">
        <v>319</v>
      </c>
      <c r="G4" t="s">
        <v>306</v>
      </c>
      <c r="H4" t="s">
        <v>157</v>
      </c>
      <c r="I4" t="s">
        <v>673</v>
      </c>
    </row>
    <row r="5" spans="1:9" x14ac:dyDescent="0.35">
      <c r="A5">
        <v>606</v>
      </c>
      <c r="B5" t="s">
        <v>317</v>
      </c>
      <c r="C5">
        <v>413242</v>
      </c>
      <c r="D5" t="s">
        <v>32</v>
      </c>
      <c r="E5" t="s">
        <v>1897</v>
      </c>
      <c r="F5" t="s">
        <v>319</v>
      </c>
      <c r="G5" t="s">
        <v>306</v>
      </c>
      <c r="H5" t="s">
        <v>157</v>
      </c>
      <c r="I5" t="s">
        <v>673</v>
      </c>
    </row>
    <row r="6" spans="1:9" x14ac:dyDescent="0.35">
      <c r="A6">
        <v>606</v>
      </c>
      <c r="B6" t="s">
        <v>74</v>
      </c>
      <c r="C6">
        <v>341871</v>
      </c>
      <c r="D6" t="s">
        <v>32</v>
      </c>
      <c r="E6" t="s">
        <v>305</v>
      </c>
      <c r="F6" t="s">
        <v>76</v>
      </c>
      <c r="G6" t="s">
        <v>306</v>
      </c>
      <c r="H6" t="s">
        <v>157</v>
      </c>
      <c r="I6" t="s">
        <v>23</v>
      </c>
    </row>
    <row r="7" spans="1:9" x14ac:dyDescent="0.35">
      <c r="A7">
        <v>275</v>
      </c>
      <c r="B7" t="s">
        <v>14</v>
      </c>
      <c r="C7">
        <v>359715</v>
      </c>
      <c r="D7" t="s">
        <v>32</v>
      </c>
      <c r="E7" t="s">
        <v>532</v>
      </c>
      <c r="F7" t="s">
        <v>17</v>
      </c>
      <c r="G7" t="s">
        <v>356</v>
      </c>
      <c r="H7" t="s">
        <v>354</v>
      </c>
      <c r="I7" t="s">
        <v>23</v>
      </c>
    </row>
    <row r="8" spans="1:9" x14ac:dyDescent="0.35">
      <c r="A8">
        <v>275</v>
      </c>
      <c r="B8" t="s">
        <v>14</v>
      </c>
      <c r="C8">
        <v>366663</v>
      </c>
      <c r="D8" t="s">
        <v>32</v>
      </c>
      <c r="E8" t="s">
        <v>608</v>
      </c>
      <c r="F8" t="s">
        <v>17</v>
      </c>
      <c r="G8" t="s">
        <v>356</v>
      </c>
      <c r="H8" t="s">
        <v>354</v>
      </c>
      <c r="I8" t="s">
        <v>23</v>
      </c>
    </row>
    <row r="9" spans="1:9" x14ac:dyDescent="0.35">
      <c r="A9">
        <v>275</v>
      </c>
      <c r="B9" t="s">
        <v>14</v>
      </c>
      <c r="C9">
        <v>375483</v>
      </c>
      <c r="D9" t="s">
        <v>32</v>
      </c>
      <c r="E9" t="s">
        <v>809</v>
      </c>
      <c r="F9" t="s">
        <v>17</v>
      </c>
      <c r="G9" t="s">
        <v>356</v>
      </c>
      <c r="H9" t="s">
        <v>354</v>
      </c>
      <c r="I9" t="s">
        <v>23</v>
      </c>
    </row>
    <row r="10" spans="1:9" x14ac:dyDescent="0.35">
      <c r="A10">
        <v>275</v>
      </c>
      <c r="B10" t="s">
        <v>317</v>
      </c>
      <c r="C10">
        <v>392496</v>
      </c>
      <c r="D10" t="s">
        <v>32</v>
      </c>
      <c r="E10" t="s">
        <v>1415</v>
      </c>
      <c r="F10" t="s">
        <v>319</v>
      </c>
      <c r="G10" t="s">
        <v>356</v>
      </c>
      <c r="H10" t="s">
        <v>354</v>
      </c>
      <c r="I10" t="s">
        <v>673</v>
      </c>
    </row>
    <row r="11" spans="1:9" x14ac:dyDescent="0.35">
      <c r="A11">
        <v>275</v>
      </c>
      <c r="B11" t="s">
        <v>317</v>
      </c>
      <c r="C11">
        <v>404603</v>
      </c>
      <c r="D11" t="s">
        <v>32</v>
      </c>
      <c r="E11" t="s">
        <v>1681</v>
      </c>
      <c r="F11" t="s">
        <v>319</v>
      </c>
      <c r="G11" t="s">
        <v>356</v>
      </c>
      <c r="H11" t="s">
        <v>354</v>
      </c>
      <c r="I11" t="s">
        <v>23</v>
      </c>
    </row>
    <row r="12" spans="1:9" x14ac:dyDescent="0.35">
      <c r="A12">
        <v>275</v>
      </c>
      <c r="B12" t="s">
        <v>317</v>
      </c>
      <c r="C12">
        <v>406882</v>
      </c>
      <c r="D12" t="s">
        <v>32</v>
      </c>
      <c r="E12" t="s">
        <v>1770</v>
      </c>
      <c r="F12" t="s">
        <v>319</v>
      </c>
      <c r="G12" t="s">
        <v>356</v>
      </c>
      <c r="H12" t="s">
        <v>354</v>
      </c>
      <c r="I12" t="s">
        <v>673</v>
      </c>
    </row>
    <row r="13" spans="1:9" x14ac:dyDescent="0.35">
      <c r="A13">
        <v>275</v>
      </c>
      <c r="B13" t="s">
        <v>74</v>
      </c>
      <c r="C13">
        <v>344836</v>
      </c>
      <c r="D13" t="s">
        <v>32</v>
      </c>
      <c r="E13" t="s">
        <v>355</v>
      </c>
      <c r="F13" t="s">
        <v>76</v>
      </c>
      <c r="G13" t="s">
        <v>356</v>
      </c>
      <c r="H13" t="s">
        <v>354</v>
      </c>
      <c r="I13" t="s">
        <v>23</v>
      </c>
    </row>
    <row r="14" spans="1:9" x14ac:dyDescent="0.35">
      <c r="A14">
        <v>8</v>
      </c>
      <c r="B14" t="s">
        <v>14</v>
      </c>
      <c r="C14">
        <v>328388</v>
      </c>
      <c r="D14" t="s">
        <v>32</v>
      </c>
      <c r="E14" t="s">
        <v>63</v>
      </c>
      <c r="F14" t="s">
        <v>17</v>
      </c>
      <c r="G14" t="s">
        <v>64</v>
      </c>
      <c r="H14" t="s">
        <v>62</v>
      </c>
      <c r="I14" t="s">
        <v>23</v>
      </c>
    </row>
    <row r="15" spans="1:9" x14ac:dyDescent="0.35">
      <c r="A15">
        <v>8</v>
      </c>
      <c r="B15" t="s">
        <v>14</v>
      </c>
      <c r="C15">
        <v>343559</v>
      </c>
      <c r="D15" t="s">
        <v>32</v>
      </c>
      <c r="E15" t="s">
        <v>331</v>
      </c>
      <c r="F15" t="s">
        <v>17</v>
      </c>
      <c r="G15" t="s">
        <v>64</v>
      </c>
      <c r="H15" t="s">
        <v>62</v>
      </c>
      <c r="I15" t="s">
        <v>23</v>
      </c>
    </row>
    <row r="16" spans="1:9" x14ac:dyDescent="0.35">
      <c r="A16">
        <v>8</v>
      </c>
      <c r="B16" t="s">
        <v>14</v>
      </c>
      <c r="C16">
        <v>349710</v>
      </c>
      <c r="D16" t="s">
        <v>32</v>
      </c>
      <c r="E16" t="s">
        <v>411</v>
      </c>
      <c r="F16" t="s">
        <v>17</v>
      </c>
      <c r="G16" t="s">
        <v>64</v>
      </c>
      <c r="H16" t="s">
        <v>62</v>
      </c>
      <c r="I16" t="s">
        <v>23</v>
      </c>
    </row>
    <row r="17" spans="1:9" x14ac:dyDescent="0.35">
      <c r="A17">
        <v>8</v>
      </c>
      <c r="B17" t="s">
        <v>14</v>
      </c>
      <c r="C17">
        <v>394583</v>
      </c>
      <c r="D17" t="s">
        <v>32</v>
      </c>
      <c r="E17" t="s">
        <v>1504</v>
      </c>
      <c r="F17" t="s">
        <v>17</v>
      </c>
      <c r="G17" t="s">
        <v>64</v>
      </c>
      <c r="H17" t="s">
        <v>62</v>
      </c>
      <c r="I17" t="s">
        <v>23</v>
      </c>
    </row>
    <row r="18" spans="1:9" x14ac:dyDescent="0.35">
      <c r="A18">
        <v>8</v>
      </c>
      <c r="B18" t="s">
        <v>317</v>
      </c>
      <c r="C18">
        <v>392518</v>
      </c>
      <c r="D18" t="s">
        <v>32</v>
      </c>
      <c r="E18" t="s">
        <v>1426</v>
      </c>
      <c r="F18" t="s">
        <v>319</v>
      </c>
      <c r="G18" t="s">
        <v>64</v>
      </c>
      <c r="H18" t="s">
        <v>62</v>
      </c>
      <c r="I18" t="s">
        <v>673</v>
      </c>
    </row>
    <row r="19" spans="1:9" x14ac:dyDescent="0.35">
      <c r="A19">
        <v>8</v>
      </c>
      <c r="B19" t="s">
        <v>317</v>
      </c>
      <c r="C19">
        <v>404628</v>
      </c>
      <c r="D19" t="s">
        <v>32</v>
      </c>
      <c r="E19" t="s">
        <v>1701</v>
      </c>
      <c r="F19" t="s">
        <v>319</v>
      </c>
      <c r="G19" t="s">
        <v>64</v>
      </c>
      <c r="H19" t="s">
        <v>62</v>
      </c>
      <c r="I19" t="s">
        <v>673</v>
      </c>
    </row>
    <row r="20" spans="1:9" x14ac:dyDescent="0.35">
      <c r="A20">
        <v>8</v>
      </c>
      <c r="B20" t="s">
        <v>317</v>
      </c>
      <c r="C20">
        <v>406658</v>
      </c>
      <c r="D20" t="s">
        <v>32</v>
      </c>
      <c r="E20" t="s">
        <v>1764</v>
      </c>
      <c r="F20" t="s">
        <v>319</v>
      </c>
      <c r="G20" t="s">
        <v>64</v>
      </c>
      <c r="H20" t="s">
        <v>62</v>
      </c>
      <c r="I20" t="s">
        <v>23</v>
      </c>
    </row>
    <row r="21" spans="1:9" x14ac:dyDescent="0.35">
      <c r="A21">
        <v>8</v>
      </c>
      <c r="B21" t="s">
        <v>317</v>
      </c>
      <c r="C21">
        <v>409258</v>
      </c>
      <c r="D21" t="s">
        <v>32</v>
      </c>
      <c r="E21" t="s">
        <v>1825</v>
      </c>
      <c r="F21" t="s">
        <v>319</v>
      </c>
      <c r="G21" t="s">
        <v>64</v>
      </c>
      <c r="H21" t="s">
        <v>62</v>
      </c>
      <c r="I21" t="s">
        <v>673</v>
      </c>
    </row>
    <row r="22" spans="1:9" x14ac:dyDescent="0.35">
      <c r="A22">
        <v>8</v>
      </c>
      <c r="B22" t="s">
        <v>1827</v>
      </c>
      <c r="C22">
        <v>409261</v>
      </c>
      <c r="D22" t="s">
        <v>32</v>
      </c>
      <c r="E22" t="s">
        <v>1828</v>
      </c>
      <c r="F22" t="s">
        <v>1829</v>
      </c>
      <c r="G22" t="s">
        <v>64</v>
      </c>
      <c r="H22" t="s">
        <v>62</v>
      </c>
      <c r="I22" t="s">
        <v>673</v>
      </c>
    </row>
    <row r="23" spans="1:9" x14ac:dyDescent="0.35">
      <c r="A23">
        <v>8</v>
      </c>
      <c r="B23" t="s">
        <v>74</v>
      </c>
      <c r="C23">
        <v>347098</v>
      </c>
      <c r="D23" t="s">
        <v>32</v>
      </c>
      <c r="E23" t="s">
        <v>384</v>
      </c>
      <c r="F23" t="s">
        <v>76</v>
      </c>
      <c r="G23" t="s">
        <v>64</v>
      </c>
      <c r="H23" t="s">
        <v>62</v>
      </c>
      <c r="I23" t="s">
        <v>23</v>
      </c>
    </row>
    <row r="24" spans="1:9" x14ac:dyDescent="0.35">
      <c r="A24">
        <v>20</v>
      </c>
      <c r="B24" t="s">
        <v>14</v>
      </c>
      <c r="C24">
        <v>335849</v>
      </c>
      <c r="D24" t="s">
        <v>32</v>
      </c>
      <c r="E24" t="s">
        <v>233</v>
      </c>
      <c r="F24" t="s">
        <v>17</v>
      </c>
      <c r="G24" t="s">
        <v>234</v>
      </c>
      <c r="H24" t="s">
        <v>235</v>
      </c>
      <c r="I24" t="s">
        <v>23</v>
      </c>
    </row>
    <row r="25" spans="1:9" x14ac:dyDescent="0.35">
      <c r="A25">
        <v>20</v>
      </c>
      <c r="B25" t="s">
        <v>14</v>
      </c>
      <c r="C25">
        <v>359082</v>
      </c>
      <c r="D25" t="s">
        <v>32</v>
      </c>
      <c r="E25" t="s">
        <v>523</v>
      </c>
      <c r="F25" t="s">
        <v>17</v>
      </c>
      <c r="G25" t="s">
        <v>234</v>
      </c>
      <c r="H25" t="s">
        <v>235</v>
      </c>
      <c r="I25" t="s">
        <v>23</v>
      </c>
    </row>
    <row r="26" spans="1:9" x14ac:dyDescent="0.35">
      <c r="A26">
        <v>20</v>
      </c>
      <c r="B26" t="s">
        <v>317</v>
      </c>
      <c r="C26">
        <v>400050</v>
      </c>
      <c r="D26" t="s">
        <v>32</v>
      </c>
      <c r="E26" t="s">
        <v>1571</v>
      </c>
      <c r="F26" t="s">
        <v>319</v>
      </c>
      <c r="G26" t="s">
        <v>234</v>
      </c>
      <c r="H26" t="s">
        <v>235</v>
      </c>
      <c r="I26" t="s">
        <v>23</v>
      </c>
    </row>
    <row r="27" spans="1:9" x14ac:dyDescent="0.35">
      <c r="A27">
        <v>20</v>
      </c>
      <c r="B27" t="s">
        <v>317</v>
      </c>
      <c r="C27">
        <v>400115</v>
      </c>
      <c r="D27" t="s">
        <v>32</v>
      </c>
      <c r="E27" t="s">
        <v>1574</v>
      </c>
      <c r="F27" t="s">
        <v>319</v>
      </c>
      <c r="G27" t="s">
        <v>234</v>
      </c>
      <c r="H27" t="s">
        <v>235</v>
      </c>
      <c r="I27" t="s">
        <v>673</v>
      </c>
    </row>
    <row r="28" spans="1:9" x14ac:dyDescent="0.35">
      <c r="A28">
        <v>20</v>
      </c>
      <c r="B28" t="s">
        <v>317</v>
      </c>
      <c r="C28">
        <v>401879</v>
      </c>
      <c r="D28" t="s">
        <v>32</v>
      </c>
      <c r="E28" t="s">
        <v>1639</v>
      </c>
      <c r="F28" t="s">
        <v>319</v>
      </c>
      <c r="G28" t="s">
        <v>234</v>
      </c>
      <c r="H28" t="s">
        <v>235</v>
      </c>
      <c r="I28" t="s">
        <v>673</v>
      </c>
    </row>
    <row r="29" spans="1:9" x14ac:dyDescent="0.35">
      <c r="A29">
        <v>20</v>
      </c>
      <c r="B29" t="s">
        <v>317</v>
      </c>
      <c r="C29">
        <v>408919</v>
      </c>
      <c r="D29" t="s">
        <v>32</v>
      </c>
      <c r="E29" t="s">
        <v>1817</v>
      </c>
      <c r="F29" t="s">
        <v>319</v>
      </c>
      <c r="G29" t="s">
        <v>234</v>
      </c>
      <c r="H29" t="s">
        <v>235</v>
      </c>
      <c r="I29" t="s">
        <v>673</v>
      </c>
    </row>
    <row r="30" spans="1:9" x14ac:dyDescent="0.35">
      <c r="A30">
        <v>20</v>
      </c>
      <c r="B30" t="s">
        <v>74</v>
      </c>
      <c r="C30">
        <v>339811</v>
      </c>
      <c r="D30" t="s">
        <v>32</v>
      </c>
      <c r="E30" t="s">
        <v>274</v>
      </c>
      <c r="F30" t="s">
        <v>76</v>
      </c>
      <c r="G30" t="s">
        <v>234</v>
      </c>
      <c r="H30" t="s">
        <v>235</v>
      </c>
      <c r="I30" t="s">
        <v>23</v>
      </c>
    </row>
    <row r="31" spans="1:9" x14ac:dyDescent="0.35">
      <c r="A31">
        <v>20</v>
      </c>
      <c r="B31" t="s">
        <v>74</v>
      </c>
      <c r="C31">
        <v>352163</v>
      </c>
      <c r="D31" t="s">
        <v>32</v>
      </c>
      <c r="E31" t="s">
        <v>447</v>
      </c>
      <c r="F31" t="s">
        <v>76</v>
      </c>
      <c r="G31" t="s">
        <v>234</v>
      </c>
      <c r="H31" t="s">
        <v>235</v>
      </c>
      <c r="I31" t="s">
        <v>23</v>
      </c>
    </row>
    <row r="32" spans="1:9" x14ac:dyDescent="0.35">
      <c r="A32">
        <v>20</v>
      </c>
      <c r="B32" t="s">
        <v>74</v>
      </c>
      <c r="C32">
        <v>384470</v>
      </c>
      <c r="D32" t="s">
        <v>32</v>
      </c>
      <c r="E32" t="s">
        <v>1119</v>
      </c>
      <c r="F32" t="s">
        <v>76</v>
      </c>
      <c r="G32" t="s">
        <v>234</v>
      </c>
      <c r="H32" t="s">
        <v>235</v>
      </c>
      <c r="I32" t="s">
        <v>23</v>
      </c>
    </row>
    <row r="33" spans="1:9" x14ac:dyDescent="0.35">
      <c r="A33">
        <v>20</v>
      </c>
      <c r="B33" t="s">
        <v>74</v>
      </c>
      <c r="C33">
        <v>410214</v>
      </c>
      <c r="D33" t="s">
        <v>32</v>
      </c>
      <c r="E33" t="s">
        <v>1848</v>
      </c>
      <c r="F33" t="s">
        <v>76</v>
      </c>
      <c r="G33" t="s">
        <v>234</v>
      </c>
      <c r="H33" t="s">
        <v>235</v>
      </c>
      <c r="I33" t="s">
        <v>1849</v>
      </c>
    </row>
    <row r="34" spans="1:9" x14ac:dyDescent="0.35">
      <c r="A34">
        <v>30</v>
      </c>
      <c r="B34" t="s">
        <v>14</v>
      </c>
      <c r="C34">
        <v>364769</v>
      </c>
      <c r="D34" t="s">
        <v>32</v>
      </c>
      <c r="E34" t="s">
        <v>580</v>
      </c>
      <c r="F34" t="s">
        <v>17</v>
      </c>
      <c r="G34" t="s">
        <v>221</v>
      </c>
      <c r="H34" t="s">
        <v>22</v>
      </c>
      <c r="I34" t="s">
        <v>23</v>
      </c>
    </row>
    <row r="35" spans="1:9" x14ac:dyDescent="0.35">
      <c r="A35">
        <v>30</v>
      </c>
      <c r="B35" t="s">
        <v>14</v>
      </c>
      <c r="C35">
        <v>377473</v>
      </c>
      <c r="D35" t="s">
        <v>32</v>
      </c>
      <c r="E35" t="s">
        <v>919</v>
      </c>
      <c r="F35" t="s">
        <v>17</v>
      </c>
      <c r="G35" t="s">
        <v>221</v>
      </c>
      <c r="H35" t="s">
        <v>22</v>
      </c>
      <c r="I35" t="s">
        <v>23</v>
      </c>
    </row>
    <row r="36" spans="1:9" x14ac:dyDescent="0.35">
      <c r="A36">
        <v>30</v>
      </c>
      <c r="B36" t="s">
        <v>317</v>
      </c>
      <c r="C36">
        <v>375667</v>
      </c>
      <c r="D36" t="s">
        <v>32</v>
      </c>
      <c r="E36" t="s">
        <v>822</v>
      </c>
      <c r="F36" t="s">
        <v>319</v>
      </c>
      <c r="G36" t="s">
        <v>221</v>
      </c>
      <c r="H36" t="s">
        <v>22</v>
      </c>
      <c r="I36" t="s">
        <v>673</v>
      </c>
    </row>
    <row r="37" spans="1:9" x14ac:dyDescent="0.35">
      <c r="A37">
        <v>30</v>
      </c>
      <c r="B37" t="s">
        <v>317</v>
      </c>
      <c r="C37">
        <v>391810</v>
      </c>
      <c r="D37" t="s">
        <v>32</v>
      </c>
      <c r="E37" t="s">
        <v>1366</v>
      </c>
      <c r="F37" t="s">
        <v>319</v>
      </c>
      <c r="G37" t="s">
        <v>221</v>
      </c>
      <c r="H37" t="s">
        <v>22</v>
      </c>
      <c r="I37" t="s">
        <v>673</v>
      </c>
    </row>
    <row r="38" spans="1:9" x14ac:dyDescent="0.35">
      <c r="A38">
        <v>30</v>
      </c>
      <c r="B38" t="s">
        <v>317</v>
      </c>
      <c r="C38">
        <v>407422</v>
      </c>
      <c r="D38" t="s">
        <v>32</v>
      </c>
      <c r="E38" t="s">
        <v>1784</v>
      </c>
      <c r="F38" t="s">
        <v>319</v>
      </c>
      <c r="G38" t="s">
        <v>221</v>
      </c>
      <c r="H38" t="s">
        <v>22</v>
      </c>
      <c r="I38" t="s">
        <v>23</v>
      </c>
    </row>
    <row r="39" spans="1:9" x14ac:dyDescent="0.35">
      <c r="A39">
        <v>30</v>
      </c>
      <c r="B39" t="s">
        <v>74</v>
      </c>
      <c r="C39">
        <v>335633</v>
      </c>
      <c r="D39" t="s">
        <v>32</v>
      </c>
      <c r="E39" t="s">
        <v>220</v>
      </c>
      <c r="F39" t="s">
        <v>76</v>
      </c>
      <c r="G39" t="s">
        <v>221</v>
      </c>
      <c r="H39" t="s">
        <v>22</v>
      </c>
      <c r="I39" t="s">
        <v>23</v>
      </c>
    </row>
    <row r="40" spans="1:9" x14ac:dyDescent="0.35">
      <c r="A40">
        <v>179</v>
      </c>
      <c r="B40" t="s">
        <v>14</v>
      </c>
      <c r="C40">
        <v>381400</v>
      </c>
      <c r="D40" t="s">
        <v>32</v>
      </c>
      <c r="E40" t="s">
        <v>1049</v>
      </c>
      <c r="F40" t="s">
        <v>17</v>
      </c>
      <c r="G40" t="s">
        <v>578</v>
      </c>
      <c r="H40" t="s">
        <v>148</v>
      </c>
      <c r="I40" t="s">
        <v>23</v>
      </c>
    </row>
    <row r="41" spans="1:9" x14ac:dyDescent="0.35">
      <c r="A41">
        <v>179</v>
      </c>
      <c r="B41" t="s">
        <v>14</v>
      </c>
      <c r="C41">
        <v>393389</v>
      </c>
      <c r="D41" t="s">
        <v>32</v>
      </c>
      <c r="E41" t="s">
        <v>1469</v>
      </c>
      <c r="F41" t="s">
        <v>17</v>
      </c>
      <c r="G41" t="s">
        <v>578</v>
      </c>
      <c r="H41" t="s">
        <v>148</v>
      </c>
      <c r="I41" t="s">
        <v>23</v>
      </c>
    </row>
    <row r="42" spans="1:9" x14ac:dyDescent="0.35">
      <c r="A42">
        <v>179</v>
      </c>
      <c r="B42" t="s">
        <v>317</v>
      </c>
      <c r="C42">
        <v>387744</v>
      </c>
      <c r="D42" t="s">
        <v>32</v>
      </c>
      <c r="E42" t="s">
        <v>1237</v>
      </c>
      <c r="F42" t="s">
        <v>319</v>
      </c>
      <c r="G42" t="s">
        <v>578</v>
      </c>
      <c r="H42" t="s">
        <v>148</v>
      </c>
      <c r="I42" t="s">
        <v>673</v>
      </c>
    </row>
    <row r="43" spans="1:9" x14ac:dyDescent="0.35">
      <c r="A43">
        <v>179</v>
      </c>
      <c r="B43" t="s">
        <v>317</v>
      </c>
      <c r="C43">
        <v>405303</v>
      </c>
      <c r="D43" t="s">
        <v>32</v>
      </c>
      <c r="E43" t="s">
        <v>1728</v>
      </c>
      <c r="F43" t="s">
        <v>319</v>
      </c>
      <c r="G43" t="s">
        <v>578</v>
      </c>
      <c r="H43" t="s">
        <v>148</v>
      </c>
      <c r="I43" t="s">
        <v>673</v>
      </c>
    </row>
    <row r="44" spans="1:9" x14ac:dyDescent="0.35">
      <c r="A44">
        <v>179</v>
      </c>
      <c r="B44" t="s">
        <v>317</v>
      </c>
      <c r="C44">
        <v>413240</v>
      </c>
      <c r="D44" t="s">
        <v>32</v>
      </c>
      <c r="E44" t="s">
        <v>1895</v>
      </c>
      <c r="F44" t="s">
        <v>319</v>
      </c>
      <c r="G44" t="s">
        <v>578</v>
      </c>
      <c r="H44" t="s">
        <v>148</v>
      </c>
      <c r="I44" t="s">
        <v>673</v>
      </c>
    </row>
    <row r="45" spans="1:9" x14ac:dyDescent="0.35">
      <c r="A45">
        <v>179</v>
      </c>
      <c r="B45" t="s">
        <v>74</v>
      </c>
      <c r="C45">
        <v>364545</v>
      </c>
      <c r="D45" t="s">
        <v>32</v>
      </c>
      <c r="E45" t="s">
        <v>577</v>
      </c>
      <c r="F45" t="s">
        <v>76</v>
      </c>
      <c r="G45" t="s">
        <v>578</v>
      </c>
      <c r="H45" t="s">
        <v>148</v>
      </c>
      <c r="I45" t="s">
        <v>23</v>
      </c>
    </row>
    <row r="46" spans="1:9" x14ac:dyDescent="0.35">
      <c r="A46">
        <v>40</v>
      </c>
      <c r="B46" t="s">
        <v>14</v>
      </c>
      <c r="C46">
        <v>352165</v>
      </c>
      <c r="D46" t="s">
        <v>32</v>
      </c>
      <c r="E46" t="s">
        <v>448</v>
      </c>
      <c r="F46" t="s">
        <v>17</v>
      </c>
      <c r="G46" t="s">
        <v>77</v>
      </c>
      <c r="H46" t="s">
        <v>78</v>
      </c>
      <c r="I46" t="s">
        <v>23</v>
      </c>
    </row>
    <row r="47" spans="1:9" x14ac:dyDescent="0.35">
      <c r="A47">
        <v>40</v>
      </c>
      <c r="B47" t="s">
        <v>14</v>
      </c>
      <c r="C47">
        <v>378201</v>
      </c>
      <c r="D47" t="s">
        <v>32</v>
      </c>
      <c r="E47" t="s">
        <v>942</v>
      </c>
      <c r="F47" t="s">
        <v>17</v>
      </c>
      <c r="G47" t="s">
        <v>77</v>
      </c>
      <c r="H47" t="s">
        <v>78</v>
      </c>
      <c r="I47" t="s">
        <v>757</v>
      </c>
    </row>
    <row r="48" spans="1:9" x14ac:dyDescent="0.35">
      <c r="A48">
        <v>40</v>
      </c>
      <c r="B48" t="s">
        <v>317</v>
      </c>
      <c r="C48">
        <v>381186</v>
      </c>
      <c r="D48" t="s">
        <v>32</v>
      </c>
      <c r="E48" t="s">
        <v>1039</v>
      </c>
      <c r="F48" t="s">
        <v>319</v>
      </c>
      <c r="G48" t="s">
        <v>77</v>
      </c>
      <c r="H48" t="s">
        <v>78</v>
      </c>
      <c r="I48" t="s">
        <v>673</v>
      </c>
    </row>
    <row r="49" spans="1:9" x14ac:dyDescent="0.35">
      <c r="A49">
        <v>40</v>
      </c>
      <c r="B49" t="s">
        <v>317</v>
      </c>
      <c r="C49">
        <v>404355</v>
      </c>
      <c r="D49" t="s">
        <v>32</v>
      </c>
      <c r="E49" t="s">
        <v>1680</v>
      </c>
      <c r="F49" t="s">
        <v>319</v>
      </c>
      <c r="G49" t="s">
        <v>77</v>
      </c>
      <c r="H49" t="s">
        <v>78</v>
      </c>
      <c r="I49" t="s">
        <v>673</v>
      </c>
    </row>
    <row r="50" spans="1:9" x14ac:dyDescent="0.35">
      <c r="A50">
        <v>40</v>
      </c>
      <c r="B50" t="s">
        <v>317</v>
      </c>
      <c r="C50">
        <v>413063</v>
      </c>
      <c r="D50" t="s">
        <v>32</v>
      </c>
      <c r="E50" t="s">
        <v>1894</v>
      </c>
      <c r="F50" t="s">
        <v>319</v>
      </c>
      <c r="G50" t="s">
        <v>77</v>
      </c>
      <c r="H50" t="s">
        <v>78</v>
      </c>
      <c r="I50" t="s">
        <v>673</v>
      </c>
    </row>
    <row r="51" spans="1:9" x14ac:dyDescent="0.35">
      <c r="A51">
        <v>40</v>
      </c>
      <c r="B51" t="s">
        <v>1827</v>
      </c>
      <c r="C51">
        <v>413702</v>
      </c>
      <c r="D51" t="s">
        <v>32</v>
      </c>
      <c r="E51" t="s">
        <v>1918</v>
      </c>
      <c r="F51" t="s">
        <v>1829</v>
      </c>
      <c r="G51" t="s">
        <v>77</v>
      </c>
      <c r="H51" t="s">
        <v>78</v>
      </c>
      <c r="I51" t="s">
        <v>673</v>
      </c>
    </row>
    <row r="52" spans="1:9" x14ac:dyDescent="0.35">
      <c r="A52">
        <v>40</v>
      </c>
      <c r="B52" t="s">
        <v>74</v>
      </c>
      <c r="C52">
        <v>328399</v>
      </c>
      <c r="D52" t="s">
        <v>32</v>
      </c>
      <c r="E52" t="s">
        <v>75</v>
      </c>
      <c r="F52" t="s">
        <v>76</v>
      </c>
      <c r="G52" t="s">
        <v>77</v>
      </c>
      <c r="H52" t="s">
        <v>78</v>
      </c>
      <c r="I52" t="s">
        <v>23</v>
      </c>
    </row>
    <row r="53" spans="1:9" x14ac:dyDescent="0.35">
      <c r="A53">
        <v>129</v>
      </c>
      <c r="B53" t="s">
        <v>14</v>
      </c>
      <c r="C53">
        <v>375523</v>
      </c>
      <c r="D53" t="s">
        <v>32</v>
      </c>
      <c r="E53" t="s">
        <v>814</v>
      </c>
      <c r="F53" t="s">
        <v>17</v>
      </c>
      <c r="G53" t="s">
        <v>251</v>
      </c>
      <c r="H53" t="s">
        <v>143</v>
      </c>
      <c r="I53" t="s">
        <v>23</v>
      </c>
    </row>
    <row r="54" spans="1:9" x14ac:dyDescent="0.35">
      <c r="A54">
        <v>129</v>
      </c>
      <c r="B54" t="s">
        <v>14</v>
      </c>
      <c r="C54">
        <v>379366</v>
      </c>
      <c r="D54" t="s">
        <v>32</v>
      </c>
      <c r="E54" t="s">
        <v>964</v>
      </c>
      <c r="F54" t="s">
        <v>17</v>
      </c>
      <c r="G54" t="s">
        <v>251</v>
      </c>
      <c r="H54" t="s">
        <v>143</v>
      </c>
      <c r="I54" t="s">
        <v>23</v>
      </c>
    </row>
    <row r="55" spans="1:9" x14ac:dyDescent="0.35">
      <c r="A55">
        <v>129</v>
      </c>
      <c r="B55" t="s">
        <v>317</v>
      </c>
      <c r="C55">
        <v>386996</v>
      </c>
      <c r="D55" t="s">
        <v>32</v>
      </c>
      <c r="E55" t="s">
        <v>1223</v>
      </c>
      <c r="F55" t="s">
        <v>319</v>
      </c>
      <c r="G55" t="s">
        <v>251</v>
      </c>
      <c r="H55" t="s">
        <v>143</v>
      </c>
      <c r="I55" t="s">
        <v>673</v>
      </c>
    </row>
    <row r="56" spans="1:9" x14ac:dyDescent="0.35">
      <c r="A56">
        <v>129</v>
      </c>
      <c r="B56" t="s">
        <v>317</v>
      </c>
      <c r="C56">
        <v>410696</v>
      </c>
      <c r="D56" t="s">
        <v>32</v>
      </c>
      <c r="E56" t="s">
        <v>1862</v>
      </c>
      <c r="F56" t="s">
        <v>319</v>
      </c>
      <c r="G56" t="s">
        <v>251</v>
      </c>
      <c r="H56" t="s">
        <v>143</v>
      </c>
      <c r="I56" t="s">
        <v>23</v>
      </c>
    </row>
    <row r="57" spans="1:9" x14ac:dyDescent="0.35">
      <c r="A57">
        <v>129</v>
      </c>
      <c r="B57" t="s">
        <v>317</v>
      </c>
      <c r="C57">
        <v>412920</v>
      </c>
      <c r="D57" t="s">
        <v>32</v>
      </c>
      <c r="E57" t="s">
        <v>1889</v>
      </c>
      <c r="F57" t="s">
        <v>319</v>
      </c>
      <c r="G57" t="s">
        <v>251</v>
      </c>
      <c r="H57" t="s">
        <v>143</v>
      </c>
      <c r="I57" t="s">
        <v>673</v>
      </c>
    </row>
    <row r="58" spans="1:9" x14ac:dyDescent="0.35">
      <c r="A58">
        <v>129</v>
      </c>
      <c r="B58" t="s">
        <v>317</v>
      </c>
      <c r="C58">
        <v>412921</v>
      </c>
      <c r="D58" t="s">
        <v>32</v>
      </c>
      <c r="E58" t="s">
        <v>1890</v>
      </c>
      <c r="F58" t="s">
        <v>319</v>
      </c>
      <c r="G58" t="s">
        <v>251</v>
      </c>
      <c r="H58" t="s">
        <v>143</v>
      </c>
      <c r="I58" t="s">
        <v>673</v>
      </c>
    </row>
    <row r="59" spans="1:9" x14ac:dyDescent="0.35">
      <c r="A59">
        <v>129</v>
      </c>
      <c r="B59" t="s">
        <v>74</v>
      </c>
      <c r="C59">
        <v>336815</v>
      </c>
      <c r="D59" t="s">
        <v>32</v>
      </c>
      <c r="E59" t="s">
        <v>250</v>
      </c>
      <c r="F59" t="s">
        <v>76</v>
      </c>
      <c r="G59" t="s">
        <v>251</v>
      </c>
      <c r="H59" t="s">
        <v>143</v>
      </c>
      <c r="I59" t="s">
        <v>23</v>
      </c>
    </row>
    <row r="60" spans="1:9" x14ac:dyDescent="0.35">
      <c r="A60">
        <v>315</v>
      </c>
      <c r="B60" t="s">
        <v>14</v>
      </c>
      <c r="C60">
        <v>382051</v>
      </c>
      <c r="D60" t="s">
        <v>32</v>
      </c>
      <c r="E60" t="s">
        <v>1080</v>
      </c>
      <c r="F60" t="s">
        <v>17</v>
      </c>
      <c r="G60" t="s">
        <v>547</v>
      </c>
      <c r="H60" t="s">
        <v>322</v>
      </c>
      <c r="I60" t="s">
        <v>23</v>
      </c>
    </row>
    <row r="61" spans="1:9" x14ac:dyDescent="0.35">
      <c r="A61">
        <v>315</v>
      </c>
      <c r="B61" t="s">
        <v>14</v>
      </c>
      <c r="C61">
        <v>400458</v>
      </c>
      <c r="D61" t="s">
        <v>32</v>
      </c>
      <c r="E61" t="s">
        <v>1585</v>
      </c>
      <c r="F61" t="s">
        <v>17</v>
      </c>
      <c r="G61" t="s">
        <v>547</v>
      </c>
      <c r="H61" t="s">
        <v>322</v>
      </c>
      <c r="I61" t="s">
        <v>23</v>
      </c>
    </row>
    <row r="62" spans="1:9" x14ac:dyDescent="0.35">
      <c r="A62">
        <v>315</v>
      </c>
      <c r="B62" t="s">
        <v>317</v>
      </c>
      <c r="C62">
        <v>391163</v>
      </c>
      <c r="D62" t="s">
        <v>32</v>
      </c>
      <c r="E62" t="s">
        <v>1355</v>
      </c>
      <c r="F62" t="s">
        <v>319</v>
      </c>
      <c r="G62" t="s">
        <v>547</v>
      </c>
      <c r="H62" t="s">
        <v>322</v>
      </c>
      <c r="I62" t="s">
        <v>673</v>
      </c>
    </row>
    <row r="63" spans="1:9" x14ac:dyDescent="0.35">
      <c r="A63">
        <v>315</v>
      </c>
      <c r="B63" t="s">
        <v>317</v>
      </c>
      <c r="C63">
        <v>405957</v>
      </c>
      <c r="D63" t="s">
        <v>32</v>
      </c>
      <c r="E63" t="s">
        <v>1752</v>
      </c>
      <c r="F63" t="s">
        <v>319</v>
      </c>
      <c r="G63" t="s">
        <v>547</v>
      </c>
      <c r="H63" t="s">
        <v>322</v>
      </c>
      <c r="I63" t="s">
        <v>673</v>
      </c>
    </row>
    <row r="64" spans="1:9" x14ac:dyDescent="0.35">
      <c r="A64">
        <v>315</v>
      </c>
      <c r="B64" t="s">
        <v>317</v>
      </c>
      <c r="C64">
        <v>407218</v>
      </c>
      <c r="D64" t="s">
        <v>32</v>
      </c>
      <c r="E64" t="s">
        <v>1780</v>
      </c>
      <c r="F64" t="s">
        <v>319</v>
      </c>
      <c r="G64" t="s">
        <v>547</v>
      </c>
      <c r="H64" t="s">
        <v>322</v>
      </c>
      <c r="I64" t="s">
        <v>673</v>
      </c>
    </row>
    <row r="65" spans="1:9" x14ac:dyDescent="0.35">
      <c r="A65">
        <v>315</v>
      </c>
      <c r="B65" t="s">
        <v>74</v>
      </c>
      <c r="C65">
        <v>360732</v>
      </c>
      <c r="D65" t="s">
        <v>32</v>
      </c>
      <c r="E65" t="s">
        <v>546</v>
      </c>
      <c r="F65" t="s">
        <v>76</v>
      </c>
      <c r="G65" t="s">
        <v>547</v>
      </c>
      <c r="H65" t="s">
        <v>322</v>
      </c>
      <c r="I65" t="s">
        <v>23</v>
      </c>
    </row>
    <row r="66" spans="1:9" x14ac:dyDescent="0.35">
      <c r="A66">
        <v>160</v>
      </c>
      <c r="B66" t="s">
        <v>14</v>
      </c>
      <c r="C66">
        <v>385203</v>
      </c>
      <c r="D66" t="s">
        <v>32</v>
      </c>
      <c r="E66" t="s">
        <v>1148</v>
      </c>
      <c r="F66" t="s">
        <v>17</v>
      </c>
      <c r="G66" t="s">
        <v>168</v>
      </c>
      <c r="H66" t="s">
        <v>169</v>
      </c>
      <c r="I66" t="s">
        <v>23</v>
      </c>
    </row>
    <row r="67" spans="1:9" x14ac:dyDescent="0.35">
      <c r="A67">
        <v>160</v>
      </c>
      <c r="B67" t="s">
        <v>14</v>
      </c>
      <c r="C67">
        <v>412862</v>
      </c>
      <c r="D67" t="s">
        <v>32</v>
      </c>
      <c r="E67" t="s">
        <v>1884</v>
      </c>
      <c r="F67" t="s">
        <v>17</v>
      </c>
      <c r="G67" t="s">
        <v>168</v>
      </c>
      <c r="H67" t="s">
        <v>169</v>
      </c>
      <c r="I67" t="s">
        <v>23</v>
      </c>
    </row>
    <row r="68" spans="1:9" x14ac:dyDescent="0.35">
      <c r="A68">
        <v>160</v>
      </c>
      <c r="B68" t="s">
        <v>317</v>
      </c>
      <c r="C68">
        <v>394967</v>
      </c>
      <c r="D68" t="s">
        <v>32</v>
      </c>
      <c r="E68" t="s">
        <v>1513</v>
      </c>
      <c r="F68" t="s">
        <v>319</v>
      </c>
      <c r="G68" t="s">
        <v>168</v>
      </c>
      <c r="H68" t="s">
        <v>169</v>
      </c>
      <c r="I68" t="s">
        <v>673</v>
      </c>
    </row>
    <row r="69" spans="1:9" x14ac:dyDescent="0.35">
      <c r="A69">
        <v>160</v>
      </c>
      <c r="B69" t="s">
        <v>317</v>
      </c>
      <c r="C69">
        <v>407332</v>
      </c>
      <c r="D69" t="s">
        <v>32</v>
      </c>
      <c r="E69" t="s">
        <v>1782</v>
      </c>
      <c r="F69" t="s">
        <v>319</v>
      </c>
      <c r="G69" t="s">
        <v>168</v>
      </c>
      <c r="H69" t="s">
        <v>169</v>
      </c>
      <c r="I69" t="s">
        <v>673</v>
      </c>
    </row>
    <row r="70" spans="1:9" x14ac:dyDescent="0.35">
      <c r="A70">
        <v>160</v>
      </c>
      <c r="B70" t="s">
        <v>317</v>
      </c>
      <c r="C70">
        <v>409934</v>
      </c>
      <c r="D70" t="s">
        <v>32</v>
      </c>
      <c r="E70" t="s">
        <v>1847</v>
      </c>
      <c r="F70" t="s">
        <v>319</v>
      </c>
      <c r="G70" t="s">
        <v>168</v>
      </c>
      <c r="H70" t="s">
        <v>169</v>
      </c>
      <c r="I70" t="s">
        <v>673</v>
      </c>
    </row>
    <row r="71" spans="1:9" x14ac:dyDescent="0.35">
      <c r="A71">
        <v>160</v>
      </c>
      <c r="B71" t="s">
        <v>317</v>
      </c>
      <c r="C71">
        <v>412757</v>
      </c>
      <c r="D71" t="s">
        <v>32</v>
      </c>
      <c r="E71" t="s">
        <v>1883</v>
      </c>
      <c r="F71" t="s">
        <v>319</v>
      </c>
      <c r="G71" t="s">
        <v>168</v>
      </c>
      <c r="H71" t="s">
        <v>169</v>
      </c>
      <c r="I71" t="s">
        <v>673</v>
      </c>
    </row>
    <row r="72" spans="1:9" x14ac:dyDescent="0.35">
      <c r="A72">
        <v>160</v>
      </c>
      <c r="B72" t="s">
        <v>74</v>
      </c>
      <c r="C72">
        <v>332639</v>
      </c>
      <c r="D72" t="s">
        <v>32</v>
      </c>
      <c r="E72" t="s">
        <v>167</v>
      </c>
      <c r="F72" t="s">
        <v>76</v>
      </c>
      <c r="G72" t="s">
        <v>168</v>
      </c>
      <c r="H72" t="s">
        <v>169</v>
      </c>
      <c r="I72" t="s">
        <v>23</v>
      </c>
    </row>
    <row r="73" spans="1:9" x14ac:dyDescent="0.35">
      <c r="A73">
        <v>128</v>
      </c>
      <c r="B73" t="s">
        <v>14</v>
      </c>
      <c r="C73">
        <v>328359</v>
      </c>
      <c r="D73" t="s">
        <v>32</v>
      </c>
      <c r="E73" t="s">
        <v>33</v>
      </c>
      <c r="F73" t="s">
        <v>17</v>
      </c>
      <c r="G73" t="s">
        <v>34</v>
      </c>
      <c r="H73" t="s">
        <v>36</v>
      </c>
      <c r="I73" t="s">
        <v>23</v>
      </c>
    </row>
    <row r="74" spans="1:9" x14ac:dyDescent="0.35">
      <c r="A74">
        <v>128</v>
      </c>
      <c r="B74" t="s">
        <v>14</v>
      </c>
      <c r="C74">
        <v>405846</v>
      </c>
      <c r="D74" t="s">
        <v>32</v>
      </c>
      <c r="E74" t="s">
        <v>1742</v>
      </c>
      <c r="F74" t="s">
        <v>17</v>
      </c>
      <c r="G74" t="s">
        <v>34</v>
      </c>
      <c r="H74" t="s">
        <v>36</v>
      </c>
      <c r="I74" t="s">
        <v>23</v>
      </c>
    </row>
    <row r="75" spans="1:9" x14ac:dyDescent="0.35">
      <c r="A75">
        <v>128</v>
      </c>
      <c r="B75" t="s">
        <v>317</v>
      </c>
      <c r="C75">
        <v>373995</v>
      </c>
      <c r="D75" t="s">
        <v>32</v>
      </c>
      <c r="E75" t="s">
        <v>768</v>
      </c>
      <c r="F75" t="s">
        <v>319</v>
      </c>
      <c r="G75" t="s">
        <v>34</v>
      </c>
      <c r="H75" t="s">
        <v>36</v>
      </c>
      <c r="I75" t="s">
        <v>673</v>
      </c>
    </row>
    <row r="76" spans="1:9" x14ac:dyDescent="0.35">
      <c r="A76">
        <v>128</v>
      </c>
      <c r="B76" t="s">
        <v>317</v>
      </c>
      <c r="C76">
        <v>388310</v>
      </c>
      <c r="D76" t="s">
        <v>32</v>
      </c>
      <c r="E76" t="s">
        <v>1244</v>
      </c>
      <c r="F76" t="s">
        <v>319</v>
      </c>
      <c r="G76" t="s">
        <v>34</v>
      </c>
      <c r="H76" t="s">
        <v>36</v>
      </c>
      <c r="I76" t="s">
        <v>673</v>
      </c>
    </row>
    <row r="77" spans="1:9" x14ac:dyDescent="0.35">
      <c r="A77">
        <v>128</v>
      </c>
      <c r="B77" t="s">
        <v>317</v>
      </c>
      <c r="C77">
        <v>401284</v>
      </c>
      <c r="D77" t="s">
        <v>32</v>
      </c>
      <c r="E77" t="s">
        <v>1617</v>
      </c>
      <c r="F77" t="s">
        <v>319</v>
      </c>
      <c r="G77" t="s">
        <v>34</v>
      </c>
      <c r="H77" t="s">
        <v>36</v>
      </c>
      <c r="I77" t="s">
        <v>23</v>
      </c>
    </row>
    <row r="78" spans="1:9" x14ac:dyDescent="0.35">
      <c r="A78">
        <v>128</v>
      </c>
      <c r="B78" t="s">
        <v>74</v>
      </c>
      <c r="C78">
        <v>355657</v>
      </c>
      <c r="D78" t="s">
        <v>32</v>
      </c>
      <c r="E78" t="s">
        <v>484</v>
      </c>
      <c r="F78" t="s">
        <v>76</v>
      </c>
      <c r="G78" t="s">
        <v>34</v>
      </c>
      <c r="H78" t="s">
        <v>36</v>
      </c>
      <c r="I78" t="s">
        <v>23</v>
      </c>
    </row>
    <row r="79" spans="1:9" x14ac:dyDescent="0.35">
      <c r="A79">
        <v>128</v>
      </c>
      <c r="B79" t="s">
        <v>74</v>
      </c>
      <c r="C79">
        <v>361041</v>
      </c>
      <c r="D79" t="s">
        <v>32</v>
      </c>
      <c r="E79" t="s">
        <v>551</v>
      </c>
      <c r="F79" t="s">
        <v>76</v>
      </c>
      <c r="G79" t="s">
        <v>34</v>
      </c>
      <c r="H79" t="s">
        <v>36</v>
      </c>
      <c r="I79" t="s">
        <v>23</v>
      </c>
    </row>
    <row r="80" spans="1:9" x14ac:dyDescent="0.35">
      <c r="A80">
        <v>138</v>
      </c>
      <c r="B80" t="s">
        <v>14</v>
      </c>
      <c r="C80">
        <v>358590</v>
      </c>
      <c r="D80" t="s">
        <v>32</v>
      </c>
      <c r="E80" t="s">
        <v>522</v>
      </c>
      <c r="F80" t="s">
        <v>17</v>
      </c>
      <c r="G80" t="s">
        <v>508</v>
      </c>
      <c r="H80" t="s">
        <v>315</v>
      </c>
      <c r="I80" t="s">
        <v>23</v>
      </c>
    </row>
    <row r="81" spans="1:9" x14ac:dyDescent="0.35">
      <c r="A81">
        <v>138</v>
      </c>
      <c r="B81" t="s">
        <v>14</v>
      </c>
      <c r="C81">
        <v>377261</v>
      </c>
      <c r="D81" t="s">
        <v>32</v>
      </c>
      <c r="E81" t="s">
        <v>910</v>
      </c>
      <c r="F81" t="s">
        <v>17</v>
      </c>
      <c r="G81" t="s">
        <v>508</v>
      </c>
      <c r="H81" t="s">
        <v>315</v>
      </c>
      <c r="I81" t="s">
        <v>23</v>
      </c>
    </row>
    <row r="82" spans="1:9" x14ac:dyDescent="0.35">
      <c r="A82">
        <v>138</v>
      </c>
      <c r="B82" t="s">
        <v>317</v>
      </c>
      <c r="C82">
        <v>398833</v>
      </c>
      <c r="D82" t="s">
        <v>32</v>
      </c>
      <c r="E82" t="s">
        <v>1556</v>
      </c>
      <c r="F82" t="s">
        <v>319</v>
      </c>
      <c r="G82" t="s">
        <v>508</v>
      </c>
      <c r="H82" t="s">
        <v>315</v>
      </c>
      <c r="I82" t="s">
        <v>23</v>
      </c>
    </row>
    <row r="83" spans="1:9" x14ac:dyDescent="0.35">
      <c r="A83">
        <v>138</v>
      </c>
      <c r="B83" t="s">
        <v>317</v>
      </c>
      <c r="C83">
        <v>398834</v>
      </c>
      <c r="D83" t="s">
        <v>32</v>
      </c>
      <c r="E83" t="s">
        <v>1557</v>
      </c>
      <c r="F83" t="s">
        <v>319</v>
      </c>
      <c r="G83" t="s">
        <v>508</v>
      </c>
      <c r="H83" t="s">
        <v>315</v>
      </c>
      <c r="I83" t="s">
        <v>673</v>
      </c>
    </row>
    <row r="84" spans="1:9" x14ac:dyDescent="0.35">
      <c r="A84">
        <v>138</v>
      </c>
      <c r="B84" t="s">
        <v>317</v>
      </c>
      <c r="C84">
        <v>410480</v>
      </c>
      <c r="D84" t="s">
        <v>32</v>
      </c>
      <c r="E84" t="s">
        <v>1857</v>
      </c>
      <c r="F84" t="s">
        <v>319</v>
      </c>
      <c r="G84" t="s">
        <v>508</v>
      </c>
      <c r="H84" t="s">
        <v>315</v>
      </c>
      <c r="I84" t="s">
        <v>673</v>
      </c>
    </row>
    <row r="85" spans="1:9" x14ac:dyDescent="0.35">
      <c r="A85">
        <v>138</v>
      </c>
      <c r="B85" t="s">
        <v>74</v>
      </c>
      <c r="C85">
        <v>357772</v>
      </c>
      <c r="D85" t="s">
        <v>32</v>
      </c>
      <c r="E85" t="s">
        <v>507</v>
      </c>
      <c r="F85" t="s">
        <v>76</v>
      </c>
      <c r="G85" t="s">
        <v>508</v>
      </c>
      <c r="H85" t="s">
        <v>315</v>
      </c>
      <c r="I85" t="s">
        <v>23</v>
      </c>
    </row>
    <row r="86" spans="1:9" x14ac:dyDescent="0.35">
      <c r="A86">
        <v>59</v>
      </c>
      <c r="B86" t="s">
        <v>14</v>
      </c>
      <c r="C86">
        <v>366749</v>
      </c>
      <c r="D86" t="s">
        <v>32</v>
      </c>
      <c r="E86" t="s">
        <v>609</v>
      </c>
      <c r="F86" t="s">
        <v>17</v>
      </c>
      <c r="G86" t="s">
        <v>398</v>
      </c>
      <c r="H86" t="s">
        <v>73</v>
      </c>
      <c r="I86" t="s">
        <v>23</v>
      </c>
    </row>
    <row r="87" spans="1:9" x14ac:dyDescent="0.35">
      <c r="A87">
        <v>59</v>
      </c>
      <c r="B87" t="s">
        <v>14</v>
      </c>
      <c r="C87">
        <v>376535</v>
      </c>
      <c r="D87" t="s">
        <v>32</v>
      </c>
      <c r="E87" t="s">
        <v>869</v>
      </c>
      <c r="F87" t="s">
        <v>17</v>
      </c>
      <c r="G87" t="s">
        <v>398</v>
      </c>
      <c r="H87" t="s">
        <v>73</v>
      </c>
      <c r="I87" t="s">
        <v>23</v>
      </c>
    </row>
    <row r="88" spans="1:9" x14ac:dyDescent="0.35">
      <c r="A88">
        <v>59</v>
      </c>
      <c r="B88" t="s">
        <v>14</v>
      </c>
      <c r="C88">
        <v>384113</v>
      </c>
      <c r="D88" t="s">
        <v>32</v>
      </c>
      <c r="E88" t="s">
        <v>1114</v>
      </c>
      <c r="F88" t="s">
        <v>17</v>
      </c>
      <c r="G88" t="s">
        <v>398</v>
      </c>
      <c r="H88" t="s">
        <v>73</v>
      </c>
      <c r="I88" t="s">
        <v>23</v>
      </c>
    </row>
    <row r="89" spans="1:9" x14ac:dyDescent="0.35">
      <c r="A89">
        <v>59</v>
      </c>
      <c r="B89" t="s">
        <v>14</v>
      </c>
      <c r="C89">
        <v>412645</v>
      </c>
      <c r="D89" t="s">
        <v>32</v>
      </c>
      <c r="E89" t="s">
        <v>1882</v>
      </c>
      <c r="F89" t="s">
        <v>17</v>
      </c>
      <c r="G89" t="s">
        <v>398</v>
      </c>
      <c r="H89" t="s">
        <v>73</v>
      </c>
      <c r="I89" t="s">
        <v>23</v>
      </c>
    </row>
    <row r="90" spans="1:9" x14ac:dyDescent="0.35">
      <c r="A90">
        <v>59</v>
      </c>
      <c r="B90" t="s">
        <v>317</v>
      </c>
      <c r="C90">
        <v>371110</v>
      </c>
      <c r="D90" t="s">
        <v>32</v>
      </c>
      <c r="E90" t="s">
        <v>672</v>
      </c>
      <c r="F90" t="s">
        <v>319</v>
      </c>
      <c r="G90" t="s">
        <v>398</v>
      </c>
      <c r="H90" t="s">
        <v>73</v>
      </c>
      <c r="I90" t="s">
        <v>673</v>
      </c>
    </row>
    <row r="91" spans="1:9" x14ac:dyDescent="0.35">
      <c r="A91">
        <v>59</v>
      </c>
      <c r="B91" t="s">
        <v>317</v>
      </c>
      <c r="C91">
        <v>373579</v>
      </c>
      <c r="D91" t="s">
        <v>32</v>
      </c>
      <c r="E91" t="s">
        <v>718</v>
      </c>
      <c r="F91" t="s">
        <v>319</v>
      </c>
      <c r="G91" t="s">
        <v>398</v>
      </c>
      <c r="H91" t="s">
        <v>73</v>
      </c>
      <c r="I91" t="s">
        <v>23</v>
      </c>
    </row>
    <row r="92" spans="1:9" x14ac:dyDescent="0.35">
      <c r="A92">
        <v>59</v>
      </c>
      <c r="B92" t="s">
        <v>317</v>
      </c>
      <c r="C92">
        <v>375180</v>
      </c>
      <c r="D92" t="s">
        <v>32</v>
      </c>
      <c r="E92" t="s">
        <v>799</v>
      </c>
      <c r="F92" t="s">
        <v>319</v>
      </c>
      <c r="G92" t="s">
        <v>398</v>
      </c>
      <c r="H92" t="s">
        <v>73</v>
      </c>
      <c r="I92" t="s">
        <v>673</v>
      </c>
    </row>
    <row r="93" spans="1:9" x14ac:dyDescent="0.35">
      <c r="A93">
        <v>59</v>
      </c>
      <c r="B93" t="s">
        <v>317</v>
      </c>
      <c r="C93">
        <v>382657</v>
      </c>
      <c r="D93" t="s">
        <v>32</v>
      </c>
      <c r="E93" t="s">
        <v>1083</v>
      </c>
      <c r="F93" t="s">
        <v>319</v>
      </c>
      <c r="G93" t="s">
        <v>398</v>
      </c>
      <c r="H93" t="s">
        <v>73</v>
      </c>
      <c r="I93" t="s">
        <v>673</v>
      </c>
    </row>
    <row r="94" spans="1:9" x14ac:dyDescent="0.35">
      <c r="A94">
        <v>59</v>
      </c>
      <c r="B94" t="s">
        <v>317</v>
      </c>
      <c r="C94">
        <v>382658</v>
      </c>
      <c r="D94" t="s">
        <v>32</v>
      </c>
      <c r="E94" t="s">
        <v>1084</v>
      </c>
      <c r="F94" t="s">
        <v>319</v>
      </c>
      <c r="G94" t="s">
        <v>398</v>
      </c>
      <c r="H94" t="s">
        <v>73</v>
      </c>
      <c r="I94" t="s">
        <v>673</v>
      </c>
    </row>
    <row r="95" spans="1:9" x14ac:dyDescent="0.35">
      <c r="A95">
        <v>59</v>
      </c>
      <c r="B95" t="s">
        <v>317</v>
      </c>
      <c r="C95">
        <v>389418</v>
      </c>
      <c r="D95" t="s">
        <v>32</v>
      </c>
      <c r="E95" t="s">
        <v>1292</v>
      </c>
      <c r="F95" t="s">
        <v>319</v>
      </c>
      <c r="G95" t="s">
        <v>398</v>
      </c>
      <c r="H95" t="s">
        <v>73</v>
      </c>
      <c r="I95" t="s">
        <v>673</v>
      </c>
    </row>
    <row r="96" spans="1:9" x14ac:dyDescent="0.35">
      <c r="A96">
        <v>59</v>
      </c>
      <c r="B96" t="s">
        <v>317</v>
      </c>
      <c r="C96">
        <v>409247</v>
      </c>
      <c r="D96" t="s">
        <v>32</v>
      </c>
      <c r="E96" t="s">
        <v>1824</v>
      </c>
      <c r="F96" t="s">
        <v>319</v>
      </c>
      <c r="G96" t="s">
        <v>398</v>
      </c>
      <c r="H96" t="s">
        <v>73</v>
      </c>
      <c r="I96" t="s">
        <v>23</v>
      </c>
    </row>
    <row r="97" spans="1:9" x14ac:dyDescent="0.35">
      <c r="A97">
        <v>59</v>
      </c>
      <c r="B97" t="s">
        <v>74</v>
      </c>
      <c r="C97">
        <v>349668</v>
      </c>
      <c r="D97" t="s">
        <v>32</v>
      </c>
      <c r="E97" t="s">
        <v>397</v>
      </c>
      <c r="F97" t="s">
        <v>76</v>
      </c>
      <c r="G97" t="s">
        <v>398</v>
      </c>
      <c r="H97" t="s">
        <v>73</v>
      </c>
      <c r="I97" t="s">
        <v>23</v>
      </c>
    </row>
    <row r="98" spans="1:9" x14ac:dyDescent="0.35">
      <c r="A98">
        <v>59</v>
      </c>
      <c r="B98" t="s">
        <v>74</v>
      </c>
      <c r="C98">
        <v>372396</v>
      </c>
      <c r="D98" t="s">
        <v>32</v>
      </c>
      <c r="E98" t="s">
        <v>691</v>
      </c>
      <c r="F98" t="s">
        <v>76</v>
      </c>
      <c r="G98" t="s">
        <v>398</v>
      </c>
      <c r="H98" t="s">
        <v>73</v>
      </c>
      <c r="I98" t="s">
        <v>23</v>
      </c>
    </row>
    <row r="99" spans="1:9" x14ac:dyDescent="0.35">
      <c r="A99">
        <v>59</v>
      </c>
      <c r="B99" t="s">
        <v>74</v>
      </c>
      <c r="C99">
        <v>373727</v>
      </c>
      <c r="D99" t="s">
        <v>32</v>
      </c>
      <c r="E99" t="s">
        <v>756</v>
      </c>
      <c r="F99" t="s">
        <v>76</v>
      </c>
      <c r="G99" t="s">
        <v>398</v>
      </c>
      <c r="H99" t="s">
        <v>73</v>
      </c>
      <c r="I99" t="s">
        <v>757</v>
      </c>
    </row>
    <row r="100" spans="1:9" x14ac:dyDescent="0.35">
      <c r="A100">
        <v>59</v>
      </c>
      <c r="B100" t="s">
        <v>74</v>
      </c>
      <c r="C100">
        <v>376905</v>
      </c>
      <c r="D100" t="s">
        <v>32</v>
      </c>
      <c r="E100" t="s">
        <v>887</v>
      </c>
      <c r="F100" t="s">
        <v>76</v>
      </c>
      <c r="G100" t="s">
        <v>398</v>
      </c>
      <c r="H100" t="s">
        <v>73</v>
      </c>
      <c r="I100" t="s">
        <v>757</v>
      </c>
    </row>
    <row r="101" spans="1:9" x14ac:dyDescent="0.35">
      <c r="A101">
        <v>59</v>
      </c>
      <c r="B101" t="s">
        <v>74</v>
      </c>
      <c r="C101">
        <v>376906</v>
      </c>
      <c r="D101" t="s">
        <v>32</v>
      </c>
      <c r="E101" t="s">
        <v>888</v>
      </c>
      <c r="F101" t="s">
        <v>76</v>
      </c>
      <c r="G101" t="s">
        <v>398</v>
      </c>
      <c r="H101" t="s">
        <v>73</v>
      </c>
      <c r="I101" t="s">
        <v>757</v>
      </c>
    </row>
    <row r="102" spans="1:9" x14ac:dyDescent="0.35">
      <c r="A102">
        <v>59</v>
      </c>
      <c r="B102" t="s">
        <v>74</v>
      </c>
      <c r="C102">
        <v>379305</v>
      </c>
      <c r="D102" t="s">
        <v>32</v>
      </c>
      <c r="E102" t="s">
        <v>959</v>
      </c>
      <c r="F102" t="s">
        <v>76</v>
      </c>
      <c r="G102" t="s">
        <v>398</v>
      </c>
      <c r="H102" t="s">
        <v>73</v>
      </c>
      <c r="I102" t="s">
        <v>757</v>
      </c>
    </row>
    <row r="103" spans="1:9" x14ac:dyDescent="0.35">
      <c r="A103">
        <v>342</v>
      </c>
      <c r="B103" t="s">
        <v>14</v>
      </c>
      <c r="C103">
        <v>334925</v>
      </c>
      <c r="D103" t="s">
        <v>32</v>
      </c>
      <c r="E103" t="s">
        <v>177</v>
      </c>
      <c r="F103" t="s">
        <v>17</v>
      </c>
      <c r="G103" t="s">
        <v>178</v>
      </c>
      <c r="H103" t="s">
        <v>57</v>
      </c>
      <c r="I103" t="s">
        <v>23</v>
      </c>
    </row>
    <row r="104" spans="1:9" x14ac:dyDescent="0.35">
      <c r="A104">
        <v>342</v>
      </c>
      <c r="B104" t="s">
        <v>14</v>
      </c>
      <c r="C104">
        <v>371467</v>
      </c>
      <c r="D104" t="s">
        <v>32</v>
      </c>
      <c r="E104" t="s">
        <v>680</v>
      </c>
      <c r="F104" t="s">
        <v>17</v>
      </c>
      <c r="G104" t="s">
        <v>178</v>
      </c>
      <c r="H104" t="s">
        <v>57</v>
      </c>
      <c r="I104" t="s">
        <v>23</v>
      </c>
    </row>
    <row r="105" spans="1:9" x14ac:dyDescent="0.35">
      <c r="A105">
        <v>342</v>
      </c>
      <c r="B105" t="s">
        <v>14</v>
      </c>
      <c r="C105">
        <v>405525</v>
      </c>
      <c r="D105" t="s">
        <v>32</v>
      </c>
      <c r="E105" t="s">
        <v>1739</v>
      </c>
      <c r="F105" t="s">
        <v>17</v>
      </c>
      <c r="G105" t="s">
        <v>178</v>
      </c>
      <c r="H105" t="s">
        <v>57</v>
      </c>
      <c r="I105" t="s">
        <v>23</v>
      </c>
    </row>
    <row r="106" spans="1:9" x14ac:dyDescent="0.35">
      <c r="A106">
        <v>342</v>
      </c>
      <c r="B106" t="s">
        <v>317</v>
      </c>
      <c r="C106">
        <v>373716</v>
      </c>
      <c r="D106" t="s">
        <v>32</v>
      </c>
      <c r="E106" t="s">
        <v>742</v>
      </c>
      <c r="F106" t="s">
        <v>319</v>
      </c>
      <c r="G106" t="s">
        <v>178</v>
      </c>
      <c r="H106" t="s">
        <v>57</v>
      </c>
      <c r="I106" t="s">
        <v>23</v>
      </c>
    </row>
    <row r="107" spans="1:9" x14ac:dyDescent="0.35">
      <c r="A107">
        <v>342</v>
      </c>
      <c r="B107" t="s">
        <v>317</v>
      </c>
      <c r="C107">
        <v>377395</v>
      </c>
      <c r="D107" t="s">
        <v>32</v>
      </c>
      <c r="E107" t="s">
        <v>916</v>
      </c>
      <c r="F107" t="s">
        <v>319</v>
      </c>
      <c r="G107" t="s">
        <v>178</v>
      </c>
      <c r="H107" t="s">
        <v>57</v>
      </c>
      <c r="I107" t="s">
        <v>673</v>
      </c>
    </row>
    <row r="108" spans="1:9" x14ac:dyDescent="0.35">
      <c r="A108">
        <v>342</v>
      </c>
      <c r="B108" t="s">
        <v>317</v>
      </c>
      <c r="C108">
        <v>405523</v>
      </c>
      <c r="D108" t="s">
        <v>32</v>
      </c>
      <c r="E108" t="s">
        <v>1735</v>
      </c>
      <c r="F108" t="s">
        <v>319</v>
      </c>
      <c r="G108" t="s">
        <v>178</v>
      </c>
      <c r="H108" t="s">
        <v>57</v>
      </c>
      <c r="I108" t="s">
        <v>673</v>
      </c>
    </row>
    <row r="109" spans="1:9" x14ac:dyDescent="0.35">
      <c r="A109">
        <v>342</v>
      </c>
      <c r="B109" t="s">
        <v>317</v>
      </c>
      <c r="C109">
        <v>413509</v>
      </c>
      <c r="D109" t="s">
        <v>32</v>
      </c>
      <c r="E109" t="s">
        <v>1903</v>
      </c>
      <c r="F109" t="s">
        <v>319</v>
      </c>
      <c r="G109" t="s">
        <v>178</v>
      </c>
      <c r="H109" t="s">
        <v>57</v>
      </c>
      <c r="I109" t="s">
        <v>673</v>
      </c>
    </row>
    <row r="110" spans="1:9" x14ac:dyDescent="0.35">
      <c r="A110">
        <v>342</v>
      </c>
      <c r="B110" t="s">
        <v>74</v>
      </c>
      <c r="C110">
        <v>362522</v>
      </c>
      <c r="D110" t="s">
        <v>32</v>
      </c>
      <c r="E110" t="s">
        <v>571</v>
      </c>
      <c r="F110" t="s">
        <v>76</v>
      </c>
      <c r="G110" t="s">
        <v>178</v>
      </c>
      <c r="H110" t="s">
        <v>57</v>
      </c>
      <c r="I110" t="s">
        <v>23</v>
      </c>
    </row>
    <row r="111" spans="1:9" x14ac:dyDescent="0.35">
      <c r="A111">
        <v>342</v>
      </c>
      <c r="B111" t="s">
        <v>74</v>
      </c>
      <c r="C111">
        <v>377654</v>
      </c>
      <c r="D111" t="s">
        <v>32</v>
      </c>
      <c r="E111" t="s">
        <v>926</v>
      </c>
      <c r="F111" t="s">
        <v>76</v>
      </c>
      <c r="G111" t="s">
        <v>178</v>
      </c>
      <c r="H111" t="s">
        <v>57</v>
      </c>
      <c r="I111" t="s">
        <v>23</v>
      </c>
    </row>
    <row r="112" spans="1:9" x14ac:dyDescent="0.35">
      <c r="A112">
        <v>63</v>
      </c>
      <c r="B112" t="s">
        <v>14</v>
      </c>
      <c r="C112">
        <v>336812</v>
      </c>
      <c r="D112" t="s">
        <v>32</v>
      </c>
      <c r="E112" t="s">
        <v>244</v>
      </c>
      <c r="F112" t="s">
        <v>17</v>
      </c>
      <c r="G112" t="s">
        <v>245</v>
      </c>
      <c r="H112" t="s">
        <v>246</v>
      </c>
      <c r="I112" t="s">
        <v>23</v>
      </c>
    </row>
    <row r="113" spans="1:9" x14ac:dyDescent="0.35">
      <c r="A113">
        <v>63</v>
      </c>
      <c r="B113" t="s">
        <v>14</v>
      </c>
      <c r="C113">
        <v>390763</v>
      </c>
      <c r="D113" t="s">
        <v>32</v>
      </c>
      <c r="E113" t="s">
        <v>1336</v>
      </c>
      <c r="F113" t="s">
        <v>17</v>
      </c>
      <c r="G113" t="s">
        <v>245</v>
      </c>
      <c r="H113" t="s">
        <v>246</v>
      </c>
      <c r="I113" t="s">
        <v>23</v>
      </c>
    </row>
    <row r="114" spans="1:9" x14ac:dyDescent="0.35">
      <c r="A114">
        <v>63</v>
      </c>
      <c r="B114" t="s">
        <v>14</v>
      </c>
      <c r="C114">
        <v>397560</v>
      </c>
      <c r="D114" t="s">
        <v>32</v>
      </c>
      <c r="E114" t="s">
        <v>1539</v>
      </c>
      <c r="F114" t="s">
        <v>17</v>
      </c>
      <c r="G114" t="s">
        <v>245</v>
      </c>
      <c r="H114" t="s">
        <v>246</v>
      </c>
      <c r="I114" t="s">
        <v>23</v>
      </c>
    </row>
    <row r="115" spans="1:9" x14ac:dyDescent="0.35">
      <c r="A115">
        <v>63</v>
      </c>
      <c r="B115" t="s">
        <v>14</v>
      </c>
      <c r="C115">
        <v>412981</v>
      </c>
      <c r="D115" t="s">
        <v>32</v>
      </c>
      <c r="E115" t="s">
        <v>1892</v>
      </c>
      <c r="F115" t="s">
        <v>17</v>
      </c>
      <c r="G115" t="s">
        <v>245</v>
      </c>
      <c r="H115" t="s">
        <v>246</v>
      </c>
      <c r="I115" t="s">
        <v>23</v>
      </c>
    </row>
    <row r="116" spans="1:9" x14ac:dyDescent="0.35">
      <c r="A116">
        <v>63</v>
      </c>
      <c r="B116" t="s">
        <v>317</v>
      </c>
      <c r="C116">
        <v>379091</v>
      </c>
      <c r="D116" t="s">
        <v>32</v>
      </c>
      <c r="E116" t="s">
        <v>958</v>
      </c>
      <c r="F116" t="s">
        <v>319</v>
      </c>
      <c r="G116" t="s">
        <v>245</v>
      </c>
      <c r="H116" t="s">
        <v>246</v>
      </c>
      <c r="I116" t="s">
        <v>673</v>
      </c>
    </row>
    <row r="117" spans="1:9" x14ac:dyDescent="0.35">
      <c r="A117">
        <v>63</v>
      </c>
      <c r="B117" t="s">
        <v>317</v>
      </c>
      <c r="C117">
        <v>389744</v>
      </c>
      <c r="D117" t="s">
        <v>32</v>
      </c>
      <c r="E117" t="s">
        <v>1319</v>
      </c>
      <c r="F117" t="s">
        <v>319</v>
      </c>
      <c r="G117" t="s">
        <v>245</v>
      </c>
      <c r="H117" t="s">
        <v>246</v>
      </c>
      <c r="I117" t="s">
        <v>673</v>
      </c>
    </row>
    <row r="118" spans="1:9" x14ac:dyDescent="0.35">
      <c r="A118">
        <v>63</v>
      </c>
      <c r="B118" t="s">
        <v>317</v>
      </c>
      <c r="C118">
        <v>389766</v>
      </c>
      <c r="D118" t="s">
        <v>32</v>
      </c>
      <c r="E118" t="s">
        <v>1323</v>
      </c>
      <c r="F118" t="s">
        <v>319</v>
      </c>
      <c r="G118" t="s">
        <v>245</v>
      </c>
      <c r="H118" t="s">
        <v>246</v>
      </c>
      <c r="I118" t="s">
        <v>23</v>
      </c>
    </row>
    <row r="119" spans="1:9" x14ac:dyDescent="0.35">
      <c r="A119">
        <v>63</v>
      </c>
      <c r="B119" t="s">
        <v>317</v>
      </c>
      <c r="C119">
        <v>413681</v>
      </c>
      <c r="D119" t="s">
        <v>32</v>
      </c>
      <c r="E119" t="s">
        <v>1912</v>
      </c>
      <c r="F119" t="s">
        <v>319</v>
      </c>
      <c r="G119" t="s">
        <v>245</v>
      </c>
      <c r="H119" t="s">
        <v>246</v>
      </c>
      <c r="I119" t="s">
        <v>673</v>
      </c>
    </row>
    <row r="120" spans="1:9" x14ac:dyDescent="0.35">
      <c r="A120">
        <v>63</v>
      </c>
      <c r="B120" t="s">
        <v>74</v>
      </c>
      <c r="C120">
        <v>389765</v>
      </c>
      <c r="D120" t="s">
        <v>32</v>
      </c>
      <c r="E120" t="s">
        <v>1322</v>
      </c>
      <c r="F120" t="s">
        <v>76</v>
      </c>
      <c r="G120" t="s">
        <v>245</v>
      </c>
      <c r="H120" t="s">
        <v>246</v>
      </c>
      <c r="I120" t="s">
        <v>23</v>
      </c>
    </row>
    <row r="121" spans="1:9" x14ac:dyDescent="0.35">
      <c r="A121">
        <v>184</v>
      </c>
      <c r="B121" t="s">
        <v>14</v>
      </c>
      <c r="C121">
        <v>393021</v>
      </c>
      <c r="D121" t="s">
        <v>32</v>
      </c>
      <c r="E121" t="s">
        <v>1445</v>
      </c>
      <c r="F121" t="s">
        <v>17</v>
      </c>
      <c r="G121" t="s">
        <v>498</v>
      </c>
      <c r="H121" t="s">
        <v>123</v>
      </c>
      <c r="I121" t="s">
        <v>23</v>
      </c>
    </row>
    <row r="122" spans="1:9" x14ac:dyDescent="0.35">
      <c r="A122">
        <v>184</v>
      </c>
      <c r="B122" t="s">
        <v>317</v>
      </c>
      <c r="C122">
        <v>373996</v>
      </c>
      <c r="D122" t="s">
        <v>32</v>
      </c>
      <c r="E122" t="s">
        <v>769</v>
      </c>
      <c r="F122" t="s">
        <v>319</v>
      </c>
      <c r="G122" t="s">
        <v>498</v>
      </c>
      <c r="H122" t="s">
        <v>123</v>
      </c>
      <c r="I122" t="s">
        <v>673</v>
      </c>
    </row>
    <row r="123" spans="1:9" x14ac:dyDescent="0.35">
      <c r="A123">
        <v>184</v>
      </c>
      <c r="B123" t="s">
        <v>317</v>
      </c>
      <c r="C123">
        <v>379491</v>
      </c>
      <c r="D123" t="s">
        <v>32</v>
      </c>
      <c r="E123" t="s">
        <v>979</v>
      </c>
      <c r="F123" t="s">
        <v>319</v>
      </c>
      <c r="G123" t="s">
        <v>498</v>
      </c>
      <c r="H123" t="s">
        <v>123</v>
      </c>
      <c r="I123" t="s">
        <v>673</v>
      </c>
    </row>
    <row r="124" spans="1:9" x14ac:dyDescent="0.35">
      <c r="A124">
        <v>184</v>
      </c>
      <c r="B124" t="s">
        <v>317</v>
      </c>
      <c r="C124">
        <v>409319</v>
      </c>
      <c r="D124" t="s">
        <v>32</v>
      </c>
      <c r="E124" t="s">
        <v>1832</v>
      </c>
      <c r="F124" t="s">
        <v>319</v>
      </c>
      <c r="G124" t="s">
        <v>498</v>
      </c>
      <c r="H124" t="s">
        <v>123</v>
      </c>
      <c r="I124" t="s">
        <v>23</v>
      </c>
    </row>
    <row r="125" spans="1:9" x14ac:dyDescent="0.35">
      <c r="A125">
        <v>184</v>
      </c>
      <c r="B125" t="s">
        <v>74</v>
      </c>
      <c r="C125">
        <v>356742</v>
      </c>
      <c r="D125" t="s">
        <v>32</v>
      </c>
      <c r="E125" t="s">
        <v>497</v>
      </c>
      <c r="F125" t="s">
        <v>76</v>
      </c>
      <c r="G125" t="s">
        <v>498</v>
      </c>
      <c r="H125" t="s">
        <v>123</v>
      </c>
      <c r="I125" t="s">
        <v>23</v>
      </c>
    </row>
    <row r="126" spans="1:9" x14ac:dyDescent="0.35">
      <c r="A126">
        <v>184</v>
      </c>
      <c r="B126" t="s">
        <v>74</v>
      </c>
      <c r="C126">
        <v>364549</v>
      </c>
      <c r="D126" t="s">
        <v>32</v>
      </c>
      <c r="E126" t="s">
        <v>579</v>
      </c>
      <c r="F126" t="s">
        <v>76</v>
      </c>
      <c r="G126" t="s">
        <v>498</v>
      </c>
      <c r="H126" t="s">
        <v>123</v>
      </c>
      <c r="I126" t="s">
        <v>23</v>
      </c>
    </row>
    <row r="127" spans="1:9" x14ac:dyDescent="0.35">
      <c r="A127">
        <v>607</v>
      </c>
      <c r="B127" t="s">
        <v>14</v>
      </c>
      <c r="C127">
        <v>346707</v>
      </c>
      <c r="D127" t="s">
        <v>32</v>
      </c>
      <c r="E127" t="s">
        <v>369</v>
      </c>
      <c r="F127" t="s">
        <v>17</v>
      </c>
      <c r="G127" t="s">
        <v>333</v>
      </c>
      <c r="H127" t="s">
        <v>162</v>
      </c>
      <c r="I127" t="s">
        <v>23</v>
      </c>
    </row>
    <row r="128" spans="1:9" x14ac:dyDescent="0.35">
      <c r="A128">
        <v>607</v>
      </c>
      <c r="B128" t="s">
        <v>14</v>
      </c>
      <c r="C128">
        <v>385780</v>
      </c>
      <c r="D128" t="s">
        <v>32</v>
      </c>
      <c r="E128" t="s">
        <v>1194</v>
      </c>
      <c r="F128" t="s">
        <v>17</v>
      </c>
      <c r="G128" t="s">
        <v>333</v>
      </c>
      <c r="H128" t="s">
        <v>162</v>
      </c>
      <c r="I128" t="s">
        <v>23</v>
      </c>
    </row>
    <row r="129" spans="1:9" x14ac:dyDescent="0.35">
      <c r="A129">
        <v>607</v>
      </c>
      <c r="B129" t="s">
        <v>317</v>
      </c>
      <c r="C129">
        <v>388545</v>
      </c>
      <c r="D129" t="s">
        <v>32</v>
      </c>
      <c r="E129" t="s">
        <v>1264</v>
      </c>
      <c r="F129" t="s">
        <v>319</v>
      </c>
      <c r="G129" t="s">
        <v>333</v>
      </c>
      <c r="H129" t="s">
        <v>162</v>
      </c>
      <c r="I129" t="s">
        <v>673</v>
      </c>
    </row>
    <row r="130" spans="1:9" x14ac:dyDescent="0.35">
      <c r="A130">
        <v>607</v>
      </c>
      <c r="B130" t="s">
        <v>317</v>
      </c>
      <c r="C130">
        <v>408906</v>
      </c>
      <c r="D130" t="s">
        <v>32</v>
      </c>
      <c r="E130" t="s">
        <v>1815</v>
      </c>
      <c r="F130" t="s">
        <v>319</v>
      </c>
      <c r="G130" t="s">
        <v>333</v>
      </c>
      <c r="H130" t="s">
        <v>162</v>
      </c>
      <c r="I130" t="s">
        <v>673</v>
      </c>
    </row>
    <row r="131" spans="1:9" x14ac:dyDescent="0.35">
      <c r="A131">
        <v>607</v>
      </c>
      <c r="B131" t="s">
        <v>74</v>
      </c>
      <c r="C131">
        <v>344639</v>
      </c>
      <c r="D131" t="s">
        <v>32</v>
      </c>
      <c r="E131" t="s">
        <v>332</v>
      </c>
      <c r="F131" t="s">
        <v>76</v>
      </c>
      <c r="G131" t="s">
        <v>333</v>
      </c>
      <c r="H131" t="s">
        <v>162</v>
      </c>
      <c r="I131" t="s">
        <v>23</v>
      </c>
    </row>
    <row r="132" spans="1:9" x14ac:dyDescent="0.35">
      <c r="A132">
        <v>604</v>
      </c>
      <c r="B132" t="s">
        <v>14</v>
      </c>
      <c r="C132">
        <v>335740</v>
      </c>
      <c r="D132" t="s">
        <v>32</v>
      </c>
      <c r="E132" t="s">
        <v>230</v>
      </c>
      <c r="F132" t="s">
        <v>17</v>
      </c>
      <c r="G132" t="s">
        <v>231</v>
      </c>
      <c r="H132" t="s">
        <v>232</v>
      </c>
      <c r="I132" t="s">
        <v>23</v>
      </c>
    </row>
    <row r="133" spans="1:9" x14ac:dyDescent="0.35">
      <c r="A133">
        <v>604</v>
      </c>
      <c r="B133" t="s">
        <v>14</v>
      </c>
      <c r="C133">
        <v>376064</v>
      </c>
      <c r="D133" t="s">
        <v>32</v>
      </c>
      <c r="E133" t="s">
        <v>849</v>
      </c>
      <c r="F133" t="s">
        <v>17</v>
      </c>
      <c r="G133" t="s">
        <v>231</v>
      </c>
      <c r="H133" t="s">
        <v>232</v>
      </c>
      <c r="I133" t="s">
        <v>23</v>
      </c>
    </row>
    <row r="134" spans="1:9" x14ac:dyDescent="0.35">
      <c r="A134">
        <v>604</v>
      </c>
      <c r="B134" t="s">
        <v>14</v>
      </c>
      <c r="C134">
        <v>376738</v>
      </c>
      <c r="D134" t="s">
        <v>32</v>
      </c>
      <c r="E134" t="s">
        <v>882</v>
      </c>
      <c r="F134" t="s">
        <v>17</v>
      </c>
      <c r="G134" t="s">
        <v>231</v>
      </c>
      <c r="H134" t="s">
        <v>232</v>
      </c>
      <c r="I134" t="s">
        <v>23</v>
      </c>
    </row>
    <row r="135" spans="1:9" x14ac:dyDescent="0.35">
      <c r="A135">
        <v>604</v>
      </c>
      <c r="B135" t="s">
        <v>317</v>
      </c>
      <c r="C135">
        <v>380755</v>
      </c>
      <c r="D135" t="s">
        <v>32</v>
      </c>
      <c r="E135" t="s">
        <v>1011</v>
      </c>
      <c r="F135" t="s">
        <v>319</v>
      </c>
      <c r="G135" t="s">
        <v>231</v>
      </c>
      <c r="H135" t="s">
        <v>232</v>
      </c>
      <c r="I135" t="s">
        <v>673</v>
      </c>
    </row>
    <row r="136" spans="1:9" x14ac:dyDescent="0.35">
      <c r="A136">
        <v>604</v>
      </c>
      <c r="B136" t="s">
        <v>317</v>
      </c>
      <c r="C136">
        <v>385411</v>
      </c>
      <c r="D136" t="s">
        <v>32</v>
      </c>
      <c r="E136" t="s">
        <v>1183</v>
      </c>
      <c r="F136" t="s">
        <v>319</v>
      </c>
      <c r="G136" t="s">
        <v>231</v>
      </c>
      <c r="H136" t="s">
        <v>232</v>
      </c>
      <c r="I136" t="s">
        <v>673</v>
      </c>
    </row>
    <row r="137" spans="1:9" x14ac:dyDescent="0.35">
      <c r="A137">
        <v>604</v>
      </c>
      <c r="B137" t="s">
        <v>317</v>
      </c>
      <c r="C137">
        <v>411217</v>
      </c>
      <c r="D137" t="s">
        <v>32</v>
      </c>
      <c r="E137" t="s">
        <v>1868</v>
      </c>
      <c r="F137" t="s">
        <v>319</v>
      </c>
      <c r="G137" t="s">
        <v>231</v>
      </c>
      <c r="H137" t="s">
        <v>232</v>
      </c>
      <c r="I137" t="s">
        <v>673</v>
      </c>
    </row>
    <row r="138" spans="1:9" x14ac:dyDescent="0.35">
      <c r="A138">
        <v>164</v>
      </c>
      <c r="B138" t="s">
        <v>14</v>
      </c>
      <c r="C138">
        <v>354683</v>
      </c>
      <c r="D138" t="s">
        <v>32</v>
      </c>
      <c r="E138" t="s">
        <v>461</v>
      </c>
      <c r="F138" t="s">
        <v>17</v>
      </c>
      <c r="G138" t="s">
        <v>460</v>
      </c>
      <c r="H138" t="s">
        <v>87</v>
      </c>
      <c r="I138" t="s">
        <v>23</v>
      </c>
    </row>
    <row r="139" spans="1:9" x14ac:dyDescent="0.35">
      <c r="A139">
        <v>164</v>
      </c>
      <c r="B139" t="s">
        <v>14</v>
      </c>
      <c r="C139">
        <v>367401</v>
      </c>
      <c r="D139" t="s">
        <v>32</v>
      </c>
      <c r="E139" t="s">
        <v>612</v>
      </c>
      <c r="F139" t="s">
        <v>17</v>
      </c>
      <c r="G139" t="s">
        <v>460</v>
      </c>
      <c r="H139" t="s">
        <v>87</v>
      </c>
      <c r="I139" t="s">
        <v>23</v>
      </c>
    </row>
    <row r="140" spans="1:9" x14ac:dyDescent="0.35">
      <c r="A140">
        <v>164</v>
      </c>
      <c r="B140" t="s">
        <v>14</v>
      </c>
      <c r="C140">
        <v>375524</v>
      </c>
      <c r="D140" t="s">
        <v>32</v>
      </c>
      <c r="E140" t="s">
        <v>815</v>
      </c>
      <c r="F140" t="s">
        <v>17</v>
      </c>
      <c r="G140" t="s">
        <v>460</v>
      </c>
      <c r="H140" t="s">
        <v>87</v>
      </c>
      <c r="I140" t="s">
        <v>23</v>
      </c>
    </row>
    <row r="141" spans="1:9" x14ac:dyDescent="0.35">
      <c r="A141">
        <v>164</v>
      </c>
      <c r="B141" t="s">
        <v>14</v>
      </c>
      <c r="C141">
        <v>399653</v>
      </c>
      <c r="D141" t="s">
        <v>32</v>
      </c>
      <c r="E141" t="s">
        <v>1561</v>
      </c>
      <c r="F141" t="s">
        <v>17</v>
      </c>
      <c r="G141" t="s">
        <v>460</v>
      </c>
      <c r="H141" t="s">
        <v>87</v>
      </c>
      <c r="I141" t="s">
        <v>23</v>
      </c>
    </row>
    <row r="142" spans="1:9" x14ac:dyDescent="0.35">
      <c r="A142">
        <v>164</v>
      </c>
      <c r="B142" t="s">
        <v>317</v>
      </c>
      <c r="C142">
        <v>400917</v>
      </c>
      <c r="D142" t="s">
        <v>32</v>
      </c>
      <c r="E142" t="s">
        <v>1610</v>
      </c>
      <c r="F142" t="s">
        <v>319</v>
      </c>
      <c r="G142" t="s">
        <v>460</v>
      </c>
      <c r="H142" t="s">
        <v>87</v>
      </c>
      <c r="I142" t="s">
        <v>673</v>
      </c>
    </row>
    <row r="143" spans="1:9" x14ac:dyDescent="0.35">
      <c r="A143">
        <v>164</v>
      </c>
      <c r="B143" t="s">
        <v>317</v>
      </c>
      <c r="C143">
        <v>410687</v>
      </c>
      <c r="D143" t="s">
        <v>32</v>
      </c>
      <c r="E143" t="s">
        <v>1860</v>
      </c>
      <c r="F143" t="s">
        <v>319</v>
      </c>
      <c r="G143" t="s">
        <v>460</v>
      </c>
      <c r="H143" t="s">
        <v>87</v>
      </c>
      <c r="I143" t="s">
        <v>673</v>
      </c>
    </row>
    <row r="144" spans="1:9" x14ac:dyDescent="0.35">
      <c r="A144">
        <v>164</v>
      </c>
      <c r="B144" t="s">
        <v>317</v>
      </c>
      <c r="C144">
        <v>413697</v>
      </c>
      <c r="D144" t="s">
        <v>32</v>
      </c>
      <c r="E144" t="s">
        <v>1916</v>
      </c>
      <c r="F144" t="s">
        <v>319</v>
      </c>
      <c r="G144" t="s">
        <v>460</v>
      </c>
      <c r="H144" t="s">
        <v>87</v>
      </c>
      <c r="I144" t="s">
        <v>673</v>
      </c>
    </row>
    <row r="145" spans="1:9" x14ac:dyDescent="0.35">
      <c r="A145">
        <v>164</v>
      </c>
      <c r="B145" t="s">
        <v>317</v>
      </c>
      <c r="C145">
        <v>413703</v>
      </c>
      <c r="D145" t="s">
        <v>32</v>
      </c>
      <c r="E145" t="s">
        <v>1919</v>
      </c>
      <c r="F145" t="s">
        <v>319</v>
      </c>
      <c r="G145" t="s">
        <v>460</v>
      </c>
      <c r="H145" t="s">
        <v>87</v>
      </c>
      <c r="I145" t="s">
        <v>673</v>
      </c>
    </row>
    <row r="146" spans="1:9" x14ac:dyDescent="0.35">
      <c r="A146">
        <v>164</v>
      </c>
      <c r="B146" t="s">
        <v>74</v>
      </c>
      <c r="C146">
        <v>353923</v>
      </c>
      <c r="D146" t="s">
        <v>32</v>
      </c>
      <c r="E146" t="s">
        <v>459</v>
      </c>
      <c r="F146" t="s">
        <v>76</v>
      </c>
      <c r="G146" t="s">
        <v>460</v>
      </c>
      <c r="H146" t="s">
        <v>87</v>
      </c>
      <c r="I146" t="s">
        <v>23</v>
      </c>
    </row>
    <row r="147" spans="1:9" x14ac:dyDescent="0.35">
      <c r="A147">
        <v>324</v>
      </c>
      <c r="B147" t="s">
        <v>14</v>
      </c>
      <c r="C147">
        <v>381166</v>
      </c>
      <c r="D147" t="s">
        <v>32</v>
      </c>
      <c r="E147" t="s">
        <v>1026</v>
      </c>
      <c r="F147" t="s">
        <v>17</v>
      </c>
      <c r="G147" t="s">
        <v>371</v>
      </c>
      <c r="H147" t="s">
        <v>51</v>
      </c>
      <c r="I147" t="s">
        <v>23</v>
      </c>
    </row>
    <row r="148" spans="1:9" x14ac:dyDescent="0.35">
      <c r="A148">
        <v>324</v>
      </c>
      <c r="B148" t="s">
        <v>14</v>
      </c>
      <c r="C148">
        <v>410380</v>
      </c>
      <c r="D148" t="s">
        <v>32</v>
      </c>
      <c r="E148" t="s">
        <v>1854</v>
      </c>
      <c r="F148" t="s">
        <v>17</v>
      </c>
      <c r="G148" t="s">
        <v>371</v>
      </c>
      <c r="H148" t="s">
        <v>51</v>
      </c>
      <c r="I148" t="s">
        <v>23</v>
      </c>
    </row>
    <row r="149" spans="1:9" x14ac:dyDescent="0.35">
      <c r="A149">
        <v>324</v>
      </c>
      <c r="B149" t="s">
        <v>317</v>
      </c>
      <c r="C149">
        <v>392519</v>
      </c>
      <c r="D149" t="s">
        <v>32</v>
      </c>
      <c r="E149" t="s">
        <v>1427</v>
      </c>
      <c r="F149" t="s">
        <v>319</v>
      </c>
      <c r="G149" t="s">
        <v>371</v>
      </c>
      <c r="H149" t="s">
        <v>51</v>
      </c>
      <c r="I149" t="s">
        <v>673</v>
      </c>
    </row>
    <row r="150" spans="1:9" x14ac:dyDescent="0.35">
      <c r="A150">
        <v>324</v>
      </c>
      <c r="B150" t="s">
        <v>317</v>
      </c>
      <c r="C150">
        <v>394510</v>
      </c>
      <c r="D150" t="s">
        <v>32</v>
      </c>
      <c r="E150" t="s">
        <v>1495</v>
      </c>
      <c r="F150" t="s">
        <v>319</v>
      </c>
      <c r="G150" t="s">
        <v>371</v>
      </c>
      <c r="H150" t="s">
        <v>51</v>
      </c>
      <c r="I150" t="s">
        <v>673</v>
      </c>
    </row>
    <row r="151" spans="1:9" x14ac:dyDescent="0.35">
      <c r="A151">
        <v>324</v>
      </c>
      <c r="B151" t="s">
        <v>317</v>
      </c>
      <c r="C151">
        <v>405956</v>
      </c>
      <c r="D151" t="s">
        <v>32</v>
      </c>
      <c r="E151" t="s">
        <v>1751</v>
      </c>
      <c r="F151" t="s">
        <v>319</v>
      </c>
      <c r="G151" t="s">
        <v>371</v>
      </c>
      <c r="H151" t="s">
        <v>51</v>
      </c>
      <c r="I151" t="s">
        <v>673</v>
      </c>
    </row>
    <row r="152" spans="1:9" x14ac:dyDescent="0.35">
      <c r="A152">
        <v>324</v>
      </c>
      <c r="B152" t="s">
        <v>74</v>
      </c>
      <c r="C152">
        <v>346715</v>
      </c>
      <c r="D152" t="s">
        <v>32</v>
      </c>
      <c r="E152" t="s">
        <v>370</v>
      </c>
      <c r="F152" t="s">
        <v>76</v>
      </c>
      <c r="G152" t="s">
        <v>371</v>
      </c>
      <c r="H152" t="s">
        <v>51</v>
      </c>
      <c r="I152" t="s">
        <v>23</v>
      </c>
    </row>
    <row r="153" spans="1:9" x14ac:dyDescent="0.35">
      <c r="A153">
        <v>131</v>
      </c>
      <c r="B153" t="s">
        <v>14</v>
      </c>
      <c r="C153">
        <v>328652</v>
      </c>
      <c r="D153" t="s">
        <v>32</v>
      </c>
      <c r="E153" t="s">
        <v>137</v>
      </c>
      <c r="F153" t="s">
        <v>17</v>
      </c>
      <c r="G153" t="s">
        <v>138</v>
      </c>
      <c r="H153" t="s">
        <v>128</v>
      </c>
      <c r="I153" t="s">
        <v>23</v>
      </c>
    </row>
    <row r="154" spans="1:9" x14ac:dyDescent="0.35">
      <c r="A154">
        <v>131</v>
      </c>
      <c r="B154" t="s">
        <v>14</v>
      </c>
      <c r="C154">
        <v>340823</v>
      </c>
      <c r="D154" t="s">
        <v>32</v>
      </c>
      <c r="E154" t="s">
        <v>292</v>
      </c>
      <c r="F154" t="s">
        <v>17</v>
      </c>
      <c r="G154" t="s">
        <v>138</v>
      </c>
      <c r="H154" t="s">
        <v>128</v>
      </c>
      <c r="I154" t="s">
        <v>23</v>
      </c>
    </row>
    <row r="155" spans="1:9" x14ac:dyDescent="0.35">
      <c r="A155">
        <v>131</v>
      </c>
      <c r="B155" t="s">
        <v>14</v>
      </c>
      <c r="C155">
        <v>381183</v>
      </c>
      <c r="D155" t="s">
        <v>32</v>
      </c>
      <c r="E155" t="s">
        <v>1034</v>
      </c>
      <c r="F155" t="s">
        <v>17</v>
      </c>
      <c r="G155" t="s">
        <v>138</v>
      </c>
      <c r="H155" t="s">
        <v>128</v>
      </c>
      <c r="I155" t="s">
        <v>23</v>
      </c>
    </row>
    <row r="156" spans="1:9" x14ac:dyDescent="0.35">
      <c r="A156">
        <v>131</v>
      </c>
      <c r="B156" t="s">
        <v>317</v>
      </c>
      <c r="C156">
        <v>375056</v>
      </c>
      <c r="D156" t="s">
        <v>32</v>
      </c>
      <c r="E156" t="s">
        <v>798</v>
      </c>
      <c r="F156" t="s">
        <v>319</v>
      </c>
      <c r="G156" t="s">
        <v>138</v>
      </c>
      <c r="H156" t="s">
        <v>128</v>
      </c>
      <c r="I156" t="s">
        <v>673</v>
      </c>
    </row>
    <row r="157" spans="1:9" x14ac:dyDescent="0.35">
      <c r="A157">
        <v>131</v>
      </c>
      <c r="B157" t="s">
        <v>317</v>
      </c>
      <c r="C157">
        <v>376104</v>
      </c>
      <c r="D157" t="s">
        <v>32</v>
      </c>
      <c r="E157" t="s">
        <v>858</v>
      </c>
      <c r="F157" t="s">
        <v>319</v>
      </c>
      <c r="G157" t="s">
        <v>138</v>
      </c>
      <c r="H157" t="s">
        <v>128</v>
      </c>
      <c r="I157" t="s">
        <v>23</v>
      </c>
    </row>
    <row r="158" spans="1:9" x14ac:dyDescent="0.35">
      <c r="A158">
        <v>131</v>
      </c>
      <c r="B158" t="s">
        <v>317</v>
      </c>
      <c r="C158">
        <v>378444</v>
      </c>
      <c r="D158" t="s">
        <v>32</v>
      </c>
      <c r="E158" t="s">
        <v>947</v>
      </c>
      <c r="F158" t="s">
        <v>319</v>
      </c>
      <c r="G158" t="s">
        <v>138</v>
      </c>
      <c r="H158" t="s">
        <v>128</v>
      </c>
      <c r="I158" t="s">
        <v>673</v>
      </c>
    </row>
    <row r="159" spans="1:9" x14ac:dyDescent="0.35">
      <c r="A159">
        <v>131</v>
      </c>
      <c r="B159" t="s">
        <v>317</v>
      </c>
      <c r="C159">
        <v>403330</v>
      </c>
      <c r="D159" t="s">
        <v>32</v>
      </c>
      <c r="E159" t="s">
        <v>1666</v>
      </c>
      <c r="F159" t="s">
        <v>319</v>
      </c>
      <c r="G159" t="s">
        <v>138</v>
      </c>
      <c r="H159" t="s">
        <v>128</v>
      </c>
      <c r="I159" t="s">
        <v>673</v>
      </c>
    </row>
    <row r="160" spans="1:9" x14ac:dyDescent="0.35">
      <c r="A160">
        <v>131</v>
      </c>
      <c r="B160" t="s">
        <v>74</v>
      </c>
      <c r="C160">
        <v>341603</v>
      </c>
      <c r="D160" t="s">
        <v>32</v>
      </c>
      <c r="E160" t="s">
        <v>304</v>
      </c>
      <c r="F160" t="s">
        <v>76</v>
      </c>
      <c r="G160" t="s">
        <v>138</v>
      </c>
      <c r="H160" t="s">
        <v>128</v>
      </c>
      <c r="I160" t="s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4308E-1162-4C6A-BBAE-23E462AB2152}">
  <dimension ref="A3:E34"/>
  <sheetViews>
    <sheetView topLeftCell="A7" workbookViewId="0">
      <selection activeCell="D30" sqref="D30"/>
    </sheetView>
  </sheetViews>
  <sheetFormatPr defaultRowHeight="14.5" x14ac:dyDescent="0.35"/>
  <cols>
    <col min="1" max="1" width="16" bestFit="1" customWidth="1"/>
    <col min="2" max="2" width="17.7265625" bestFit="1" customWidth="1"/>
    <col min="3" max="3" width="6.54296875" bestFit="1" customWidth="1"/>
    <col min="4" max="4" width="6.7265625" bestFit="1" customWidth="1"/>
    <col min="5" max="5" width="10.7265625" bestFit="1" customWidth="1"/>
  </cols>
  <sheetData>
    <row r="3" spans="1:5" x14ac:dyDescent="0.35">
      <c r="A3" s="20" t="s">
        <v>2215</v>
      </c>
      <c r="B3" s="20" t="s">
        <v>2216</v>
      </c>
    </row>
    <row r="4" spans="1:5" x14ac:dyDescent="0.35">
      <c r="A4" s="20" t="s">
        <v>2212</v>
      </c>
      <c r="B4" t="s">
        <v>14</v>
      </c>
      <c r="C4" t="s">
        <v>317</v>
      </c>
      <c r="D4" t="s">
        <v>2213</v>
      </c>
      <c r="E4" t="s">
        <v>2214</v>
      </c>
    </row>
    <row r="5" spans="1:5" x14ac:dyDescent="0.35">
      <c r="A5" s="21">
        <v>670</v>
      </c>
      <c r="B5">
        <v>2</v>
      </c>
      <c r="C5">
        <v>1</v>
      </c>
      <c r="E5">
        <v>3</v>
      </c>
    </row>
    <row r="6" spans="1:5" x14ac:dyDescent="0.35">
      <c r="A6" s="21">
        <v>697</v>
      </c>
      <c r="B6">
        <v>1</v>
      </c>
      <c r="C6">
        <v>1</v>
      </c>
      <c r="E6">
        <v>2</v>
      </c>
    </row>
    <row r="7" spans="1:5" x14ac:dyDescent="0.35">
      <c r="A7" s="21">
        <v>1001</v>
      </c>
      <c r="B7">
        <v>1</v>
      </c>
      <c r="C7">
        <v>1</v>
      </c>
      <c r="E7">
        <v>2</v>
      </c>
    </row>
    <row r="8" spans="1:5" x14ac:dyDescent="0.35">
      <c r="A8" s="21">
        <v>1100</v>
      </c>
      <c r="B8">
        <v>2</v>
      </c>
      <c r="C8">
        <v>1</v>
      </c>
      <c r="E8">
        <v>3</v>
      </c>
    </row>
    <row r="9" spans="1:5" x14ac:dyDescent="0.35">
      <c r="A9" s="21">
        <v>1102</v>
      </c>
      <c r="B9">
        <v>2</v>
      </c>
      <c r="C9">
        <v>1</v>
      </c>
      <c r="E9">
        <v>3</v>
      </c>
    </row>
    <row r="10" spans="1:5" x14ac:dyDescent="0.35">
      <c r="A10" s="21">
        <v>1103</v>
      </c>
      <c r="B10">
        <v>2</v>
      </c>
      <c r="C10">
        <v>1</v>
      </c>
      <c r="E10">
        <v>3</v>
      </c>
    </row>
    <row r="11" spans="1:5" x14ac:dyDescent="0.35">
      <c r="A11" s="21">
        <v>1104</v>
      </c>
      <c r="B11">
        <v>1</v>
      </c>
      <c r="C11">
        <v>1</v>
      </c>
      <c r="E11">
        <v>2</v>
      </c>
    </row>
    <row r="12" spans="1:5" x14ac:dyDescent="0.35">
      <c r="A12" s="21">
        <v>2015</v>
      </c>
      <c r="B12">
        <v>2</v>
      </c>
      <c r="C12">
        <v>1</v>
      </c>
      <c r="E12">
        <v>3</v>
      </c>
    </row>
    <row r="13" spans="1:5" x14ac:dyDescent="0.35">
      <c r="A13" s="21">
        <v>2076</v>
      </c>
      <c r="B13">
        <v>1</v>
      </c>
      <c r="C13">
        <v>1</v>
      </c>
      <c r="E13">
        <v>2</v>
      </c>
    </row>
    <row r="14" spans="1:5" x14ac:dyDescent="0.35">
      <c r="A14" s="21">
        <v>2088</v>
      </c>
      <c r="B14">
        <v>2</v>
      </c>
      <c r="C14">
        <v>1</v>
      </c>
      <c r="E14">
        <v>3</v>
      </c>
    </row>
    <row r="15" spans="1:5" x14ac:dyDescent="0.35">
      <c r="A15" s="21">
        <v>2089</v>
      </c>
      <c r="B15">
        <v>2</v>
      </c>
      <c r="C15">
        <v>1</v>
      </c>
      <c r="E15">
        <v>3</v>
      </c>
    </row>
    <row r="16" spans="1:5" x14ac:dyDescent="0.35">
      <c r="A16" s="21">
        <v>2090</v>
      </c>
      <c r="B16">
        <v>1</v>
      </c>
      <c r="C16">
        <v>1</v>
      </c>
      <c r="E16">
        <v>2</v>
      </c>
    </row>
    <row r="17" spans="1:5" x14ac:dyDescent="0.35">
      <c r="A17" s="21">
        <v>2091</v>
      </c>
      <c r="B17">
        <v>1</v>
      </c>
      <c r="C17">
        <v>1</v>
      </c>
      <c r="E17">
        <v>2</v>
      </c>
    </row>
    <row r="18" spans="1:5" x14ac:dyDescent="0.35">
      <c r="A18" s="21">
        <v>2093</v>
      </c>
      <c r="B18">
        <v>1</v>
      </c>
      <c r="C18">
        <v>2</v>
      </c>
      <c r="E18">
        <v>3</v>
      </c>
    </row>
    <row r="19" spans="1:5" x14ac:dyDescent="0.35">
      <c r="A19" s="21">
        <v>2145</v>
      </c>
      <c r="B19">
        <v>1</v>
      </c>
      <c r="C19">
        <v>1</v>
      </c>
      <c r="E19">
        <v>2</v>
      </c>
    </row>
    <row r="20" spans="1:5" x14ac:dyDescent="0.35">
      <c r="A20" s="21">
        <v>2174</v>
      </c>
      <c r="B20">
        <v>2</v>
      </c>
      <c r="C20">
        <v>2</v>
      </c>
      <c r="E20">
        <v>4</v>
      </c>
    </row>
    <row r="21" spans="1:5" x14ac:dyDescent="0.35">
      <c r="A21" s="21">
        <v>2193</v>
      </c>
      <c r="B21">
        <v>1</v>
      </c>
      <c r="C21">
        <v>1</v>
      </c>
      <c r="E21">
        <v>2</v>
      </c>
    </row>
    <row r="22" spans="1:5" x14ac:dyDescent="0.35">
      <c r="A22" s="21">
        <v>2194</v>
      </c>
      <c r="B22">
        <v>1</v>
      </c>
      <c r="C22">
        <v>1</v>
      </c>
      <c r="E22">
        <v>2</v>
      </c>
    </row>
    <row r="23" spans="1:5" x14ac:dyDescent="0.35">
      <c r="A23" s="21">
        <v>2205</v>
      </c>
      <c r="B23">
        <v>2</v>
      </c>
      <c r="C23">
        <v>1</v>
      </c>
      <c r="E23">
        <v>3</v>
      </c>
    </row>
    <row r="24" spans="1:5" x14ac:dyDescent="0.35">
      <c r="A24" s="21">
        <v>2206</v>
      </c>
      <c r="B24">
        <v>2</v>
      </c>
      <c r="C24">
        <v>1</v>
      </c>
      <c r="E24">
        <v>3</v>
      </c>
    </row>
    <row r="25" spans="1:5" x14ac:dyDescent="0.35">
      <c r="A25" s="21">
        <v>2207</v>
      </c>
      <c r="B25">
        <v>2</v>
      </c>
      <c r="C25">
        <v>2</v>
      </c>
      <c r="E25">
        <v>4</v>
      </c>
    </row>
    <row r="26" spans="1:5" x14ac:dyDescent="0.35">
      <c r="A26" s="21">
        <v>2239</v>
      </c>
      <c r="B26">
        <v>1</v>
      </c>
      <c r="C26">
        <v>1</v>
      </c>
      <c r="E26">
        <v>2</v>
      </c>
    </row>
    <row r="27" spans="1:5" x14ac:dyDescent="0.35">
      <c r="A27" s="21">
        <v>2263</v>
      </c>
      <c r="B27">
        <v>1</v>
      </c>
      <c r="C27">
        <v>1</v>
      </c>
      <c r="E27">
        <v>2</v>
      </c>
    </row>
    <row r="28" spans="1:5" x14ac:dyDescent="0.35">
      <c r="A28" s="21">
        <v>2272</v>
      </c>
      <c r="B28">
        <v>2</v>
      </c>
      <c r="C28">
        <v>1</v>
      </c>
      <c r="E28">
        <v>3</v>
      </c>
    </row>
    <row r="29" spans="1:5" x14ac:dyDescent="0.35">
      <c r="A29" s="21">
        <v>2277</v>
      </c>
      <c r="B29">
        <v>1</v>
      </c>
      <c r="C29">
        <v>1</v>
      </c>
      <c r="E29">
        <v>2</v>
      </c>
    </row>
    <row r="30" spans="1:5" x14ac:dyDescent="0.35">
      <c r="A30" s="21">
        <v>2278</v>
      </c>
      <c r="B30">
        <v>1</v>
      </c>
      <c r="C30">
        <v>1</v>
      </c>
      <c r="E30">
        <v>2</v>
      </c>
    </row>
    <row r="31" spans="1:5" x14ac:dyDescent="0.35">
      <c r="A31" s="21">
        <v>2279</v>
      </c>
      <c r="B31">
        <v>2</v>
      </c>
      <c r="C31">
        <v>1</v>
      </c>
      <c r="E31">
        <v>3</v>
      </c>
    </row>
    <row r="32" spans="1:5" x14ac:dyDescent="0.35">
      <c r="A32" s="21">
        <v>2292</v>
      </c>
      <c r="B32">
        <v>2</v>
      </c>
      <c r="C32">
        <v>1</v>
      </c>
      <c r="E32">
        <v>3</v>
      </c>
    </row>
    <row r="33" spans="1:5" x14ac:dyDescent="0.35">
      <c r="A33" s="21" t="s">
        <v>2213</v>
      </c>
    </row>
    <row r="34" spans="1:5" x14ac:dyDescent="0.35">
      <c r="A34" s="21" t="s">
        <v>2214</v>
      </c>
      <c r="B34">
        <v>42</v>
      </c>
      <c r="C34">
        <v>31</v>
      </c>
      <c r="E34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3C583-848D-4F6A-9F28-C69A68664009}">
  <dimension ref="A1:M74"/>
  <sheetViews>
    <sheetView topLeftCell="A52" workbookViewId="0">
      <selection activeCell="B61" sqref="B61"/>
    </sheetView>
  </sheetViews>
  <sheetFormatPr defaultRowHeight="14.5" x14ac:dyDescent="0.35"/>
  <cols>
    <col min="1" max="1" width="11.54296875" bestFit="1" customWidth="1"/>
    <col min="2" max="2" width="17.6328125" bestFit="1" customWidth="1"/>
    <col min="3" max="3" width="8.54296875" bestFit="1" customWidth="1"/>
    <col min="4" max="4" width="11.453125" bestFit="1" customWidth="1"/>
    <col min="5" max="5" width="23.90625" bestFit="1" customWidth="1"/>
    <col min="6" max="6" width="20.54296875" bestFit="1" customWidth="1"/>
    <col min="7" max="7" width="25.90625" bestFit="1" customWidth="1"/>
    <col min="8" max="8" width="18.7265625" bestFit="1" customWidth="1"/>
    <col min="9" max="9" width="29.81640625" bestFit="1" customWidth="1"/>
    <col min="10" max="10" width="13" bestFit="1" customWidth="1"/>
    <col min="11" max="11" width="20.54296875" bestFit="1" customWidth="1"/>
    <col min="12" max="13" width="15.269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1515</v>
      </c>
      <c r="B2" t="s">
        <v>14</v>
      </c>
      <c r="C2">
        <v>404621</v>
      </c>
      <c r="D2" t="s">
        <v>53</v>
      </c>
      <c r="E2" t="s">
        <v>1694</v>
      </c>
      <c r="F2" t="s">
        <v>17</v>
      </c>
      <c r="G2" t="s">
        <v>1547</v>
      </c>
      <c r="H2" t="s">
        <v>19</v>
      </c>
      <c r="I2" t="s">
        <v>56</v>
      </c>
      <c r="J2" t="s">
        <v>21</v>
      </c>
      <c r="K2" t="s">
        <v>62</v>
      </c>
      <c r="L2">
        <v>697</v>
      </c>
      <c r="M2" t="s">
        <v>23</v>
      </c>
    </row>
    <row r="3" spans="1:13" x14ac:dyDescent="0.35">
      <c r="A3">
        <v>0</v>
      </c>
      <c r="B3" t="s">
        <v>317</v>
      </c>
      <c r="C3">
        <v>398627</v>
      </c>
      <c r="D3" t="s">
        <v>53</v>
      </c>
      <c r="E3" t="s">
        <v>1546</v>
      </c>
      <c r="F3" t="s">
        <v>319</v>
      </c>
      <c r="G3" t="s">
        <v>1547</v>
      </c>
      <c r="H3" t="s">
        <v>19</v>
      </c>
      <c r="I3" t="s">
        <v>56</v>
      </c>
      <c r="J3" t="s">
        <v>21</v>
      </c>
      <c r="K3" t="s">
        <v>62</v>
      </c>
      <c r="L3">
        <v>697</v>
      </c>
      <c r="M3" t="s">
        <v>673</v>
      </c>
    </row>
    <row r="4" spans="1:13" x14ac:dyDescent="0.35">
      <c r="A4" t="s">
        <v>663</v>
      </c>
      <c r="B4" t="s">
        <v>14</v>
      </c>
      <c r="C4">
        <v>371022</v>
      </c>
      <c r="D4" t="s">
        <v>53</v>
      </c>
      <c r="E4" t="s">
        <v>664</v>
      </c>
      <c r="F4" t="s">
        <v>17</v>
      </c>
      <c r="G4" t="s">
        <v>665</v>
      </c>
      <c r="H4" t="s">
        <v>19</v>
      </c>
      <c r="I4" t="s">
        <v>56</v>
      </c>
      <c r="J4" t="s">
        <v>21</v>
      </c>
      <c r="K4" t="s">
        <v>62</v>
      </c>
      <c r="L4">
        <v>2263</v>
      </c>
      <c r="M4" t="s">
        <v>23</v>
      </c>
    </row>
    <row r="5" spans="1:13" x14ac:dyDescent="0.35">
      <c r="A5">
        <v>0</v>
      </c>
      <c r="B5" t="s">
        <v>317</v>
      </c>
      <c r="C5">
        <v>404674</v>
      </c>
      <c r="D5" t="s">
        <v>53</v>
      </c>
      <c r="E5" t="s">
        <v>1715</v>
      </c>
      <c r="F5" t="s">
        <v>319</v>
      </c>
      <c r="G5" t="s">
        <v>665</v>
      </c>
      <c r="H5" t="s">
        <v>19</v>
      </c>
      <c r="I5" t="s">
        <v>56</v>
      </c>
      <c r="J5" t="s">
        <v>21</v>
      </c>
      <c r="K5" t="s">
        <v>62</v>
      </c>
      <c r="L5">
        <v>2263</v>
      </c>
      <c r="M5" t="s">
        <v>673</v>
      </c>
    </row>
    <row r="6" spans="1:13" x14ac:dyDescent="0.35">
      <c r="A6" t="s">
        <v>1515</v>
      </c>
      <c r="B6" t="s">
        <v>14</v>
      </c>
      <c r="C6">
        <v>401631</v>
      </c>
      <c r="D6" t="s">
        <v>53</v>
      </c>
      <c r="E6" t="s">
        <v>1629</v>
      </c>
      <c r="F6" t="s">
        <v>17</v>
      </c>
      <c r="G6" t="s">
        <v>1630</v>
      </c>
      <c r="H6" t="s">
        <v>19</v>
      </c>
      <c r="I6" t="s">
        <v>56</v>
      </c>
      <c r="J6" t="s">
        <v>21</v>
      </c>
      <c r="K6" t="s">
        <v>235</v>
      </c>
      <c r="L6">
        <v>2277</v>
      </c>
      <c r="M6" t="s">
        <v>23</v>
      </c>
    </row>
    <row r="7" spans="1:13" x14ac:dyDescent="0.35">
      <c r="A7">
        <v>0</v>
      </c>
      <c r="B7" t="s">
        <v>317</v>
      </c>
      <c r="C7">
        <v>408918</v>
      </c>
      <c r="D7" t="s">
        <v>53</v>
      </c>
      <c r="E7" t="s">
        <v>1816</v>
      </c>
      <c r="F7" t="s">
        <v>319</v>
      </c>
      <c r="G7" t="s">
        <v>1630</v>
      </c>
      <c r="H7" t="s">
        <v>19</v>
      </c>
      <c r="I7" t="s">
        <v>56</v>
      </c>
      <c r="J7" t="s">
        <v>21</v>
      </c>
      <c r="K7" t="s">
        <v>235</v>
      </c>
      <c r="L7">
        <v>2277</v>
      </c>
      <c r="M7" t="s">
        <v>673</v>
      </c>
    </row>
    <row r="8" spans="1:13" x14ac:dyDescent="0.35">
      <c r="A8" t="s">
        <v>1410</v>
      </c>
      <c r="B8" t="s">
        <v>14</v>
      </c>
      <c r="C8">
        <v>392452</v>
      </c>
      <c r="D8" t="s">
        <v>53</v>
      </c>
      <c r="E8" t="s">
        <v>1411</v>
      </c>
      <c r="F8" t="s">
        <v>17</v>
      </c>
      <c r="G8" t="s">
        <v>1412</v>
      </c>
      <c r="H8" t="s">
        <v>19</v>
      </c>
      <c r="I8" t="s">
        <v>56</v>
      </c>
      <c r="J8" t="s">
        <v>21</v>
      </c>
      <c r="K8" t="s">
        <v>235</v>
      </c>
      <c r="L8">
        <v>2015</v>
      </c>
      <c r="M8" t="s">
        <v>23</v>
      </c>
    </row>
    <row r="9" spans="1:13" x14ac:dyDescent="0.35">
      <c r="A9" t="s">
        <v>1515</v>
      </c>
      <c r="B9" t="s">
        <v>14</v>
      </c>
      <c r="C9">
        <v>400052</v>
      </c>
      <c r="D9" t="s">
        <v>53</v>
      </c>
      <c r="E9" t="s">
        <v>1573</v>
      </c>
      <c r="F9" t="s">
        <v>17</v>
      </c>
      <c r="G9" t="s">
        <v>1412</v>
      </c>
      <c r="H9" t="s">
        <v>19</v>
      </c>
      <c r="I9" t="s">
        <v>56</v>
      </c>
      <c r="J9" t="s">
        <v>21</v>
      </c>
      <c r="K9" t="s">
        <v>235</v>
      </c>
      <c r="L9">
        <v>2015</v>
      </c>
      <c r="M9" t="s">
        <v>23</v>
      </c>
    </row>
    <row r="10" spans="1:13" x14ac:dyDescent="0.35">
      <c r="A10" t="s">
        <v>1432</v>
      </c>
      <c r="B10" t="s">
        <v>317</v>
      </c>
      <c r="C10">
        <v>392655</v>
      </c>
      <c r="D10" t="s">
        <v>53</v>
      </c>
      <c r="E10" t="s">
        <v>1433</v>
      </c>
      <c r="F10" t="s">
        <v>319</v>
      </c>
      <c r="G10" t="s">
        <v>1412</v>
      </c>
      <c r="H10" t="s">
        <v>19</v>
      </c>
      <c r="I10" t="s">
        <v>56</v>
      </c>
      <c r="J10" t="s">
        <v>21</v>
      </c>
      <c r="K10" t="s">
        <v>235</v>
      </c>
      <c r="L10">
        <v>2015</v>
      </c>
      <c r="M10" t="s">
        <v>673</v>
      </c>
    </row>
    <row r="11" spans="1:13" x14ac:dyDescent="0.35">
      <c r="A11" t="s">
        <v>289</v>
      </c>
      <c r="B11" t="s">
        <v>14</v>
      </c>
      <c r="C11">
        <v>340773</v>
      </c>
      <c r="D11" t="s">
        <v>53</v>
      </c>
      <c r="E11" t="s">
        <v>290</v>
      </c>
      <c r="F11" t="s">
        <v>17</v>
      </c>
      <c r="G11" t="s">
        <v>291</v>
      </c>
      <c r="H11" t="s">
        <v>19</v>
      </c>
      <c r="I11" t="s">
        <v>56</v>
      </c>
      <c r="J11" t="s">
        <v>21</v>
      </c>
      <c r="K11" t="s">
        <v>22</v>
      </c>
      <c r="L11">
        <v>2272</v>
      </c>
      <c r="M11" t="s">
        <v>23</v>
      </c>
    </row>
    <row r="12" spans="1:13" x14ac:dyDescent="0.35">
      <c r="A12" t="s">
        <v>982</v>
      </c>
      <c r="B12" t="s">
        <v>14</v>
      </c>
      <c r="C12">
        <v>379508</v>
      </c>
      <c r="D12" t="s">
        <v>53</v>
      </c>
      <c r="E12" t="s">
        <v>983</v>
      </c>
      <c r="F12" t="s">
        <v>17</v>
      </c>
      <c r="G12" t="s">
        <v>291</v>
      </c>
      <c r="H12" t="s">
        <v>19</v>
      </c>
      <c r="I12" t="s">
        <v>56</v>
      </c>
      <c r="J12" t="s">
        <v>21</v>
      </c>
      <c r="K12" t="s">
        <v>22</v>
      </c>
      <c r="L12">
        <v>2272</v>
      </c>
      <c r="M12" t="s">
        <v>23</v>
      </c>
    </row>
    <row r="13" spans="1:13" x14ac:dyDescent="0.35">
      <c r="A13" t="s">
        <v>1515</v>
      </c>
      <c r="B13" t="s">
        <v>317</v>
      </c>
      <c r="C13">
        <v>396820</v>
      </c>
      <c r="D13" t="s">
        <v>53</v>
      </c>
      <c r="E13" t="s">
        <v>1518</v>
      </c>
      <c r="F13" t="s">
        <v>319</v>
      </c>
      <c r="G13" t="s">
        <v>291</v>
      </c>
      <c r="H13" t="s">
        <v>19</v>
      </c>
      <c r="I13" t="s">
        <v>56</v>
      </c>
      <c r="J13" t="s">
        <v>21</v>
      </c>
      <c r="K13" t="s">
        <v>22</v>
      </c>
      <c r="L13">
        <v>2272</v>
      </c>
      <c r="M13" t="s">
        <v>23</v>
      </c>
    </row>
    <row r="14" spans="1:13" x14ac:dyDescent="0.35">
      <c r="A14" t="s">
        <v>170</v>
      </c>
      <c r="B14" t="s">
        <v>14</v>
      </c>
      <c r="C14">
        <v>332918</v>
      </c>
      <c r="D14" t="s">
        <v>53</v>
      </c>
      <c r="E14" t="s">
        <v>171</v>
      </c>
      <c r="F14" t="s">
        <v>17</v>
      </c>
      <c r="G14" t="s">
        <v>172</v>
      </c>
      <c r="H14" t="s">
        <v>19</v>
      </c>
      <c r="I14" t="s">
        <v>56</v>
      </c>
      <c r="J14" t="s">
        <v>21</v>
      </c>
      <c r="K14" t="s">
        <v>22</v>
      </c>
      <c r="L14">
        <v>2088</v>
      </c>
      <c r="M14" t="s">
        <v>23</v>
      </c>
    </row>
    <row r="15" spans="1:13" x14ac:dyDescent="0.35">
      <c r="A15" t="s">
        <v>683</v>
      </c>
      <c r="B15" t="s">
        <v>14</v>
      </c>
      <c r="C15">
        <v>371690</v>
      </c>
      <c r="D15" t="s">
        <v>53</v>
      </c>
      <c r="E15" t="s">
        <v>684</v>
      </c>
      <c r="F15" t="s">
        <v>17</v>
      </c>
      <c r="G15" t="s">
        <v>172</v>
      </c>
      <c r="H15" t="s">
        <v>19</v>
      </c>
      <c r="I15" t="s">
        <v>56</v>
      </c>
      <c r="J15" t="s">
        <v>21</v>
      </c>
      <c r="K15" t="s">
        <v>22</v>
      </c>
      <c r="L15">
        <v>2088</v>
      </c>
      <c r="M15" t="s">
        <v>23</v>
      </c>
    </row>
    <row r="16" spans="1:13" x14ac:dyDescent="0.35">
      <c r="A16" t="s">
        <v>973</v>
      </c>
      <c r="B16" t="s">
        <v>317</v>
      </c>
      <c r="C16">
        <v>379455</v>
      </c>
      <c r="D16" t="s">
        <v>53</v>
      </c>
      <c r="E16" t="s">
        <v>974</v>
      </c>
      <c r="F16" t="s">
        <v>319</v>
      </c>
      <c r="G16" t="s">
        <v>172</v>
      </c>
      <c r="H16" t="s">
        <v>19</v>
      </c>
      <c r="I16" t="s">
        <v>56</v>
      </c>
      <c r="J16" t="s">
        <v>21</v>
      </c>
      <c r="K16" t="s">
        <v>22</v>
      </c>
      <c r="L16">
        <v>2088</v>
      </c>
      <c r="M16" t="s">
        <v>673</v>
      </c>
    </row>
    <row r="17" spans="1:13" x14ac:dyDescent="0.35">
      <c r="A17" t="s">
        <v>721</v>
      </c>
      <c r="B17" t="s">
        <v>14</v>
      </c>
      <c r="C17">
        <v>373581</v>
      </c>
      <c r="D17" t="s">
        <v>53</v>
      </c>
      <c r="E17" t="s">
        <v>722</v>
      </c>
      <c r="F17" t="s">
        <v>17</v>
      </c>
      <c r="G17" t="s">
        <v>723</v>
      </c>
      <c r="H17" t="s">
        <v>19</v>
      </c>
      <c r="I17" t="s">
        <v>56</v>
      </c>
      <c r="J17" t="s">
        <v>21</v>
      </c>
      <c r="K17" t="s">
        <v>148</v>
      </c>
      <c r="L17">
        <v>2207</v>
      </c>
      <c r="M17" t="s">
        <v>23</v>
      </c>
    </row>
    <row r="18" spans="1:13" x14ac:dyDescent="0.35">
      <c r="A18" t="s">
        <v>1515</v>
      </c>
      <c r="B18" t="s">
        <v>14</v>
      </c>
      <c r="C18">
        <v>405306</v>
      </c>
      <c r="D18" t="s">
        <v>53</v>
      </c>
      <c r="E18" t="s">
        <v>1733</v>
      </c>
      <c r="F18" t="s">
        <v>17</v>
      </c>
      <c r="G18" t="s">
        <v>723</v>
      </c>
      <c r="H18" t="s">
        <v>19</v>
      </c>
      <c r="I18" t="s">
        <v>56</v>
      </c>
      <c r="J18" t="s">
        <v>21</v>
      </c>
      <c r="K18" t="s">
        <v>148</v>
      </c>
      <c r="L18">
        <v>2207</v>
      </c>
      <c r="M18" t="s">
        <v>23</v>
      </c>
    </row>
    <row r="19" spans="1:13" x14ac:dyDescent="0.35">
      <c r="A19" t="s">
        <v>1175</v>
      </c>
      <c r="B19" t="s">
        <v>317</v>
      </c>
      <c r="C19">
        <v>385347</v>
      </c>
      <c r="D19" t="s">
        <v>53</v>
      </c>
      <c r="E19" t="s">
        <v>1176</v>
      </c>
      <c r="F19" t="s">
        <v>319</v>
      </c>
      <c r="G19" t="s">
        <v>723</v>
      </c>
      <c r="H19" t="s">
        <v>19</v>
      </c>
      <c r="I19" t="s">
        <v>56</v>
      </c>
      <c r="J19" t="s">
        <v>21</v>
      </c>
      <c r="K19" t="s">
        <v>148</v>
      </c>
      <c r="L19">
        <v>2207</v>
      </c>
      <c r="M19" t="s">
        <v>673</v>
      </c>
    </row>
    <row r="20" spans="1:13" x14ac:dyDescent="0.35">
      <c r="A20">
        <v>0</v>
      </c>
      <c r="B20" t="s">
        <v>317</v>
      </c>
      <c r="C20">
        <v>412864</v>
      </c>
      <c r="D20" t="s">
        <v>53</v>
      </c>
      <c r="E20" t="s">
        <v>1886</v>
      </c>
      <c r="F20" t="s">
        <v>319</v>
      </c>
      <c r="G20" t="s">
        <v>723</v>
      </c>
      <c r="H20" t="s">
        <v>19</v>
      </c>
      <c r="I20" t="s">
        <v>56</v>
      </c>
      <c r="J20" t="s">
        <v>21</v>
      </c>
      <c r="K20" t="s">
        <v>148</v>
      </c>
      <c r="L20">
        <v>2207</v>
      </c>
      <c r="M20" t="s">
        <v>673</v>
      </c>
    </row>
    <row r="21" spans="1:13" x14ac:dyDescent="0.35">
      <c r="A21" t="s">
        <v>1273</v>
      </c>
      <c r="B21" t="s">
        <v>14</v>
      </c>
      <c r="C21">
        <v>388713</v>
      </c>
      <c r="D21" t="s">
        <v>53</v>
      </c>
      <c r="E21" t="s">
        <v>1274</v>
      </c>
      <c r="F21" t="s">
        <v>17</v>
      </c>
      <c r="G21" t="s">
        <v>1275</v>
      </c>
      <c r="H21" t="s">
        <v>19</v>
      </c>
      <c r="I21" t="s">
        <v>56</v>
      </c>
      <c r="J21" t="s">
        <v>21</v>
      </c>
      <c r="K21" t="s">
        <v>78</v>
      </c>
      <c r="L21">
        <v>2076</v>
      </c>
      <c r="M21" t="s">
        <v>23</v>
      </c>
    </row>
    <row r="22" spans="1:13" x14ac:dyDescent="0.35">
      <c r="A22" t="s">
        <v>1295</v>
      </c>
      <c r="B22" t="s">
        <v>317</v>
      </c>
      <c r="C22">
        <v>389607</v>
      </c>
      <c r="D22" t="s">
        <v>53</v>
      </c>
      <c r="E22" t="s">
        <v>1296</v>
      </c>
      <c r="F22" t="s">
        <v>319</v>
      </c>
      <c r="G22" t="s">
        <v>1275</v>
      </c>
      <c r="H22" t="s">
        <v>19</v>
      </c>
      <c r="I22" t="s">
        <v>56</v>
      </c>
      <c r="J22" t="s">
        <v>21</v>
      </c>
      <c r="K22" t="s">
        <v>78</v>
      </c>
      <c r="L22">
        <v>2076</v>
      </c>
      <c r="M22" t="s">
        <v>673</v>
      </c>
    </row>
    <row r="23" spans="1:13" x14ac:dyDescent="0.35">
      <c r="A23" t="s">
        <v>1351</v>
      </c>
      <c r="B23" t="s">
        <v>14</v>
      </c>
      <c r="C23">
        <v>391128</v>
      </c>
      <c r="D23" t="s">
        <v>53</v>
      </c>
      <c r="E23" t="s">
        <v>1352</v>
      </c>
      <c r="F23" t="s">
        <v>17</v>
      </c>
      <c r="G23" t="s">
        <v>1001</v>
      </c>
      <c r="H23" t="s">
        <v>19</v>
      </c>
      <c r="I23" t="s">
        <v>56</v>
      </c>
      <c r="J23" t="s">
        <v>21</v>
      </c>
      <c r="K23" t="s">
        <v>322</v>
      </c>
      <c r="L23">
        <v>2239</v>
      </c>
      <c r="M23" t="s">
        <v>23</v>
      </c>
    </row>
    <row r="24" spans="1:13" x14ac:dyDescent="0.35">
      <c r="A24" t="s">
        <v>999</v>
      </c>
      <c r="B24" t="s">
        <v>317</v>
      </c>
      <c r="C24">
        <v>380141</v>
      </c>
      <c r="D24" t="s">
        <v>53</v>
      </c>
      <c r="E24" t="s">
        <v>1000</v>
      </c>
      <c r="F24" t="s">
        <v>319</v>
      </c>
      <c r="G24" t="s">
        <v>1001</v>
      </c>
      <c r="H24" t="s">
        <v>19</v>
      </c>
      <c r="I24" t="s">
        <v>56</v>
      </c>
      <c r="J24" t="s">
        <v>21</v>
      </c>
      <c r="K24" t="s">
        <v>322</v>
      </c>
      <c r="L24">
        <v>2239</v>
      </c>
      <c r="M24" t="s">
        <v>673</v>
      </c>
    </row>
    <row r="25" spans="1:13" x14ac:dyDescent="0.35">
      <c r="A25" t="s">
        <v>299</v>
      </c>
      <c r="B25" t="s">
        <v>14</v>
      </c>
      <c r="C25">
        <v>341601</v>
      </c>
      <c r="D25" t="s">
        <v>53</v>
      </c>
      <c r="E25" t="s">
        <v>300</v>
      </c>
      <c r="F25" t="s">
        <v>17</v>
      </c>
      <c r="G25" t="s">
        <v>301</v>
      </c>
      <c r="H25" t="s">
        <v>19</v>
      </c>
      <c r="I25" t="s">
        <v>56</v>
      </c>
      <c r="J25" t="s">
        <v>21</v>
      </c>
      <c r="K25" t="s">
        <v>36</v>
      </c>
      <c r="L25">
        <v>1102</v>
      </c>
      <c r="M25" t="s">
        <v>23</v>
      </c>
    </row>
    <row r="26" spans="1:13" x14ac:dyDescent="0.35">
      <c r="A26" t="s">
        <v>1389</v>
      </c>
      <c r="B26" t="s">
        <v>14</v>
      </c>
      <c r="C26">
        <v>392408</v>
      </c>
      <c r="D26" t="s">
        <v>53</v>
      </c>
      <c r="E26" t="s">
        <v>1390</v>
      </c>
      <c r="F26" t="s">
        <v>17</v>
      </c>
      <c r="G26" t="s">
        <v>301</v>
      </c>
      <c r="H26" t="s">
        <v>19</v>
      </c>
      <c r="I26" t="s">
        <v>56</v>
      </c>
      <c r="J26" t="s">
        <v>21</v>
      </c>
      <c r="K26" t="s">
        <v>36</v>
      </c>
      <c r="L26">
        <v>1102</v>
      </c>
      <c r="M26" t="s">
        <v>23</v>
      </c>
    </row>
    <row r="27" spans="1:13" x14ac:dyDescent="0.35">
      <c r="A27" t="s">
        <v>1387</v>
      </c>
      <c r="B27" t="s">
        <v>317</v>
      </c>
      <c r="C27">
        <v>392407</v>
      </c>
      <c r="D27" t="s">
        <v>53</v>
      </c>
      <c r="E27" t="s">
        <v>1388</v>
      </c>
      <c r="F27" t="s">
        <v>319</v>
      </c>
      <c r="G27" t="s">
        <v>301</v>
      </c>
      <c r="H27" t="s">
        <v>19</v>
      </c>
      <c r="I27" t="s">
        <v>56</v>
      </c>
      <c r="J27" t="s">
        <v>21</v>
      </c>
      <c r="K27" t="s">
        <v>36</v>
      </c>
      <c r="L27">
        <v>1102</v>
      </c>
      <c r="M27" t="s">
        <v>23</v>
      </c>
    </row>
    <row r="28" spans="1:13" x14ac:dyDescent="0.35">
      <c r="A28" t="s">
        <v>554</v>
      </c>
      <c r="B28" t="s">
        <v>14</v>
      </c>
      <c r="C28">
        <v>362086</v>
      </c>
      <c r="D28" t="s">
        <v>53</v>
      </c>
      <c r="E28" t="s">
        <v>555</v>
      </c>
      <c r="F28" t="s">
        <v>17</v>
      </c>
      <c r="G28" t="s">
        <v>556</v>
      </c>
      <c r="H28" t="s">
        <v>19</v>
      </c>
      <c r="I28" t="s">
        <v>56</v>
      </c>
      <c r="J28" t="s">
        <v>21</v>
      </c>
      <c r="K28" t="s">
        <v>73</v>
      </c>
      <c r="L28">
        <v>2278</v>
      </c>
      <c r="M28" t="s">
        <v>23</v>
      </c>
    </row>
    <row r="29" spans="1:13" x14ac:dyDescent="0.35">
      <c r="A29">
        <v>0</v>
      </c>
      <c r="B29" t="s">
        <v>317</v>
      </c>
      <c r="C29">
        <v>409245</v>
      </c>
      <c r="D29" t="s">
        <v>53</v>
      </c>
      <c r="E29" t="s">
        <v>1823</v>
      </c>
      <c r="F29" t="s">
        <v>319</v>
      </c>
      <c r="G29" t="s">
        <v>556</v>
      </c>
      <c r="H29" t="s">
        <v>19</v>
      </c>
      <c r="I29" t="s">
        <v>56</v>
      </c>
      <c r="J29" t="s">
        <v>21</v>
      </c>
      <c r="K29" t="s">
        <v>73</v>
      </c>
      <c r="L29">
        <v>2278</v>
      </c>
      <c r="M29" t="s">
        <v>23</v>
      </c>
    </row>
    <row r="30" spans="1:13" x14ac:dyDescent="0.35">
      <c r="A30" t="s">
        <v>444</v>
      </c>
      <c r="B30" t="s">
        <v>14</v>
      </c>
      <c r="C30">
        <v>351470</v>
      </c>
      <c r="D30" t="s">
        <v>53</v>
      </c>
      <c r="E30" t="s">
        <v>445</v>
      </c>
      <c r="F30" t="s">
        <v>17</v>
      </c>
      <c r="G30" t="s">
        <v>446</v>
      </c>
      <c r="H30" t="s">
        <v>19</v>
      </c>
      <c r="I30" t="s">
        <v>56</v>
      </c>
      <c r="J30" t="s">
        <v>21</v>
      </c>
      <c r="K30" t="s">
        <v>73</v>
      </c>
      <c r="L30">
        <v>1104</v>
      </c>
      <c r="M30" t="s">
        <v>23</v>
      </c>
    </row>
    <row r="31" spans="1:13" x14ac:dyDescent="0.35">
      <c r="A31" t="s">
        <v>749</v>
      </c>
      <c r="B31" t="s">
        <v>317</v>
      </c>
      <c r="C31">
        <v>373721</v>
      </c>
      <c r="D31" t="s">
        <v>53</v>
      </c>
      <c r="E31" t="s">
        <v>750</v>
      </c>
      <c r="F31" t="s">
        <v>319</v>
      </c>
      <c r="G31" t="s">
        <v>446</v>
      </c>
      <c r="H31" t="s">
        <v>19</v>
      </c>
      <c r="I31" t="s">
        <v>56</v>
      </c>
      <c r="J31" t="s">
        <v>21</v>
      </c>
      <c r="K31" t="s">
        <v>73</v>
      </c>
      <c r="L31">
        <v>1104</v>
      </c>
      <c r="M31" t="s">
        <v>23</v>
      </c>
    </row>
    <row r="32" spans="1:13" x14ac:dyDescent="0.35">
      <c r="A32" t="s">
        <v>183</v>
      </c>
      <c r="B32" t="s">
        <v>14</v>
      </c>
      <c r="C32">
        <v>334941</v>
      </c>
      <c r="D32" t="s">
        <v>53</v>
      </c>
      <c r="E32" t="s">
        <v>184</v>
      </c>
      <c r="F32" t="s">
        <v>17</v>
      </c>
      <c r="G32" t="s">
        <v>185</v>
      </c>
      <c r="H32" t="s">
        <v>19</v>
      </c>
      <c r="I32" t="s">
        <v>56</v>
      </c>
      <c r="J32" t="s">
        <v>21</v>
      </c>
      <c r="K32" t="s">
        <v>73</v>
      </c>
      <c r="L32">
        <v>1001</v>
      </c>
      <c r="M32" t="s">
        <v>23</v>
      </c>
    </row>
    <row r="33" spans="1:13" x14ac:dyDescent="0.35">
      <c r="A33" t="s">
        <v>1087</v>
      </c>
      <c r="B33" t="s">
        <v>317</v>
      </c>
      <c r="C33">
        <v>382688</v>
      </c>
      <c r="D33" t="s">
        <v>53</v>
      </c>
      <c r="E33" t="s">
        <v>1088</v>
      </c>
      <c r="F33" t="s">
        <v>319</v>
      </c>
      <c r="G33" t="s">
        <v>185</v>
      </c>
      <c r="H33" t="s">
        <v>19</v>
      </c>
      <c r="I33" t="s">
        <v>56</v>
      </c>
      <c r="J33" t="s">
        <v>21</v>
      </c>
      <c r="K33" t="s">
        <v>73</v>
      </c>
      <c r="L33">
        <v>1001</v>
      </c>
      <c r="M33" t="s">
        <v>673</v>
      </c>
    </row>
    <row r="34" spans="1:13" x14ac:dyDescent="0.35">
      <c r="A34">
        <v>0</v>
      </c>
      <c r="B34" t="s">
        <v>14</v>
      </c>
      <c r="C34">
        <v>409372</v>
      </c>
      <c r="D34" t="s">
        <v>53</v>
      </c>
      <c r="E34" t="s">
        <v>1834</v>
      </c>
      <c r="F34" t="s">
        <v>17</v>
      </c>
      <c r="G34" t="s">
        <v>1091</v>
      </c>
      <c r="H34" t="s">
        <v>19</v>
      </c>
      <c r="I34" t="s">
        <v>56</v>
      </c>
      <c r="J34" t="s">
        <v>21</v>
      </c>
      <c r="K34" t="s">
        <v>57</v>
      </c>
      <c r="L34">
        <v>2174</v>
      </c>
      <c r="M34" t="s">
        <v>23</v>
      </c>
    </row>
    <row r="35" spans="1:13" x14ac:dyDescent="0.35">
      <c r="A35">
        <v>0</v>
      </c>
      <c r="B35" t="s">
        <v>14</v>
      </c>
      <c r="C35">
        <v>413510</v>
      </c>
      <c r="D35" t="s">
        <v>53</v>
      </c>
      <c r="E35" t="s">
        <v>1904</v>
      </c>
      <c r="F35" t="s">
        <v>17</v>
      </c>
      <c r="G35" t="s">
        <v>1091</v>
      </c>
      <c r="H35" t="s">
        <v>19</v>
      </c>
      <c r="I35" t="s">
        <v>56</v>
      </c>
      <c r="J35" t="s">
        <v>21</v>
      </c>
      <c r="K35" t="s">
        <v>57</v>
      </c>
      <c r="L35">
        <v>2174</v>
      </c>
      <c r="M35" t="s">
        <v>23</v>
      </c>
    </row>
    <row r="36" spans="1:13" x14ac:dyDescent="0.35">
      <c r="A36" t="s">
        <v>1089</v>
      </c>
      <c r="B36" t="s">
        <v>317</v>
      </c>
      <c r="C36">
        <v>382811</v>
      </c>
      <c r="D36" t="s">
        <v>53</v>
      </c>
      <c r="E36" t="s">
        <v>1090</v>
      </c>
      <c r="F36" t="s">
        <v>319</v>
      </c>
      <c r="G36" t="s">
        <v>1091</v>
      </c>
      <c r="H36" t="s">
        <v>19</v>
      </c>
      <c r="I36" t="s">
        <v>56</v>
      </c>
      <c r="J36" t="s">
        <v>21</v>
      </c>
      <c r="K36" t="s">
        <v>57</v>
      </c>
      <c r="L36">
        <v>2174</v>
      </c>
      <c r="M36" t="s">
        <v>673</v>
      </c>
    </row>
    <row r="37" spans="1:13" x14ac:dyDescent="0.35">
      <c r="A37">
        <v>0</v>
      </c>
      <c r="B37" t="s">
        <v>317</v>
      </c>
      <c r="C37">
        <v>406387</v>
      </c>
      <c r="D37" t="s">
        <v>53</v>
      </c>
      <c r="E37" t="s">
        <v>1762</v>
      </c>
      <c r="F37" t="s">
        <v>319</v>
      </c>
      <c r="G37" t="s">
        <v>1091</v>
      </c>
      <c r="H37" t="s">
        <v>19</v>
      </c>
      <c r="I37" t="s">
        <v>56</v>
      </c>
      <c r="J37" t="s">
        <v>21</v>
      </c>
      <c r="K37" t="s">
        <v>57</v>
      </c>
      <c r="L37">
        <v>2174</v>
      </c>
      <c r="M37" t="s">
        <v>673</v>
      </c>
    </row>
    <row r="38" spans="1:13" x14ac:dyDescent="0.35">
      <c r="A38" t="s">
        <v>112</v>
      </c>
      <c r="B38" t="s">
        <v>14</v>
      </c>
      <c r="C38">
        <v>328637</v>
      </c>
      <c r="D38" t="s">
        <v>53</v>
      </c>
      <c r="E38" t="s">
        <v>113</v>
      </c>
      <c r="F38" t="s">
        <v>17</v>
      </c>
      <c r="G38" t="s">
        <v>114</v>
      </c>
      <c r="H38" t="s">
        <v>19</v>
      </c>
      <c r="I38" t="s">
        <v>56</v>
      </c>
      <c r="J38" t="s">
        <v>21</v>
      </c>
      <c r="K38" t="s">
        <v>57</v>
      </c>
      <c r="L38">
        <v>2205</v>
      </c>
      <c r="M38" t="s">
        <v>23</v>
      </c>
    </row>
    <row r="39" spans="1:13" x14ac:dyDescent="0.35">
      <c r="A39" t="s">
        <v>743</v>
      </c>
      <c r="B39" t="s">
        <v>14</v>
      </c>
      <c r="C39">
        <v>373717</v>
      </c>
      <c r="D39" t="s">
        <v>53</v>
      </c>
      <c r="E39" t="s">
        <v>744</v>
      </c>
      <c r="F39" t="s">
        <v>17</v>
      </c>
      <c r="G39" t="s">
        <v>114</v>
      </c>
      <c r="H39" t="s">
        <v>19</v>
      </c>
      <c r="I39" t="s">
        <v>56</v>
      </c>
      <c r="J39" t="s">
        <v>21</v>
      </c>
      <c r="K39" t="s">
        <v>57</v>
      </c>
      <c r="L39">
        <v>2205</v>
      </c>
      <c r="M39" t="s">
        <v>23</v>
      </c>
    </row>
    <row r="40" spans="1:13" x14ac:dyDescent="0.35">
      <c r="A40">
        <v>0</v>
      </c>
      <c r="B40" t="s">
        <v>317</v>
      </c>
      <c r="C40">
        <v>413516</v>
      </c>
      <c r="D40" t="s">
        <v>53</v>
      </c>
      <c r="E40" t="s">
        <v>1905</v>
      </c>
      <c r="F40" t="s">
        <v>319</v>
      </c>
      <c r="G40" t="s">
        <v>114</v>
      </c>
      <c r="H40" t="s">
        <v>19</v>
      </c>
      <c r="I40" t="s">
        <v>56</v>
      </c>
      <c r="J40" t="s">
        <v>21</v>
      </c>
      <c r="K40" t="s">
        <v>57</v>
      </c>
      <c r="L40">
        <v>2205</v>
      </c>
      <c r="M40" t="s">
        <v>673</v>
      </c>
    </row>
    <row r="41" spans="1:13" x14ac:dyDescent="0.35">
      <c r="A41" t="s">
        <v>539</v>
      </c>
      <c r="B41" t="s">
        <v>14</v>
      </c>
      <c r="C41">
        <v>360330</v>
      </c>
      <c r="D41" t="s">
        <v>53</v>
      </c>
      <c r="E41" t="s">
        <v>540</v>
      </c>
      <c r="F41" t="s">
        <v>17</v>
      </c>
      <c r="G41" t="s">
        <v>541</v>
      </c>
      <c r="H41" t="s">
        <v>19</v>
      </c>
      <c r="I41" t="s">
        <v>56</v>
      </c>
      <c r="J41" t="s">
        <v>21</v>
      </c>
      <c r="K41" t="s">
        <v>57</v>
      </c>
      <c r="L41">
        <v>1103</v>
      </c>
      <c r="M41" t="s">
        <v>23</v>
      </c>
    </row>
    <row r="42" spans="1:13" x14ac:dyDescent="0.35">
      <c r="A42" t="s">
        <v>1096</v>
      </c>
      <c r="B42" t="s">
        <v>14</v>
      </c>
      <c r="C42">
        <v>382944</v>
      </c>
      <c r="D42" t="s">
        <v>53</v>
      </c>
      <c r="E42" t="s">
        <v>1097</v>
      </c>
      <c r="F42" t="s">
        <v>17</v>
      </c>
      <c r="G42" t="s">
        <v>541</v>
      </c>
      <c r="H42" t="s">
        <v>19</v>
      </c>
      <c r="I42" t="s">
        <v>56</v>
      </c>
      <c r="J42" t="s">
        <v>21</v>
      </c>
      <c r="K42" t="s">
        <v>57</v>
      </c>
      <c r="L42">
        <v>1103</v>
      </c>
      <c r="M42" t="s">
        <v>23</v>
      </c>
    </row>
    <row r="43" spans="1:13" x14ac:dyDescent="0.35">
      <c r="A43" t="s">
        <v>1104</v>
      </c>
      <c r="B43" t="s">
        <v>317</v>
      </c>
      <c r="C43">
        <v>382955</v>
      </c>
      <c r="D43" t="s">
        <v>53</v>
      </c>
      <c r="E43" t="s">
        <v>1105</v>
      </c>
      <c r="F43" t="s">
        <v>319</v>
      </c>
      <c r="G43" t="s">
        <v>541</v>
      </c>
      <c r="H43" t="s">
        <v>19</v>
      </c>
      <c r="I43" t="s">
        <v>56</v>
      </c>
      <c r="J43" t="s">
        <v>21</v>
      </c>
      <c r="K43" t="s">
        <v>57</v>
      </c>
      <c r="L43">
        <v>1103</v>
      </c>
      <c r="M43" t="s">
        <v>673</v>
      </c>
    </row>
    <row r="44" spans="1:13" x14ac:dyDescent="0.35">
      <c r="A44" t="s">
        <v>515</v>
      </c>
      <c r="B44" t="s">
        <v>14</v>
      </c>
      <c r="C44">
        <v>358106</v>
      </c>
      <c r="D44" t="s">
        <v>53</v>
      </c>
      <c r="E44" t="s">
        <v>516</v>
      </c>
      <c r="F44" t="s">
        <v>17</v>
      </c>
      <c r="G44" t="s">
        <v>517</v>
      </c>
      <c r="H44" t="s">
        <v>19</v>
      </c>
      <c r="I44" t="s">
        <v>56</v>
      </c>
      <c r="J44" t="s">
        <v>21</v>
      </c>
      <c r="K44" t="s">
        <v>57</v>
      </c>
      <c r="L44">
        <v>2089</v>
      </c>
      <c r="M44" t="s">
        <v>23</v>
      </c>
    </row>
    <row r="45" spans="1:13" x14ac:dyDescent="0.35">
      <c r="A45">
        <v>0</v>
      </c>
      <c r="B45" t="s">
        <v>14</v>
      </c>
      <c r="C45">
        <v>413520</v>
      </c>
      <c r="D45" t="s">
        <v>53</v>
      </c>
      <c r="E45" t="s">
        <v>1908</v>
      </c>
      <c r="F45" t="s">
        <v>17</v>
      </c>
      <c r="G45" t="s">
        <v>517</v>
      </c>
      <c r="H45" t="s">
        <v>19</v>
      </c>
      <c r="I45" t="s">
        <v>56</v>
      </c>
      <c r="J45" t="s">
        <v>21</v>
      </c>
      <c r="K45" t="s">
        <v>57</v>
      </c>
      <c r="L45">
        <v>2089</v>
      </c>
      <c r="M45" t="s">
        <v>23</v>
      </c>
    </row>
    <row r="46" spans="1:13" x14ac:dyDescent="0.35">
      <c r="A46">
        <v>0</v>
      </c>
      <c r="B46" t="s">
        <v>317</v>
      </c>
      <c r="C46">
        <v>413517</v>
      </c>
      <c r="D46" t="s">
        <v>53</v>
      </c>
      <c r="E46" t="s">
        <v>1906</v>
      </c>
      <c r="F46" t="s">
        <v>319</v>
      </c>
      <c r="G46" t="s">
        <v>517</v>
      </c>
      <c r="H46" t="s">
        <v>19</v>
      </c>
      <c r="I46" t="s">
        <v>56</v>
      </c>
      <c r="J46" t="s">
        <v>21</v>
      </c>
      <c r="K46" t="s">
        <v>57</v>
      </c>
      <c r="L46">
        <v>2089</v>
      </c>
      <c r="M46" t="s">
        <v>673</v>
      </c>
    </row>
    <row r="47" spans="1:13" x14ac:dyDescent="0.35">
      <c r="A47" t="s">
        <v>52</v>
      </c>
      <c r="B47" t="s">
        <v>14</v>
      </c>
      <c r="C47">
        <v>328385</v>
      </c>
      <c r="D47" t="s">
        <v>53</v>
      </c>
      <c r="E47" t="s">
        <v>54</v>
      </c>
      <c r="F47" t="s">
        <v>17</v>
      </c>
      <c r="G47" t="s">
        <v>55</v>
      </c>
      <c r="H47" t="s">
        <v>19</v>
      </c>
      <c r="I47" t="s">
        <v>56</v>
      </c>
      <c r="J47" t="s">
        <v>21</v>
      </c>
      <c r="K47" t="s">
        <v>57</v>
      </c>
      <c r="L47">
        <v>2206</v>
      </c>
      <c r="M47" t="s">
        <v>23</v>
      </c>
    </row>
    <row r="48" spans="1:13" x14ac:dyDescent="0.35">
      <c r="A48">
        <v>0</v>
      </c>
      <c r="B48" t="s">
        <v>14</v>
      </c>
      <c r="C48">
        <v>396867</v>
      </c>
      <c r="D48" t="s">
        <v>53</v>
      </c>
      <c r="E48" t="s">
        <v>1528</v>
      </c>
      <c r="F48" t="s">
        <v>17</v>
      </c>
      <c r="G48" t="s">
        <v>55</v>
      </c>
      <c r="H48" t="s">
        <v>19</v>
      </c>
      <c r="I48" t="s">
        <v>56</v>
      </c>
      <c r="J48" t="s">
        <v>21</v>
      </c>
      <c r="K48" t="s">
        <v>57</v>
      </c>
      <c r="L48">
        <v>2206</v>
      </c>
      <c r="M48" t="s">
        <v>23</v>
      </c>
    </row>
    <row r="49" spans="1:13" x14ac:dyDescent="0.35">
      <c r="A49">
        <v>0</v>
      </c>
      <c r="B49" t="s">
        <v>317</v>
      </c>
      <c r="C49">
        <v>400000</v>
      </c>
      <c r="D49" t="s">
        <v>53</v>
      </c>
      <c r="E49" t="s">
        <v>1570</v>
      </c>
      <c r="F49" t="s">
        <v>319</v>
      </c>
      <c r="G49" t="s">
        <v>55</v>
      </c>
      <c r="H49" t="s">
        <v>19</v>
      </c>
      <c r="I49" t="s">
        <v>56</v>
      </c>
      <c r="J49" t="s">
        <v>21</v>
      </c>
      <c r="K49" t="s">
        <v>57</v>
      </c>
      <c r="L49">
        <v>2206</v>
      </c>
      <c r="M49" t="s">
        <v>673</v>
      </c>
    </row>
    <row r="50" spans="1:13" x14ac:dyDescent="0.35">
      <c r="A50" t="s">
        <v>951</v>
      </c>
      <c r="B50" t="s">
        <v>14</v>
      </c>
      <c r="C50">
        <v>379079</v>
      </c>
      <c r="D50" t="s">
        <v>53</v>
      </c>
      <c r="E50" t="s">
        <v>952</v>
      </c>
      <c r="F50" t="s">
        <v>17</v>
      </c>
      <c r="G50" t="s">
        <v>953</v>
      </c>
      <c r="H50" t="s">
        <v>19</v>
      </c>
      <c r="I50" t="s">
        <v>56</v>
      </c>
      <c r="J50" t="s">
        <v>21</v>
      </c>
      <c r="K50" t="s">
        <v>246</v>
      </c>
      <c r="L50">
        <v>2193</v>
      </c>
      <c r="M50" t="s">
        <v>23</v>
      </c>
    </row>
    <row r="51" spans="1:13" x14ac:dyDescent="0.35">
      <c r="A51">
        <v>0</v>
      </c>
      <c r="B51" t="s">
        <v>317</v>
      </c>
      <c r="C51">
        <v>397035</v>
      </c>
      <c r="D51" t="s">
        <v>53</v>
      </c>
      <c r="E51" t="s">
        <v>1532</v>
      </c>
      <c r="F51" t="s">
        <v>319</v>
      </c>
      <c r="G51" t="s">
        <v>953</v>
      </c>
      <c r="H51" t="s">
        <v>19</v>
      </c>
      <c r="I51" t="s">
        <v>953</v>
      </c>
      <c r="J51" t="s">
        <v>21</v>
      </c>
      <c r="K51" t="s">
        <v>246</v>
      </c>
      <c r="L51">
        <v>2193</v>
      </c>
      <c r="M51" t="s">
        <v>673</v>
      </c>
    </row>
    <row r="52" spans="1:13" x14ac:dyDescent="0.35">
      <c r="A52" t="s">
        <v>1515</v>
      </c>
      <c r="B52" t="s">
        <v>14</v>
      </c>
      <c r="C52">
        <v>401091</v>
      </c>
      <c r="D52" t="s">
        <v>53</v>
      </c>
      <c r="E52" t="s">
        <v>1613</v>
      </c>
      <c r="F52" t="s">
        <v>17</v>
      </c>
      <c r="G52" t="s">
        <v>1614</v>
      </c>
      <c r="H52" t="s">
        <v>19</v>
      </c>
      <c r="I52" t="s">
        <v>56</v>
      </c>
      <c r="J52" t="s">
        <v>21</v>
      </c>
      <c r="K52" t="s">
        <v>246</v>
      </c>
      <c r="L52">
        <v>2194</v>
      </c>
      <c r="M52" t="s">
        <v>23</v>
      </c>
    </row>
    <row r="53" spans="1:13" x14ac:dyDescent="0.35">
      <c r="A53">
        <v>0</v>
      </c>
      <c r="B53" t="s">
        <v>317</v>
      </c>
      <c r="C53">
        <v>401516</v>
      </c>
      <c r="D53" t="s">
        <v>53</v>
      </c>
      <c r="E53" t="s">
        <v>1622</v>
      </c>
      <c r="F53" t="s">
        <v>319</v>
      </c>
      <c r="G53" t="s">
        <v>1614</v>
      </c>
      <c r="H53" t="s">
        <v>19</v>
      </c>
      <c r="I53" t="s">
        <v>56</v>
      </c>
      <c r="J53" t="s">
        <v>21</v>
      </c>
      <c r="K53" t="s">
        <v>246</v>
      </c>
      <c r="L53">
        <v>2194</v>
      </c>
      <c r="M53" t="s">
        <v>673</v>
      </c>
    </row>
    <row r="54" spans="1:13" x14ac:dyDescent="0.35">
      <c r="A54" t="s">
        <v>247</v>
      </c>
      <c r="B54" t="s">
        <v>14</v>
      </c>
      <c r="C54">
        <v>336813</v>
      </c>
      <c r="D54" t="s">
        <v>53</v>
      </c>
      <c r="E54" t="s">
        <v>248</v>
      </c>
      <c r="F54" t="s">
        <v>17</v>
      </c>
      <c r="G54" t="s">
        <v>249</v>
      </c>
      <c r="H54" t="s">
        <v>19</v>
      </c>
      <c r="I54" t="s">
        <v>56</v>
      </c>
      <c r="J54" t="s">
        <v>21</v>
      </c>
      <c r="K54" t="s">
        <v>246</v>
      </c>
      <c r="L54">
        <v>2091</v>
      </c>
      <c r="M54" t="s">
        <v>23</v>
      </c>
    </row>
    <row r="55" spans="1:13" x14ac:dyDescent="0.35">
      <c r="A55">
        <v>0</v>
      </c>
      <c r="B55" t="s">
        <v>317</v>
      </c>
      <c r="C55">
        <v>413680</v>
      </c>
      <c r="D55" t="s">
        <v>53</v>
      </c>
      <c r="E55" t="s">
        <v>1911</v>
      </c>
      <c r="F55" t="s">
        <v>319</v>
      </c>
      <c r="G55" t="s">
        <v>249</v>
      </c>
      <c r="H55" t="s">
        <v>19</v>
      </c>
      <c r="I55" t="s">
        <v>56</v>
      </c>
      <c r="J55" t="s">
        <v>21</v>
      </c>
      <c r="K55" t="s">
        <v>246</v>
      </c>
      <c r="L55">
        <v>2091</v>
      </c>
      <c r="M55" t="s">
        <v>673</v>
      </c>
    </row>
    <row r="56" spans="1:13" x14ac:dyDescent="0.35">
      <c r="A56" t="s">
        <v>1077</v>
      </c>
      <c r="B56" t="s">
        <v>14</v>
      </c>
      <c r="C56">
        <v>382049</v>
      </c>
      <c r="D56" t="s">
        <v>53</v>
      </c>
      <c r="E56" t="s">
        <v>1078</v>
      </c>
      <c r="F56" t="s">
        <v>17</v>
      </c>
      <c r="G56" t="s">
        <v>1079</v>
      </c>
      <c r="H56" t="s">
        <v>19</v>
      </c>
      <c r="I56" t="s">
        <v>56</v>
      </c>
      <c r="J56" t="s">
        <v>21</v>
      </c>
      <c r="K56" t="s">
        <v>123</v>
      </c>
      <c r="L56">
        <v>2279</v>
      </c>
      <c r="M56" t="s">
        <v>23</v>
      </c>
    </row>
    <row r="57" spans="1:13" x14ac:dyDescent="0.35">
      <c r="A57" t="s">
        <v>1364</v>
      </c>
      <c r="B57" t="s">
        <v>14</v>
      </c>
      <c r="C57">
        <v>391805</v>
      </c>
      <c r="D57" t="s">
        <v>53</v>
      </c>
      <c r="E57" t="s">
        <v>1365</v>
      </c>
      <c r="F57" t="s">
        <v>17</v>
      </c>
      <c r="G57" t="s">
        <v>1079</v>
      </c>
      <c r="H57" t="s">
        <v>19</v>
      </c>
      <c r="I57" t="s">
        <v>56</v>
      </c>
      <c r="J57" t="s">
        <v>21</v>
      </c>
      <c r="K57" t="s">
        <v>123</v>
      </c>
      <c r="L57">
        <v>2279</v>
      </c>
      <c r="M57" t="s">
        <v>23</v>
      </c>
    </row>
    <row r="58" spans="1:13" x14ac:dyDescent="0.35">
      <c r="A58" t="s">
        <v>1460</v>
      </c>
      <c r="B58" t="s">
        <v>317</v>
      </c>
      <c r="C58">
        <v>393369</v>
      </c>
      <c r="D58" t="s">
        <v>53</v>
      </c>
      <c r="E58" t="s">
        <v>1461</v>
      </c>
      <c r="F58" t="s">
        <v>319</v>
      </c>
      <c r="G58" t="s">
        <v>1079</v>
      </c>
      <c r="H58" t="s">
        <v>19</v>
      </c>
      <c r="I58" t="s">
        <v>56</v>
      </c>
      <c r="J58" t="s">
        <v>21</v>
      </c>
      <c r="K58" t="s">
        <v>123</v>
      </c>
      <c r="L58">
        <v>2279</v>
      </c>
      <c r="M58" t="s">
        <v>673</v>
      </c>
    </row>
    <row r="59" spans="1:13" x14ac:dyDescent="0.35">
      <c r="A59" t="s">
        <v>948</v>
      </c>
      <c r="B59" t="s">
        <v>14</v>
      </c>
      <c r="C59">
        <v>378512</v>
      </c>
      <c r="D59" t="s">
        <v>53</v>
      </c>
      <c r="E59" t="s">
        <v>949</v>
      </c>
      <c r="F59" t="s">
        <v>17</v>
      </c>
      <c r="G59" t="s">
        <v>950</v>
      </c>
      <c r="H59" t="s">
        <v>19</v>
      </c>
      <c r="I59" t="s">
        <v>56</v>
      </c>
      <c r="J59" t="s">
        <v>21</v>
      </c>
      <c r="K59" t="s">
        <v>162</v>
      </c>
      <c r="L59">
        <v>2292</v>
      </c>
      <c r="M59" t="s">
        <v>23</v>
      </c>
    </row>
    <row r="60" spans="1:13" x14ac:dyDescent="0.35">
      <c r="A60" t="s">
        <v>984</v>
      </c>
      <c r="B60" t="s">
        <v>14</v>
      </c>
      <c r="C60">
        <v>379860</v>
      </c>
      <c r="D60" t="s">
        <v>53</v>
      </c>
      <c r="E60" t="s">
        <v>985</v>
      </c>
      <c r="F60" t="s">
        <v>17</v>
      </c>
      <c r="G60" t="s">
        <v>950</v>
      </c>
      <c r="H60" t="s">
        <v>19</v>
      </c>
      <c r="I60" t="s">
        <v>56</v>
      </c>
      <c r="J60" t="s">
        <v>21</v>
      </c>
      <c r="K60" t="s">
        <v>162</v>
      </c>
      <c r="L60">
        <v>2292</v>
      </c>
      <c r="M60" t="s">
        <v>23</v>
      </c>
    </row>
    <row r="61" spans="1:13" x14ac:dyDescent="0.35">
      <c r="A61" t="s">
        <v>1081</v>
      </c>
      <c r="B61" t="s">
        <v>317</v>
      </c>
      <c r="C61">
        <v>382069</v>
      </c>
      <c r="D61" t="s">
        <v>53</v>
      </c>
      <c r="E61" t="s">
        <v>1082</v>
      </c>
      <c r="F61" t="s">
        <v>319</v>
      </c>
      <c r="G61" t="s">
        <v>950</v>
      </c>
      <c r="H61" t="s">
        <v>19</v>
      </c>
      <c r="I61" t="s">
        <v>56</v>
      </c>
      <c r="J61" t="s">
        <v>21</v>
      </c>
      <c r="K61" t="s">
        <v>162</v>
      </c>
      <c r="L61">
        <v>2292</v>
      </c>
      <c r="M61" t="s">
        <v>673</v>
      </c>
    </row>
    <row r="62" spans="1:13" x14ac:dyDescent="0.35">
      <c r="A62" t="s">
        <v>548</v>
      </c>
      <c r="B62" t="s">
        <v>14</v>
      </c>
      <c r="C62">
        <v>360917</v>
      </c>
      <c r="D62" t="s">
        <v>53</v>
      </c>
      <c r="E62" t="s">
        <v>549</v>
      </c>
      <c r="F62" t="s">
        <v>17</v>
      </c>
      <c r="G62" t="s">
        <v>550</v>
      </c>
      <c r="H62" t="s">
        <v>19</v>
      </c>
      <c r="I62" t="s">
        <v>56</v>
      </c>
      <c r="J62" t="s">
        <v>21</v>
      </c>
      <c r="K62" t="s">
        <v>87</v>
      </c>
      <c r="L62">
        <v>1100</v>
      </c>
      <c r="M62" t="s">
        <v>23</v>
      </c>
    </row>
    <row r="63" spans="1:13" x14ac:dyDescent="0.35">
      <c r="A63" t="s">
        <v>1056</v>
      </c>
      <c r="B63" t="s">
        <v>14</v>
      </c>
      <c r="C63">
        <v>381518</v>
      </c>
      <c r="D63" t="s">
        <v>53</v>
      </c>
      <c r="E63" t="s">
        <v>1057</v>
      </c>
      <c r="F63" t="s">
        <v>17</v>
      </c>
      <c r="G63" t="s">
        <v>550</v>
      </c>
      <c r="H63" t="s">
        <v>19</v>
      </c>
      <c r="I63" t="s">
        <v>56</v>
      </c>
      <c r="J63" t="s">
        <v>21</v>
      </c>
      <c r="K63" t="s">
        <v>87</v>
      </c>
      <c r="L63">
        <v>1100</v>
      </c>
      <c r="M63" t="s">
        <v>23</v>
      </c>
    </row>
    <row r="64" spans="1:13" x14ac:dyDescent="0.35">
      <c r="A64">
        <v>0</v>
      </c>
      <c r="B64" t="s">
        <v>317</v>
      </c>
      <c r="C64">
        <v>400901</v>
      </c>
      <c r="D64" t="s">
        <v>53</v>
      </c>
      <c r="E64" t="s">
        <v>1605</v>
      </c>
      <c r="F64" t="s">
        <v>319</v>
      </c>
      <c r="G64" t="s">
        <v>550</v>
      </c>
      <c r="H64" t="s">
        <v>19</v>
      </c>
      <c r="I64" t="s">
        <v>56</v>
      </c>
      <c r="J64" t="s">
        <v>21</v>
      </c>
      <c r="K64" t="s">
        <v>87</v>
      </c>
      <c r="L64">
        <v>1100</v>
      </c>
      <c r="M64" t="s">
        <v>673</v>
      </c>
    </row>
    <row r="65" spans="1:13" x14ac:dyDescent="0.35">
      <c r="A65" t="s">
        <v>889</v>
      </c>
      <c r="B65" t="s">
        <v>14</v>
      </c>
      <c r="C65">
        <v>376940</v>
      </c>
      <c r="D65" t="s">
        <v>53</v>
      </c>
      <c r="E65" t="s">
        <v>890</v>
      </c>
      <c r="F65" t="s">
        <v>17</v>
      </c>
      <c r="G65" t="s">
        <v>891</v>
      </c>
      <c r="H65" t="s">
        <v>19</v>
      </c>
      <c r="I65" t="s">
        <v>56</v>
      </c>
      <c r="J65" t="s">
        <v>21</v>
      </c>
      <c r="K65" t="s">
        <v>87</v>
      </c>
      <c r="L65">
        <v>670</v>
      </c>
      <c r="M65" t="s">
        <v>23</v>
      </c>
    </row>
    <row r="66" spans="1:13" x14ac:dyDescent="0.35">
      <c r="A66" t="s">
        <v>937</v>
      </c>
      <c r="B66" t="s">
        <v>14</v>
      </c>
      <c r="C66">
        <v>378186</v>
      </c>
      <c r="D66" t="s">
        <v>53</v>
      </c>
      <c r="E66" t="s">
        <v>938</v>
      </c>
      <c r="F66" t="s">
        <v>17</v>
      </c>
      <c r="G66" t="s">
        <v>891</v>
      </c>
      <c r="H66" t="s">
        <v>19</v>
      </c>
      <c r="I66" t="s">
        <v>56</v>
      </c>
      <c r="J66" t="s">
        <v>21</v>
      </c>
      <c r="K66" t="s">
        <v>87</v>
      </c>
      <c r="L66">
        <v>670</v>
      </c>
      <c r="M66" t="s">
        <v>23</v>
      </c>
    </row>
    <row r="67" spans="1:13" x14ac:dyDescent="0.35">
      <c r="A67">
        <v>0</v>
      </c>
      <c r="B67" t="s">
        <v>317</v>
      </c>
      <c r="C67">
        <v>399666</v>
      </c>
      <c r="D67" t="s">
        <v>53</v>
      </c>
      <c r="E67" t="s">
        <v>1562</v>
      </c>
      <c r="F67" t="s">
        <v>319</v>
      </c>
      <c r="G67" t="s">
        <v>891</v>
      </c>
      <c r="H67" t="s">
        <v>19</v>
      </c>
      <c r="I67" t="s">
        <v>56</v>
      </c>
      <c r="J67" t="s">
        <v>21</v>
      </c>
      <c r="K67" t="s">
        <v>87</v>
      </c>
      <c r="L67">
        <v>670</v>
      </c>
      <c r="M67" t="s">
        <v>673</v>
      </c>
    </row>
    <row r="68" spans="1:13" x14ac:dyDescent="0.35">
      <c r="A68" t="s">
        <v>1004</v>
      </c>
      <c r="B68" t="s">
        <v>14</v>
      </c>
      <c r="C68">
        <v>380516</v>
      </c>
      <c r="D68" t="s">
        <v>53</v>
      </c>
      <c r="E68" t="s">
        <v>1005</v>
      </c>
      <c r="F68" t="s">
        <v>17</v>
      </c>
      <c r="G68" t="s">
        <v>1006</v>
      </c>
      <c r="H68" t="s">
        <v>19</v>
      </c>
      <c r="I68" t="s">
        <v>56</v>
      </c>
      <c r="J68" t="s">
        <v>21</v>
      </c>
      <c r="K68" t="s">
        <v>51</v>
      </c>
      <c r="L68">
        <v>2145</v>
      </c>
      <c r="M68" t="s">
        <v>23</v>
      </c>
    </row>
    <row r="69" spans="1:13" x14ac:dyDescent="0.35">
      <c r="A69" t="s">
        <v>1192</v>
      </c>
      <c r="B69" t="s">
        <v>317</v>
      </c>
      <c r="C69">
        <v>385557</v>
      </c>
      <c r="D69" t="s">
        <v>53</v>
      </c>
      <c r="E69" t="s">
        <v>1193</v>
      </c>
      <c r="F69" t="s">
        <v>319</v>
      </c>
      <c r="G69" t="s">
        <v>1006</v>
      </c>
      <c r="H69" t="s">
        <v>19</v>
      </c>
      <c r="I69" t="s">
        <v>56</v>
      </c>
      <c r="J69" t="s">
        <v>21</v>
      </c>
      <c r="K69" t="s">
        <v>51</v>
      </c>
      <c r="L69">
        <v>2145</v>
      </c>
      <c r="M69" t="s">
        <v>673</v>
      </c>
    </row>
    <row r="70" spans="1:13" x14ac:dyDescent="0.35">
      <c r="A70" t="s">
        <v>825</v>
      </c>
      <c r="B70" t="s">
        <v>14</v>
      </c>
      <c r="C70">
        <v>375742</v>
      </c>
      <c r="D70" t="s">
        <v>53</v>
      </c>
      <c r="E70" t="s">
        <v>826</v>
      </c>
      <c r="F70" t="s">
        <v>17</v>
      </c>
      <c r="G70" t="s">
        <v>827</v>
      </c>
      <c r="H70" t="s">
        <v>19</v>
      </c>
      <c r="I70" t="s">
        <v>56</v>
      </c>
      <c r="J70" t="s">
        <v>21</v>
      </c>
      <c r="K70" t="s">
        <v>51</v>
      </c>
      <c r="L70">
        <v>2090</v>
      </c>
      <c r="M70" t="s">
        <v>23</v>
      </c>
    </row>
    <row r="71" spans="1:13" x14ac:dyDescent="0.35">
      <c r="A71" t="s">
        <v>1430</v>
      </c>
      <c r="B71" t="s">
        <v>317</v>
      </c>
      <c r="C71">
        <v>392523</v>
      </c>
      <c r="D71" t="s">
        <v>53</v>
      </c>
      <c r="E71" t="s">
        <v>1431</v>
      </c>
      <c r="F71" t="s">
        <v>319</v>
      </c>
      <c r="G71" t="s">
        <v>827</v>
      </c>
      <c r="H71" t="s">
        <v>19</v>
      </c>
      <c r="I71" t="s">
        <v>56</v>
      </c>
      <c r="J71" t="s">
        <v>21</v>
      </c>
      <c r="K71" t="s">
        <v>51</v>
      </c>
      <c r="L71">
        <v>2090</v>
      </c>
      <c r="M71" t="s">
        <v>673</v>
      </c>
    </row>
    <row r="72" spans="1:13" x14ac:dyDescent="0.35">
      <c r="A72" t="s">
        <v>800</v>
      </c>
      <c r="B72" t="s">
        <v>14</v>
      </c>
      <c r="C72">
        <v>375231</v>
      </c>
      <c r="D72" t="s">
        <v>53</v>
      </c>
      <c r="E72" t="s">
        <v>801</v>
      </c>
      <c r="F72" t="s">
        <v>17</v>
      </c>
      <c r="G72" t="s">
        <v>802</v>
      </c>
      <c r="H72" t="s">
        <v>19</v>
      </c>
      <c r="I72" t="s">
        <v>56</v>
      </c>
      <c r="J72" t="s">
        <v>21</v>
      </c>
      <c r="K72" t="s">
        <v>128</v>
      </c>
      <c r="L72">
        <v>2093</v>
      </c>
      <c r="M72" t="s">
        <v>23</v>
      </c>
    </row>
    <row r="73" spans="1:13" x14ac:dyDescent="0.35">
      <c r="A73" t="s">
        <v>1240</v>
      </c>
      <c r="B73" t="s">
        <v>317</v>
      </c>
      <c r="C73">
        <v>387871</v>
      </c>
      <c r="D73" t="s">
        <v>53</v>
      </c>
      <c r="E73" t="s">
        <v>1241</v>
      </c>
      <c r="F73" t="s">
        <v>319</v>
      </c>
      <c r="G73" t="s">
        <v>802</v>
      </c>
      <c r="H73" t="s">
        <v>19</v>
      </c>
      <c r="I73" t="s">
        <v>56</v>
      </c>
      <c r="J73" t="s">
        <v>21</v>
      </c>
      <c r="K73" t="s">
        <v>128</v>
      </c>
      <c r="L73">
        <v>2093</v>
      </c>
      <c r="M73" t="s">
        <v>673</v>
      </c>
    </row>
    <row r="74" spans="1:13" x14ac:dyDescent="0.35">
      <c r="A74">
        <v>0</v>
      </c>
      <c r="B74" t="s">
        <v>317</v>
      </c>
      <c r="C74">
        <v>405032</v>
      </c>
      <c r="D74" t="s">
        <v>53</v>
      </c>
      <c r="E74" t="s">
        <v>1723</v>
      </c>
      <c r="F74" t="s">
        <v>319</v>
      </c>
      <c r="G74" t="s">
        <v>802</v>
      </c>
      <c r="H74" t="s">
        <v>19</v>
      </c>
      <c r="I74" t="s">
        <v>56</v>
      </c>
      <c r="J74" t="s">
        <v>21</v>
      </c>
      <c r="K74" t="s">
        <v>128</v>
      </c>
      <c r="L74">
        <v>2093</v>
      </c>
      <c r="M74" t="s">
        <v>673</v>
      </c>
    </row>
  </sheetData>
  <autoFilter ref="A1:M1" xr:uid="{7B13C583-848D-4F6A-9F28-C69A68664009}">
    <sortState xmlns:xlrd2="http://schemas.microsoft.com/office/spreadsheetml/2017/richdata2" ref="A2:M74">
      <sortCondition ref="K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8C631-EC19-42A5-9660-EB001914C558}">
  <dimension ref="A3:E10"/>
  <sheetViews>
    <sheetView workbookViewId="0">
      <selection activeCell="C6" sqref="C6"/>
    </sheetView>
  </sheetViews>
  <sheetFormatPr defaultRowHeight="14.5" x14ac:dyDescent="0.35"/>
  <cols>
    <col min="1" max="1" width="16" bestFit="1" customWidth="1"/>
    <col min="2" max="2" width="17.7265625" bestFit="1" customWidth="1"/>
    <col min="3" max="3" width="6.54296875" bestFit="1" customWidth="1"/>
    <col min="4" max="4" width="6.7265625" bestFit="1" customWidth="1"/>
    <col min="5" max="5" width="10.7265625" bestFit="1" customWidth="1"/>
  </cols>
  <sheetData>
    <row r="3" spans="1:5" x14ac:dyDescent="0.35">
      <c r="A3" s="20" t="s">
        <v>2215</v>
      </c>
      <c r="B3" s="20" t="s">
        <v>2216</v>
      </c>
    </row>
    <row r="4" spans="1:5" x14ac:dyDescent="0.35">
      <c r="A4" s="20" t="s">
        <v>2212</v>
      </c>
      <c r="B4" t="s">
        <v>14</v>
      </c>
      <c r="C4" t="s">
        <v>317</v>
      </c>
      <c r="D4" t="s">
        <v>2213</v>
      </c>
      <c r="E4" t="s">
        <v>2214</v>
      </c>
    </row>
    <row r="5" spans="1:5" x14ac:dyDescent="0.35">
      <c r="A5" s="21">
        <v>20</v>
      </c>
      <c r="B5">
        <v>1</v>
      </c>
      <c r="C5">
        <v>1</v>
      </c>
      <c r="E5">
        <v>2</v>
      </c>
    </row>
    <row r="6" spans="1:5" x14ac:dyDescent="0.35">
      <c r="A6" s="21">
        <v>59</v>
      </c>
      <c r="B6">
        <v>3</v>
      </c>
      <c r="C6">
        <v>4</v>
      </c>
      <c r="E6">
        <v>7</v>
      </c>
    </row>
    <row r="7" spans="1:5" x14ac:dyDescent="0.35">
      <c r="A7" s="21">
        <v>63</v>
      </c>
      <c r="C7">
        <v>3</v>
      </c>
      <c r="E7">
        <v>3</v>
      </c>
    </row>
    <row r="8" spans="1:5" x14ac:dyDescent="0.35">
      <c r="A8" s="21">
        <v>179</v>
      </c>
      <c r="B8">
        <v>1</v>
      </c>
      <c r="C8">
        <v>1</v>
      </c>
      <c r="E8">
        <v>2</v>
      </c>
    </row>
    <row r="9" spans="1:5" x14ac:dyDescent="0.35">
      <c r="A9" s="21" t="s">
        <v>2213</v>
      </c>
    </row>
    <row r="10" spans="1:5" x14ac:dyDescent="0.35">
      <c r="A10" s="21" t="s">
        <v>2214</v>
      </c>
      <c r="B10">
        <v>5</v>
      </c>
      <c r="C10">
        <v>9</v>
      </c>
      <c r="E10">
        <v>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E3D03-335B-46A6-A208-64AAF54F0FF2}">
  <dimension ref="A1:M15"/>
  <sheetViews>
    <sheetView workbookViewId="0">
      <selection sqref="A1:XFD1048576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1476</v>
      </c>
      <c r="B2" t="s">
        <v>14</v>
      </c>
      <c r="C2">
        <v>393616</v>
      </c>
      <c r="D2" t="s">
        <v>32</v>
      </c>
      <c r="E2" t="s">
        <v>1477</v>
      </c>
      <c r="F2" t="s">
        <v>17</v>
      </c>
      <c r="G2" t="s">
        <v>1478</v>
      </c>
      <c r="H2" t="s">
        <v>19</v>
      </c>
      <c r="I2" t="s">
        <v>1479</v>
      </c>
      <c r="J2" t="s">
        <v>21</v>
      </c>
      <c r="K2" t="s">
        <v>235</v>
      </c>
      <c r="L2">
        <v>20</v>
      </c>
      <c r="M2" t="s">
        <v>23</v>
      </c>
    </row>
    <row r="3" spans="1:13" x14ac:dyDescent="0.35">
      <c r="A3">
        <v>0</v>
      </c>
      <c r="B3" t="s">
        <v>317</v>
      </c>
      <c r="C3">
        <v>408958</v>
      </c>
      <c r="D3" t="s">
        <v>32</v>
      </c>
      <c r="E3" t="s">
        <v>1820</v>
      </c>
      <c r="F3" t="s">
        <v>319</v>
      </c>
      <c r="G3" t="s">
        <v>1478</v>
      </c>
      <c r="H3" t="s">
        <v>19</v>
      </c>
      <c r="I3" t="s">
        <v>1479</v>
      </c>
      <c r="J3" t="s">
        <v>21</v>
      </c>
      <c r="K3" t="s">
        <v>235</v>
      </c>
      <c r="L3">
        <v>20</v>
      </c>
      <c r="M3" t="s">
        <v>673</v>
      </c>
    </row>
    <row r="4" spans="1:13" x14ac:dyDescent="0.35">
      <c r="A4" t="s">
        <v>1235</v>
      </c>
      <c r="B4" t="s">
        <v>14</v>
      </c>
      <c r="C4">
        <v>387740</v>
      </c>
      <c r="D4" t="s">
        <v>32</v>
      </c>
      <c r="E4" t="s">
        <v>1236</v>
      </c>
      <c r="F4" t="s">
        <v>17</v>
      </c>
      <c r="G4" t="s">
        <v>1136</v>
      </c>
      <c r="H4" t="s">
        <v>19</v>
      </c>
      <c r="I4" t="s">
        <v>1137</v>
      </c>
      <c r="J4" t="s">
        <v>21</v>
      </c>
      <c r="K4" t="s">
        <v>148</v>
      </c>
      <c r="L4">
        <v>179</v>
      </c>
      <c r="M4" t="s">
        <v>23</v>
      </c>
    </row>
    <row r="5" spans="1:13" x14ac:dyDescent="0.35">
      <c r="A5" t="s">
        <v>1134</v>
      </c>
      <c r="B5" t="s">
        <v>317</v>
      </c>
      <c r="C5">
        <v>385044</v>
      </c>
      <c r="D5" t="s">
        <v>32</v>
      </c>
      <c r="E5" t="s">
        <v>1135</v>
      </c>
      <c r="F5" t="s">
        <v>319</v>
      </c>
      <c r="G5" t="s">
        <v>1136</v>
      </c>
      <c r="H5" t="s">
        <v>19</v>
      </c>
      <c r="I5" t="s">
        <v>1137</v>
      </c>
      <c r="J5" t="s">
        <v>21</v>
      </c>
      <c r="K5" t="s">
        <v>148</v>
      </c>
      <c r="L5">
        <v>179</v>
      </c>
      <c r="M5" t="s">
        <v>673</v>
      </c>
    </row>
    <row r="6" spans="1:13" x14ac:dyDescent="0.35">
      <c r="A6" t="s">
        <v>307</v>
      </c>
      <c r="B6" t="s">
        <v>14</v>
      </c>
      <c r="C6">
        <v>342034</v>
      </c>
      <c r="D6" t="s">
        <v>32</v>
      </c>
      <c r="E6" t="s">
        <v>308</v>
      </c>
      <c r="F6" t="s">
        <v>17</v>
      </c>
      <c r="G6" t="s">
        <v>309</v>
      </c>
      <c r="H6" t="s">
        <v>19</v>
      </c>
      <c r="I6" t="s">
        <v>310</v>
      </c>
      <c r="J6" t="s">
        <v>21</v>
      </c>
      <c r="K6" t="s">
        <v>73</v>
      </c>
      <c r="L6">
        <v>59</v>
      </c>
      <c r="M6" t="s">
        <v>23</v>
      </c>
    </row>
    <row r="7" spans="1:13" x14ac:dyDescent="0.35">
      <c r="A7" t="s">
        <v>528</v>
      </c>
      <c r="B7" t="s">
        <v>14</v>
      </c>
      <c r="C7">
        <v>359331</v>
      </c>
      <c r="D7" t="s">
        <v>32</v>
      </c>
      <c r="E7" t="s">
        <v>529</v>
      </c>
      <c r="F7" t="s">
        <v>17</v>
      </c>
      <c r="G7" t="s">
        <v>530</v>
      </c>
      <c r="H7" t="s">
        <v>19</v>
      </c>
      <c r="I7" t="s">
        <v>531</v>
      </c>
      <c r="J7" t="s">
        <v>21</v>
      </c>
      <c r="K7" t="s">
        <v>73</v>
      </c>
      <c r="L7">
        <v>59</v>
      </c>
      <c r="M7" t="s">
        <v>23</v>
      </c>
    </row>
    <row r="8" spans="1:13" x14ac:dyDescent="0.35">
      <c r="A8" t="s">
        <v>870</v>
      </c>
      <c r="B8" t="s">
        <v>14</v>
      </c>
      <c r="C8">
        <v>376536</v>
      </c>
      <c r="D8" t="s">
        <v>32</v>
      </c>
      <c r="E8" t="s">
        <v>871</v>
      </c>
      <c r="F8" t="s">
        <v>17</v>
      </c>
      <c r="G8" t="s">
        <v>872</v>
      </c>
      <c r="H8" t="s">
        <v>19</v>
      </c>
      <c r="I8" t="s">
        <v>873</v>
      </c>
      <c r="J8" t="s">
        <v>21</v>
      </c>
      <c r="K8" t="s">
        <v>73</v>
      </c>
      <c r="L8">
        <v>59</v>
      </c>
      <c r="M8" t="s">
        <v>23</v>
      </c>
    </row>
    <row r="9" spans="1:13" x14ac:dyDescent="0.35">
      <c r="A9">
        <v>0</v>
      </c>
      <c r="B9" t="s">
        <v>317</v>
      </c>
      <c r="C9">
        <v>400437</v>
      </c>
      <c r="D9" t="s">
        <v>32</v>
      </c>
      <c r="E9" t="s">
        <v>1581</v>
      </c>
      <c r="F9" t="s">
        <v>319</v>
      </c>
      <c r="G9" t="s">
        <v>530</v>
      </c>
      <c r="H9" t="s">
        <v>19</v>
      </c>
      <c r="I9" t="s">
        <v>531</v>
      </c>
      <c r="J9" t="s">
        <v>21</v>
      </c>
      <c r="K9" t="s">
        <v>73</v>
      </c>
      <c r="L9">
        <v>59</v>
      </c>
      <c r="M9" t="s">
        <v>673</v>
      </c>
    </row>
    <row r="10" spans="1:13" x14ac:dyDescent="0.35">
      <c r="A10">
        <v>0</v>
      </c>
      <c r="B10" t="s">
        <v>317</v>
      </c>
      <c r="C10">
        <v>400455</v>
      </c>
      <c r="D10" t="s">
        <v>32</v>
      </c>
      <c r="E10" t="s">
        <v>1583</v>
      </c>
      <c r="F10" t="s">
        <v>319</v>
      </c>
      <c r="G10" t="s">
        <v>872</v>
      </c>
      <c r="H10" t="s">
        <v>19</v>
      </c>
      <c r="I10" t="s">
        <v>873</v>
      </c>
      <c r="J10" t="s">
        <v>21</v>
      </c>
      <c r="K10" t="s">
        <v>73</v>
      </c>
      <c r="L10">
        <v>59</v>
      </c>
      <c r="M10" t="s">
        <v>673</v>
      </c>
    </row>
    <row r="11" spans="1:13" x14ac:dyDescent="0.35">
      <c r="A11">
        <v>0</v>
      </c>
      <c r="B11" t="s">
        <v>317</v>
      </c>
      <c r="C11">
        <v>402970</v>
      </c>
      <c r="D11" t="s">
        <v>32</v>
      </c>
      <c r="E11" t="s">
        <v>1656</v>
      </c>
      <c r="F11" t="s">
        <v>319</v>
      </c>
      <c r="G11" t="s">
        <v>1657</v>
      </c>
      <c r="H11" t="s">
        <v>19</v>
      </c>
      <c r="I11" t="s">
        <v>1658</v>
      </c>
      <c r="J11" t="s">
        <v>21</v>
      </c>
      <c r="K11" t="s">
        <v>73</v>
      </c>
      <c r="L11">
        <v>59</v>
      </c>
      <c r="M11" t="s">
        <v>673</v>
      </c>
    </row>
    <row r="12" spans="1:13" x14ac:dyDescent="0.35">
      <c r="A12">
        <v>0</v>
      </c>
      <c r="B12" t="s">
        <v>317</v>
      </c>
      <c r="C12">
        <v>409371</v>
      </c>
      <c r="D12" t="s">
        <v>32</v>
      </c>
      <c r="E12" t="s">
        <v>1833</v>
      </c>
      <c r="F12" t="s">
        <v>319</v>
      </c>
      <c r="G12" t="s">
        <v>309</v>
      </c>
      <c r="H12" t="s">
        <v>19</v>
      </c>
      <c r="I12" t="s">
        <v>310</v>
      </c>
      <c r="J12" t="s">
        <v>21</v>
      </c>
      <c r="K12" t="s">
        <v>73</v>
      </c>
      <c r="L12">
        <v>59</v>
      </c>
      <c r="M12" t="s">
        <v>673</v>
      </c>
    </row>
    <row r="13" spans="1:13" x14ac:dyDescent="0.35">
      <c r="A13" t="s">
        <v>954</v>
      </c>
      <c r="B13" t="s">
        <v>317</v>
      </c>
      <c r="C13">
        <v>379090</v>
      </c>
      <c r="D13" t="s">
        <v>32</v>
      </c>
      <c r="E13" t="s">
        <v>955</v>
      </c>
      <c r="F13" t="s">
        <v>319</v>
      </c>
      <c r="G13" t="s">
        <v>956</v>
      </c>
      <c r="H13" t="s">
        <v>19</v>
      </c>
      <c r="I13" t="s">
        <v>957</v>
      </c>
      <c r="J13" t="s">
        <v>21</v>
      </c>
      <c r="K13" t="s">
        <v>246</v>
      </c>
      <c r="L13">
        <v>63</v>
      </c>
      <c r="M13" t="s">
        <v>673</v>
      </c>
    </row>
    <row r="14" spans="1:13" x14ac:dyDescent="0.35">
      <c r="A14">
        <v>0</v>
      </c>
      <c r="B14" t="s">
        <v>317</v>
      </c>
      <c r="C14">
        <v>404265</v>
      </c>
      <c r="D14" t="s">
        <v>32</v>
      </c>
      <c r="E14" t="s">
        <v>1674</v>
      </c>
      <c r="F14" t="s">
        <v>319</v>
      </c>
      <c r="G14" t="s">
        <v>1675</v>
      </c>
      <c r="H14" t="s">
        <v>19</v>
      </c>
      <c r="I14" t="s">
        <v>1676</v>
      </c>
      <c r="J14" t="s">
        <v>21</v>
      </c>
      <c r="K14" t="s">
        <v>246</v>
      </c>
      <c r="L14">
        <v>63</v>
      </c>
      <c r="M14" t="s">
        <v>673</v>
      </c>
    </row>
    <row r="15" spans="1:13" x14ac:dyDescent="0.35">
      <c r="A15">
        <v>0</v>
      </c>
      <c r="B15" t="s">
        <v>317</v>
      </c>
      <c r="C15">
        <v>408569</v>
      </c>
      <c r="D15" t="s">
        <v>32</v>
      </c>
      <c r="E15" t="s">
        <v>1809</v>
      </c>
      <c r="F15" t="s">
        <v>319</v>
      </c>
      <c r="G15" t="s">
        <v>1810</v>
      </c>
      <c r="H15" t="s">
        <v>19</v>
      </c>
      <c r="I15" t="s">
        <v>1811</v>
      </c>
      <c r="J15" t="s">
        <v>21</v>
      </c>
      <c r="K15" t="s">
        <v>246</v>
      </c>
      <c r="L15">
        <v>63</v>
      </c>
      <c r="M15" t="s">
        <v>673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047DD-FF22-4166-8658-986A8410192A}">
  <dimension ref="A3:E223"/>
  <sheetViews>
    <sheetView topLeftCell="A202" workbookViewId="0">
      <selection activeCell="E10" sqref="E10"/>
    </sheetView>
  </sheetViews>
  <sheetFormatPr defaultRowHeight="14.5" x14ac:dyDescent="0.35"/>
  <cols>
    <col min="1" max="1" width="16" bestFit="1" customWidth="1"/>
    <col min="2" max="2" width="17.7265625" bestFit="1" customWidth="1"/>
    <col min="3" max="3" width="6.54296875" bestFit="1" customWidth="1"/>
    <col min="4" max="4" width="6.7265625" bestFit="1" customWidth="1"/>
    <col min="5" max="5" width="10.7265625" bestFit="1" customWidth="1"/>
  </cols>
  <sheetData>
    <row r="3" spans="1:5" x14ac:dyDescent="0.35">
      <c r="A3" s="20" t="s">
        <v>2215</v>
      </c>
      <c r="B3" s="20" t="s">
        <v>2216</v>
      </c>
    </row>
    <row r="4" spans="1:5" x14ac:dyDescent="0.35">
      <c r="A4" s="20" t="s">
        <v>2212</v>
      </c>
      <c r="B4" t="s">
        <v>14</v>
      </c>
      <c r="C4" t="s">
        <v>317</v>
      </c>
      <c r="D4" t="s">
        <v>2213</v>
      </c>
      <c r="E4" t="s">
        <v>2214</v>
      </c>
    </row>
    <row r="5" spans="1:5" x14ac:dyDescent="0.35">
      <c r="A5" s="21">
        <v>3286</v>
      </c>
      <c r="B5">
        <v>2</v>
      </c>
      <c r="C5">
        <v>1</v>
      </c>
      <c r="E5">
        <v>3</v>
      </c>
    </row>
    <row r="6" spans="1:5" x14ac:dyDescent="0.35">
      <c r="A6" s="21">
        <v>3373</v>
      </c>
      <c r="B6">
        <v>1</v>
      </c>
      <c r="C6">
        <v>2</v>
      </c>
      <c r="E6">
        <v>3</v>
      </c>
    </row>
    <row r="7" spans="1:5" x14ac:dyDescent="0.35">
      <c r="A7" s="21">
        <v>3388</v>
      </c>
      <c r="B7">
        <v>2</v>
      </c>
      <c r="C7">
        <v>2</v>
      </c>
      <c r="E7">
        <v>4</v>
      </c>
    </row>
    <row r="8" spans="1:5" x14ac:dyDescent="0.35">
      <c r="A8" s="21">
        <v>3389</v>
      </c>
      <c r="B8">
        <v>2</v>
      </c>
      <c r="C8">
        <v>1</v>
      </c>
      <c r="E8">
        <v>3</v>
      </c>
    </row>
    <row r="9" spans="1:5" x14ac:dyDescent="0.35">
      <c r="A9" s="21">
        <v>3393</v>
      </c>
      <c r="B9">
        <v>1</v>
      </c>
      <c r="C9">
        <v>2</v>
      </c>
      <c r="E9">
        <v>3</v>
      </c>
    </row>
    <row r="10" spans="1:5" x14ac:dyDescent="0.35">
      <c r="A10" s="21">
        <v>3395</v>
      </c>
      <c r="B10">
        <v>2</v>
      </c>
      <c r="C10">
        <v>2</v>
      </c>
      <c r="E10">
        <v>4</v>
      </c>
    </row>
    <row r="11" spans="1:5" x14ac:dyDescent="0.35">
      <c r="A11" s="21">
        <v>3396</v>
      </c>
      <c r="B11">
        <v>2</v>
      </c>
      <c r="C11">
        <v>1</v>
      </c>
      <c r="E11">
        <v>3</v>
      </c>
    </row>
    <row r="12" spans="1:5" x14ac:dyDescent="0.35">
      <c r="A12" s="21">
        <v>3397</v>
      </c>
      <c r="B12">
        <v>2</v>
      </c>
      <c r="C12">
        <v>1</v>
      </c>
      <c r="E12">
        <v>3</v>
      </c>
    </row>
    <row r="13" spans="1:5" x14ac:dyDescent="0.35">
      <c r="A13" s="21">
        <v>3550</v>
      </c>
      <c r="B13">
        <v>1</v>
      </c>
      <c r="C13">
        <v>1</v>
      </c>
      <c r="E13">
        <v>2</v>
      </c>
    </row>
    <row r="14" spans="1:5" x14ac:dyDescent="0.35">
      <c r="A14" s="21">
        <v>3552</v>
      </c>
      <c r="B14">
        <v>2</v>
      </c>
      <c r="C14">
        <v>1</v>
      </c>
      <c r="E14">
        <v>3</v>
      </c>
    </row>
    <row r="15" spans="1:5" x14ac:dyDescent="0.35">
      <c r="A15" s="21">
        <v>3553</v>
      </c>
      <c r="B15">
        <v>2</v>
      </c>
      <c r="C15">
        <v>1</v>
      </c>
      <c r="E15">
        <v>3</v>
      </c>
    </row>
    <row r="16" spans="1:5" x14ac:dyDescent="0.35">
      <c r="A16" s="21">
        <v>3554</v>
      </c>
      <c r="B16">
        <v>2</v>
      </c>
      <c r="C16">
        <v>1</v>
      </c>
      <c r="E16">
        <v>3</v>
      </c>
    </row>
    <row r="17" spans="1:5" x14ac:dyDescent="0.35">
      <c r="A17" s="21">
        <v>3555</v>
      </c>
      <c r="B17">
        <v>1</v>
      </c>
      <c r="C17">
        <v>1</v>
      </c>
      <c r="E17">
        <v>2</v>
      </c>
    </row>
    <row r="18" spans="1:5" x14ac:dyDescent="0.35">
      <c r="A18" s="21">
        <v>3556</v>
      </c>
      <c r="B18">
        <v>2</v>
      </c>
      <c r="C18">
        <v>2</v>
      </c>
      <c r="E18">
        <v>4</v>
      </c>
    </row>
    <row r="19" spans="1:5" x14ac:dyDescent="0.35">
      <c r="A19" s="21">
        <v>3557</v>
      </c>
      <c r="B19">
        <v>1</v>
      </c>
      <c r="C19">
        <v>1</v>
      </c>
      <c r="E19">
        <v>2</v>
      </c>
    </row>
    <row r="20" spans="1:5" x14ac:dyDescent="0.35">
      <c r="A20" s="21">
        <v>3558</v>
      </c>
      <c r="B20">
        <v>2</v>
      </c>
      <c r="C20">
        <v>2</v>
      </c>
      <c r="E20">
        <v>4</v>
      </c>
    </row>
    <row r="21" spans="1:5" x14ac:dyDescent="0.35">
      <c r="A21" s="21">
        <v>3559</v>
      </c>
      <c r="B21">
        <v>2</v>
      </c>
      <c r="C21">
        <v>1</v>
      </c>
      <c r="E21">
        <v>3</v>
      </c>
    </row>
    <row r="22" spans="1:5" x14ac:dyDescent="0.35">
      <c r="A22" s="21">
        <v>3560</v>
      </c>
      <c r="B22">
        <v>1</v>
      </c>
      <c r="C22">
        <v>1</v>
      </c>
      <c r="E22">
        <v>2</v>
      </c>
    </row>
    <row r="23" spans="1:5" x14ac:dyDescent="0.35">
      <c r="A23" s="21">
        <v>3696</v>
      </c>
      <c r="B23">
        <v>2</v>
      </c>
      <c r="C23">
        <v>1</v>
      </c>
      <c r="E23">
        <v>3</v>
      </c>
    </row>
    <row r="24" spans="1:5" x14ac:dyDescent="0.35">
      <c r="A24" s="21">
        <v>5602</v>
      </c>
      <c r="B24">
        <v>2</v>
      </c>
      <c r="C24">
        <v>1</v>
      </c>
      <c r="E24">
        <v>3</v>
      </c>
    </row>
    <row r="25" spans="1:5" x14ac:dyDescent="0.35">
      <c r="A25" s="21">
        <v>5603</v>
      </c>
      <c r="B25">
        <v>2</v>
      </c>
      <c r="C25">
        <v>2</v>
      </c>
      <c r="E25">
        <v>4</v>
      </c>
    </row>
    <row r="26" spans="1:5" x14ac:dyDescent="0.35">
      <c r="A26" s="21">
        <v>5604</v>
      </c>
      <c r="B26">
        <v>1</v>
      </c>
      <c r="C26">
        <v>1</v>
      </c>
      <c r="E26">
        <v>2</v>
      </c>
    </row>
    <row r="27" spans="1:5" x14ac:dyDescent="0.35">
      <c r="A27" s="21">
        <v>5605</v>
      </c>
      <c r="B27">
        <v>2</v>
      </c>
      <c r="C27">
        <v>2</v>
      </c>
      <c r="E27">
        <v>4</v>
      </c>
    </row>
    <row r="28" spans="1:5" x14ac:dyDescent="0.35">
      <c r="A28" s="21">
        <v>5606</v>
      </c>
      <c r="B28">
        <v>2</v>
      </c>
      <c r="C28">
        <v>2</v>
      </c>
      <c r="E28">
        <v>4</v>
      </c>
    </row>
    <row r="29" spans="1:5" x14ac:dyDescent="0.35">
      <c r="A29" s="21">
        <v>5607</v>
      </c>
      <c r="B29">
        <v>1</v>
      </c>
      <c r="C29">
        <v>1</v>
      </c>
      <c r="E29">
        <v>2</v>
      </c>
    </row>
    <row r="30" spans="1:5" x14ac:dyDescent="0.35">
      <c r="A30" s="21">
        <v>5608</v>
      </c>
      <c r="B30">
        <v>2</v>
      </c>
      <c r="C30">
        <v>1</v>
      </c>
      <c r="E30">
        <v>3</v>
      </c>
    </row>
    <row r="31" spans="1:5" x14ac:dyDescent="0.35">
      <c r="A31" s="21">
        <v>5609</v>
      </c>
      <c r="B31">
        <v>2</v>
      </c>
      <c r="C31">
        <v>1</v>
      </c>
      <c r="E31">
        <v>3</v>
      </c>
    </row>
    <row r="32" spans="1:5" x14ac:dyDescent="0.35">
      <c r="A32" s="21">
        <v>5610</v>
      </c>
      <c r="B32">
        <v>1</v>
      </c>
      <c r="C32">
        <v>1</v>
      </c>
      <c r="E32">
        <v>2</v>
      </c>
    </row>
    <row r="33" spans="1:5" x14ac:dyDescent="0.35">
      <c r="A33" s="21">
        <v>5611</v>
      </c>
      <c r="B33">
        <v>2</v>
      </c>
      <c r="C33">
        <v>2</v>
      </c>
      <c r="E33">
        <v>4</v>
      </c>
    </row>
    <row r="34" spans="1:5" x14ac:dyDescent="0.35">
      <c r="A34" s="21">
        <v>5612</v>
      </c>
      <c r="B34">
        <v>1</v>
      </c>
      <c r="C34">
        <v>2</v>
      </c>
      <c r="E34">
        <v>3</v>
      </c>
    </row>
    <row r="35" spans="1:5" x14ac:dyDescent="0.35">
      <c r="A35" s="21">
        <v>5613</v>
      </c>
      <c r="B35">
        <v>2</v>
      </c>
      <c r="C35">
        <v>1</v>
      </c>
      <c r="E35">
        <v>3</v>
      </c>
    </row>
    <row r="36" spans="1:5" x14ac:dyDescent="0.35">
      <c r="A36" s="21">
        <v>5614</v>
      </c>
      <c r="B36">
        <v>2</v>
      </c>
      <c r="C36">
        <v>1</v>
      </c>
      <c r="E36">
        <v>3</v>
      </c>
    </row>
    <row r="37" spans="1:5" x14ac:dyDescent="0.35">
      <c r="A37" s="21">
        <v>5628</v>
      </c>
      <c r="B37">
        <v>2</v>
      </c>
      <c r="C37">
        <v>1</v>
      </c>
      <c r="E37">
        <v>3</v>
      </c>
    </row>
    <row r="38" spans="1:5" x14ac:dyDescent="0.35">
      <c r="A38" s="21">
        <v>5629</v>
      </c>
      <c r="B38">
        <v>2</v>
      </c>
      <c r="C38">
        <v>1</v>
      </c>
      <c r="E38">
        <v>3</v>
      </c>
    </row>
    <row r="39" spans="1:5" x14ac:dyDescent="0.35">
      <c r="A39" s="21">
        <v>5630</v>
      </c>
      <c r="B39">
        <v>1</v>
      </c>
      <c r="C39">
        <v>1</v>
      </c>
      <c r="E39">
        <v>2</v>
      </c>
    </row>
    <row r="40" spans="1:5" x14ac:dyDescent="0.35">
      <c r="A40" s="21">
        <v>5631</v>
      </c>
      <c r="B40">
        <v>1</v>
      </c>
      <c r="C40">
        <v>1</v>
      </c>
      <c r="E40">
        <v>2</v>
      </c>
    </row>
    <row r="41" spans="1:5" x14ac:dyDescent="0.35">
      <c r="A41" s="21">
        <v>5632</v>
      </c>
      <c r="B41">
        <v>1</v>
      </c>
      <c r="C41">
        <v>1</v>
      </c>
      <c r="E41">
        <v>2</v>
      </c>
    </row>
    <row r="42" spans="1:5" x14ac:dyDescent="0.35">
      <c r="A42" s="21">
        <v>5633</v>
      </c>
      <c r="B42">
        <v>1</v>
      </c>
      <c r="C42">
        <v>1</v>
      </c>
      <c r="E42">
        <v>2</v>
      </c>
    </row>
    <row r="43" spans="1:5" x14ac:dyDescent="0.35">
      <c r="A43" s="21">
        <v>5634</v>
      </c>
      <c r="B43">
        <v>2</v>
      </c>
      <c r="C43">
        <v>1</v>
      </c>
      <c r="E43">
        <v>3</v>
      </c>
    </row>
    <row r="44" spans="1:5" x14ac:dyDescent="0.35">
      <c r="A44" s="21">
        <v>5635</v>
      </c>
      <c r="B44">
        <v>2</v>
      </c>
      <c r="C44">
        <v>2</v>
      </c>
      <c r="E44">
        <v>4</v>
      </c>
    </row>
    <row r="45" spans="1:5" x14ac:dyDescent="0.35">
      <c r="A45" s="21">
        <v>5636</v>
      </c>
      <c r="B45">
        <v>2</v>
      </c>
      <c r="C45">
        <v>1</v>
      </c>
      <c r="E45">
        <v>3</v>
      </c>
    </row>
    <row r="46" spans="1:5" x14ac:dyDescent="0.35">
      <c r="A46" s="21">
        <v>5637</v>
      </c>
      <c r="B46">
        <v>2</v>
      </c>
      <c r="C46">
        <v>2</v>
      </c>
      <c r="E46">
        <v>4</v>
      </c>
    </row>
    <row r="47" spans="1:5" x14ac:dyDescent="0.35">
      <c r="A47" s="21">
        <v>5638</v>
      </c>
      <c r="B47">
        <v>2</v>
      </c>
      <c r="C47">
        <v>2</v>
      </c>
      <c r="E47">
        <v>4</v>
      </c>
    </row>
    <row r="48" spans="1:5" x14ac:dyDescent="0.35">
      <c r="A48" s="21">
        <v>5640</v>
      </c>
      <c r="B48">
        <v>2</v>
      </c>
      <c r="C48">
        <v>2</v>
      </c>
      <c r="E48">
        <v>4</v>
      </c>
    </row>
    <row r="49" spans="1:5" x14ac:dyDescent="0.35">
      <c r="A49" s="21">
        <v>5641</v>
      </c>
      <c r="B49">
        <v>1</v>
      </c>
      <c r="C49">
        <v>1</v>
      </c>
      <c r="E49">
        <v>2</v>
      </c>
    </row>
    <row r="50" spans="1:5" x14ac:dyDescent="0.35">
      <c r="A50" s="21">
        <v>5642</v>
      </c>
      <c r="B50">
        <v>2</v>
      </c>
      <c r="C50">
        <v>2</v>
      </c>
      <c r="E50">
        <v>4</v>
      </c>
    </row>
    <row r="51" spans="1:5" x14ac:dyDescent="0.35">
      <c r="A51" s="21">
        <v>5643</v>
      </c>
      <c r="B51">
        <v>2</v>
      </c>
      <c r="C51">
        <v>2</v>
      </c>
      <c r="E51">
        <v>4</v>
      </c>
    </row>
    <row r="52" spans="1:5" x14ac:dyDescent="0.35">
      <c r="A52" s="21">
        <v>5644</v>
      </c>
      <c r="B52">
        <v>2</v>
      </c>
      <c r="C52">
        <v>2</v>
      </c>
      <c r="E52">
        <v>4</v>
      </c>
    </row>
    <row r="53" spans="1:5" x14ac:dyDescent="0.35">
      <c r="A53" s="21">
        <v>5645</v>
      </c>
      <c r="B53">
        <v>2</v>
      </c>
      <c r="C53">
        <v>2</v>
      </c>
      <c r="E53">
        <v>4</v>
      </c>
    </row>
    <row r="54" spans="1:5" x14ac:dyDescent="0.35">
      <c r="A54" s="21">
        <v>5646</v>
      </c>
      <c r="B54">
        <v>2</v>
      </c>
      <c r="C54">
        <v>1</v>
      </c>
      <c r="E54">
        <v>3</v>
      </c>
    </row>
    <row r="55" spans="1:5" x14ac:dyDescent="0.35">
      <c r="A55" s="21">
        <v>5647</v>
      </c>
      <c r="B55">
        <v>2</v>
      </c>
      <c r="C55">
        <v>2</v>
      </c>
      <c r="E55">
        <v>4</v>
      </c>
    </row>
    <row r="56" spans="1:5" x14ac:dyDescent="0.35">
      <c r="A56" s="21">
        <v>5648</v>
      </c>
      <c r="B56">
        <v>2</v>
      </c>
      <c r="C56">
        <v>2</v>
      </c>
      <c r="E56">
        <v>4</v>
      </c>
    </row>
    <row r="57" spans="1:5" x14ac:dyDescent="0.35">
      <c r="A57" s="21">
        <v>5666</v>
      </c>
      <c r="B57">
        <v>2</v>
      </c>
      <c r="C57">
        <v>1</v>
      </c>
      <c r="E57">
        <v>3</v>
      </c>
    </row>
    <row r="58" spans="1:5" x14ac:dyDescent="0.35">
      <c r="A58" s="21">
        <v>5667</v>
      </c>
      <c r="B58">
        <v>2</v>
      </c>
      <c r="C58">
        <v>1</v>
      </c>
      <c r="E58">
        <v>3</v>
      </c>
    </row>
    <row r="59" spans="1:5" x14ac:dyDescent="0.35">
      <c r="A59" s="21">
        <v>5668</v>
      </c>
      <c r="B59">
        <v>2</v>
      </c>
      <c r="C59">
        <v>1</v>
      </c>
      <c r="E59">
        <v>3</v>
      </c>
    </row>
    <row r="60" spans="1:5" x14ac:dyDescent="0.35">
      <c r="A60" s="21">
        <v>5669</v>
      </c>
      <c r="B60">
        <v>1</v>
      </c>
      <c r="C60">
        <v>1</v>
      </c>
      <c r="E60">
        <v>2</v>
      </c>
    </row>
    <row r="61" spans="1:5" x14ac:dyDescent="0.35">
      <c r="A61" s="21">
        <v>5670</v>
      </c>
      <c r="B61">
        <v>2</v>
      </c>
      <c r="C61">
        <v>1</v>
      </c>
      <c r="E61">
        <v>3</v>
      </c>
    </row>
    <row r="62" spans="1:5" x14ac:dyDescent="0.35">
      <c r="A62" s="21">
        <v>5671</v>
      </c>
      <c r="B62">
        <v>1</v>
      </c>
      <c r="C62">
        <v>1</v>
      </c>
      <c r="E62">
        <v>2</v>
      </c>
    </row>
    <row r="63" spans="1:5" x14ac:dyDescent="0.35">
      <c r="A63" s="21">
        <v>5672</v>
      </c>
      <c r="B63">
        <v>1</v>
      </c>
      <c r="C63">
        <v>1</v>
      </c>
      <c r="E63">
        <v>2</v>
      </c>
    </row>
    <row r="64" spans="1:5" x14ac:dyDescent="0.35">
      <c r="A64" s="21">
        <v>5673</v>
      </c>
      <c r="B64">
        <v>1</v>
      </c>
      <c r="C64">
        <v>1</v>
      </c>
      <c r="E64">
        <v>2</v>
      </c>
    </row>
    <row r="65" spans="1:5" x14ac:dyDescent="0.35">
      <c r="A65" s="21">
        <v>5674</v>
      </c>
      <c r="B65">
        <v>1</v>
      </c>
      <c r="C65">
        <v>1</v>
      </c>
      <c r="E65">
        <v>2</v>
      </c>
    </row>
    <row r="66" spans="1:5" x14ac:dyDescent="0.35">
      <c r="A66" s="21">
        <v>5675</v>
      </c>
      <c r="B66">
        <v>2</v>
      </c>
      <c r="C66">
        <v>2</v>
      </c>
      <c r="E66">
        <v>4</v>
      </c>
    </row>
    <row r="67" spans="1:5" x14ac:dyDescent="0.35">
      <c r="A67" s="21">
        <v>5676</v>
      </c>
      <c r="B67">
        <v>2</v>
      </c>
      <c r="C67">
        <v>1</v>
      </c>
      <c r="E67">
        <v>3</v>
      </c>
    </row>
    <row r="68" spans="1:5" x14ac:dyDescent="0.35">
      <c r="A68" s="21">
        <v>5677</v>
      </c>
      <c r="B68">
        <v>2</v>
      </c>
      <c r="C68">
        <v>1</v>
      </c>
      <c r="E68">
        <v>3</v>
      </c>
    </row>
    <row r="69" spans="1:5" x14ac:dyDescent="0.35">
      <c r="A69" s="21">
        <v>5678</v>
      </c>
      <c r="B69">
        <v>2</v>
      </c>
      <c r="C69">
        <v>1</v>
      </c>
      <c r="E69">
        <v>3</v>
      </c>
    </row>
    <row r="70" spans="1:5" x14ac:dyDescent="0.35">
      <c r="A70" s="21">
        <v>5679</v>
      </c>
      <c r="B70">
        <v>2</v>
      </c>
      <c r="C70">
        <v>1</v>
      </c>
      <c r="E70">
        <v>3</v>
      </c>
    </row>
    <row r="71" spans="1:5" x14ac:dyDescent="0.35">
      <c r="A71" s="21">
        <v>5680</v>
      </c>
      <c r="B71">
        <v>2</v>
      </c>
      <c r="C71">
        <v>1</v>
      </c>
      <c r="E71">
        <v>3</v>
      </c>
    </row>
    <row r="72" spans="1:5" x14ac:dyDescent="0.35">
      <c r="A72" s="21">
        <v>5681</v>
      </c>
      <c r="B72">
        <v>2</v>
      </c>
      <c r="C72">
        <v>1</v>
      </c>
      <c r="E72">
        <v>3</v>
      </c>
    </row>
    <row r="73" spans="1:5" x14ac:dyDescent="0.35">
      <c r="A73" s="21">
        <v>5682</v>
      </c>
      <c r="B73">
        <v>2</v>
      </c>
      <c r="C73">
        <v>1</v>
      </c>
      <c r="E73">
        <v>3</v>
      </c>
    </row>
    <row r="74" spans="1:5" x14ac:dyDescent="0.35">
      <c r="A74" s="21">
        <v>5683</v>
      </c>
      <c r="B74">
        <v>2</v>
      </c>
      <c r="C74">
        <v>1</v>
      </c>
      <c r="E74">
        <v>3</v>
      </c>
    </row>
    <row r="75" spans="1:5" x14ac:dyDescent="0.35">
      <c r="A75" s="21">
        <v>5713</v>
      </c>
      <c r="B75">
        <v>1</v>
      </c>
      <c r="C75">
        <v>1</v>
      </c>
      <c r="E75">
        <v>2</v>
      </c>
    </row>
    <row r="76" spans="1:5" x14ac:dyDescent="0.35">
      <c r="A76" s="21">
        <v>5714</v>
      </c>
      <c r="B76">
        <v>1</v>
      </c>
      <c r="C76">
        <v>1</v>
      </c>
      <c r="E76">
        <v>2</v>
      </c>
    </row>
    <row r="77" spans="1:5" x14ac:dyDescent="0.35">
      <c r="A77" s="21">
        <v>5715</v>
      </c>
      <c r="B77">
        <v>2</v>
      </c>
      <c r="C77">
        <v>1</v>
      </c>
      <c r="E77">
        <v>3</v>
      </c>
    </row>
    <row r="78" spans="1:5" x14ac:dyDescent="0.35">
      <c r="A78" s="21">
        <v>5716</v>
      </c>
      <c r="B78">
        <v>2</v>
      </c>
      <c r="C78">
        <v>1</v>
      </c>
      <c r="E78">
        <v>3</v>
      </c>
    </row>
    <row r="79" spans="1:5" x14ac:dyDescent="0.35">
      <c r="A79" s="21">
        <v>5717</v>
      </c>
      <c r="B79">
        <v>2</v>
      </c>
      <c r="C79">
        <v>1</v>
      </c>
      <c r="E79">
        <v>3</v>
      </c>
    </row>
    <row r="80" spans="1:5" x14ac:dyDescent="0.35">
      <c r="A80" s="21">
        <v>5718</v>
      </c>
      <c r="B80">
        <v>2</v>
      </c>
      <c r="C80">
        <v>1</v>
      </c>
      <c r="E80">
        <v>3</v>
      </c>
    </row>
    <row r="81" spans="1:5" x14ac:dyDescent="0.35">
      <c r="A81" s="21">
        <v>5719</v>
      </c>
      <c r="B81">
        <v>1</v>
      </c>
      <c r="C81">
        <v>1</v>
      </c>
      <c r="E81">
        <v>2</v>
      </c>
    </row>
    <row r="82" spans="1:5" x14ac:dyDescent="0.35">
      <c r="A82" s="21">
        <v>5720</v>
      </c>
      <c r="B82">
        <v>2</v>
      </c>
      <c r="C82">
        <v>1</v>
      </c>
      <c r="E82">
        <v>3</v>
      </c>
    </row>
    <row r="83" spans="1:5" x14ac:dyDescent="0.35">
      <c r="A83" s="21">
        <v>5721</v>
      </c>
      <c r="B83">
        <v>1</v>
      </c>
      <c r="C83">
        <v>1</v>
      </c>
      <c r="E83">
        <v>2</v>
      </c>
    </row>
    <row r="84" spans="1:5" x14ac:dyDescent="0.35">
      <c r="A84" s="21">
        <v>5722</v>
      </c>
      <c r="B84">
        <v>2</v>
      </c>
      <c r="C84">
        <v>1</v>
      </c>
      <c r="E84">
        <v>3</v>
      </c>
    </row>
    <row r="85" spans="1:5" x14ac:dyDescent="0.35">
      <c r="A85" s="21">
        <v>5723</v>
      </c>
      <c r="B85">
        <v>2</v>
      </c>
      <c r="C85">
        <v>1</v>
      </c>
      <c r="E85">
        <v>3</v>
      </c>
    </row>
    <row r="86" spans="1:5" x14ac:dyDescent="0.35">
      <c r="A86" s="21">
        <v>5724</v>
      </c>
      <c r="B86">
        <v>2</v>
      </c>
      <c r="C86">
        <v>2</v>
      </c>
      <c r="E86">
        <v>4</v>
      </c>
    </row>
    <row r="87" spans="1:5" x14ac:dyDescent="0.35">
      <c r="A87" s="21">
        <v>5725</v>
      </c>
      <c r="B87">
        <v>2</v>
      </c>
      <c r="C87">
        <v>2</v>
      </c>
      <c r="E87">
        <v>4</v>
      </c>
    </row>
    <row r="88" spans="1:5" x14ac:dyDescent="0.35">
      <c r="A88" s="21">
        <v>5726</v>
      </c>
      <c r="B88">
        <v>1</v>
      </c>
      <c r="C88">
        <v>1</v>
      </c>
      <c r="E88">
        <v>2</v>
      </c>
    </row>
    <row r="89" spans="1:5" x14ac:dyDescent="0.35">
      <c r="A89" s="21">
        <v>5727</v>
      </c>
      <c r="B89">
        <v>2</v>
      </c>
      <c r="C89">
        <v>1</v>
      </c>
      <c r="E89">
        <v>3</v>
      </c>
    </row>
    <row r="90" spans="1:5" x14ac:dyDescent="0.35">
      <c r="A90" s="21">
        <v>5728</v>
      </c>
      <c r="B90">
        <v>2</v>
      </c>
      <c r="C90">
        <v>2</v>
      </c>
      <c r="E90">
        <v>4</v>
      </c>
    </row>
    <row r="91" spans="1:5" x14ac:dyDescent="0.35">
      <c r="A91" s="21">
        <v>5729</v>
      </c>
      <c r="B91">
        <v>2</v>
      </c>
      <c r="C91">
        <v>1</v>
      </c>
      <c r="E91">
        <v>3</v>
      </c>
    </row>
    <row r="92" spans="1:5" x14ac:dyDescent="0.35">
      <c r="A92" s="21">
        <v>5730</v>
      </c>
      <c r="B92">
        <v>2</v>
      </c>
      <c r="C92">
        <v>2</v>
      </c>
      <c r="E92">
        <v>4</v>
      </c>
    </row>
    <row r="93" spans="1:5" x14ac:dyDescent="0.35">
      <c r="A93" s="21">
        <v>5731</v>
      </c>
      <c r="B93">
        <v>2</v>
      </c>
      <c r="C93">
        <v>1</v>
      </c>
      <c r="E93">
        <v>3</v>
      </c>
    </row>
    <row r="94" spans="1:5" x14ac:dyDescent="0.35">
      <c r="A94" s="21">
        <v>5732</v>
      </c>
      <c r="B94">
        <v>2</v>
      </c>
      <c r="C94">
        <v>2</v>
      </c>
      <c r="E94">
        <v>4</v>
      </c>
    </row>
    <row r="95" spans="1:5" x14ac:dyDescent="0.35">
      <c r="A95" s="21">
        <v>5733</v>
      </c>
      <c r="B95">
        <v>2</v>
      </c>
      <c r="C95">
        <v>1</v>
      </c>
      <c r="E95">
        <v>3</v>
      </c>
    </row>
    <row r="96" spans="1:5" x14ac:dyDescent="0.35">
      <c r="A96" s="21">
        <v>5734</v>
      </c>
      <c r="B96">
        <v>1</v>
      </c>
      <c r="C96">
        <v>1</v>
      </c>
      <c r="E96">
        <v>2</v>
      </c>
    </row>
    <row r="97" spans="1:5" x14ac:dyDescent="0.35">
      <c r="A97" s="21">
        <v>5735</v>
      </c>
      <c r="B97">
        <v>1</v>
      </c>
      <c r="C97">
        <v>1</v>
      </c>
      <c r="E97">
        <v>2</v>
      </c>
    </row>
    <row r="98" spans="1:5" x14ac:dyDescent="0.35">
      <c r="A98" s="21">
        <v>5736</v>
      </c>
      <c r="B98">
        <v>2</v>
      </c>
      <c r="C98">
        <v>1</v>
      </c>
      <c r="E98">
        <v>3</v>
      </c>
    </row>
    <row r="99" spans="1:5" x14ac:dyDescent="0.35">
      <c r="A99" s="21">
        <v>5737</v>
      </c>
      <c r="B99">
        <v>1</v>
      </c>
      <c r="C99">
        <v>1</v>
      </c>
      <c r="E99">
        <v>2</v>
      </c>
    </row>
    <row r="100" spans="1:5" x14ac:dyDescent="0.35">
      <c r="A100" s="21">
        <v>5738</v>
      </c>
      <c r="B100">
        <v>1</v>
      </c>
      <c r="C100">
        <v>1</v>
      </c>
      <c r="E100">
        <v>2</v>
      </c>
    </row>
    <row r="101" spans="1:5" x14ac:dyDescent="0.35">
      <c r="A101" s="21">
        <v>5739</v>
      </c>
      <c r="B101">
        <v>2</v>
      </c>
      <c r="E101">
        <v>2</v>
      </c>
    </row>
    <row r="102" spans="1:5" x14ac:dyDescent="0.35">
      <c r="A102" s="21">
        <v>5740</v>
      </c>
      <c r="B102">
        <v>2</v>
      </c>
      <c r="C102">
        <v>1</v>
      </c>
      <c r="E102">
        <v>3</v>
      </c>
    </row>
    <row r="103" spans="1:5" x14ac:dyDescent="0.35">
      <c r="A103" s="21">
        <v>5742</v>
      </c>
      <c r="B103">
        <v>2</v>
      </c>
      <c r="C103">
        <v>1</v>
      </c>
      <c r="E103">
        <v>3</v>
      </c>
    </row>
    <row r="104" spans="1:5" x14ac:dyDescent="0.35">
      <c r="A104" s="21">
        <v>5743</v>
      </c>
      <c r="B104">
        <v>1</v>
      </c>
      <c r="C104">
        <v>1</v>
      </c>
      <c r="E104">
        <v>2</v>
      </c>
    </row>
    <row r="105" spans="1:5" x14ac:dyDescent="0.35">
      <c r="A105" s="21">
        <v>5745</v>
      </c>
      <c r="B105">
        <v>2</v>
      </c>
      <c r="C105">
        <v>1</v>
      </c>
      <c r="E105">
        <v>3</v>
      </c>
    </row>
    <row r="106" spans="1:5" x14ac:dyDescent="0.35">
      <c r="A106" s="21">
        <v>5746</v>
      </c>
      <c r="B106">
        <v>2</v>
      </c>
      <c r="C106">
        <v>1</v>
      </c>
      <c r="E106">
        <v>3</v>
      </c>
    </row>
    <row r="107" spans="1:5" x14ac:dyDescent="0.35">
      <c r="A107" s="21">
        <v>5747</v>
      </c>
      <c r="B107">
        <v>2</v>
      </c>
      <c r="C107">
        <v>2</v>
      </c>
      <c r="E107">
        <v>4</v>
      </c>
    </row>
    <row r="108" spans="1:5" x14ac:dyDescent="0.35">
      <c r="A108" s="21">
        <v>5749</v>
      </c>
      <c r="B108">
        <v>1</v>
      </c>
      <c r="C108">
        <v>1</v>
      </c>
      <c r="E108">
        <v>2</v>
      </c>
    </row>
    <row r="109" spans="1:5" x14ac:dyDescent="0.35">
      <c r="A109" s="21">
        <v>5750</v>
      </c>
      <c r="B109">
        <v>2</v>
      </c>
      <c r="C109">
        <v>2</v>
      </c>
      <c r="E109">
        <v>4</v>
      </c>
    </row>
    <row r="110" spans="1:5" x14ac:dyDescent="0.35">
      <c r="A110" s="21">
        <v>5753</v>
      </c>
      <c r="B110">
        <v>2</v>
      </c>
      <c r="C110">
        <v>1</v>
      </c>
      <c r="E110">
        <v>3</v>
      </c>
    </row>
    <row r="111" spans="1:5" x14ac:dyDescent="0.35">
      <c r="A111" s="21">
        <v>5755</v>
      </c>
      <c r="B111">
        <v>2</v>
      </c>
      <c r="C111">
        <v>1</v>
      </c>
      <c r="E111">
        <v>3</v>
      </c>
    </row>
    <row r="112" spans="1:5" x14ac:dyDescent="0.35">
      <c r="A112" s="21">
        <v>5756</v>
      </c>
      <c r="B112">
        <v>2</v>
      </c>
      <c r="C112">
        <v>1</v>
      </c>
      <c r="E112">
        <v>3</v>
      </c>
    </row>
    <row r="113" spans="1:5" x14ac:dyDescent="0.35">
      <c r="A113" s="21">
        <v>5757</v>
      </c>
      <c r="B113">
        <v>2</v>
      </c>
      <c r="C113">
        <v>1</v>
      </c>
      <c r="E113">
        <v>3</v>
      </c>
    </row>
    <row r="114" spans="1:5" x14ac:dyDescent="0.35">
      <c r="A114" s="21">
        <v>5758</v>
      </c>
      <c r="B114">
        <v>1</v>
      </c>
      <c r="C114">
        <v>2</v>
      </c>
      <c r="E114">
        <v>3</v>
      </c>
    </row>
    <row r="115" spans="1:5" x14ac:dyDescent="0.35">
      <c r="A115" s="21">
        <v>5761</v>
      </c>
      <c r="B115">
        <v>2</v>
      </c>
      <c r="C115">
        <v>1</v>
      </c>
      <c r="E115">
        <v>3</v>
      </c>
    </row>
    <row r="116" spans="1:5" x14ac:dyDescent="0.35">
      <c r="A116" s="21">
        <v>5762</v>
      </c>
      <c r="B116">
        <v>2</v>
      </c>
      <c r="C116">
        <v>2</v>
      </c>
      <c r="E116">
        <v>4</v>
      </c>
    </row>
    <row r="117" spans="1:5" x14ac:dyDescent="0.35">
      <c r="A117" s="21">
        <v>5763</v>
      </c>
      <c r="B117">
        <v>2</v>
      </c>
      <c r="C117">
        <v>1</v>
      </c>
      <c r="E117">
        <v>3</v>
      </c>
    </row>
    <row r="118" spans="1:5" x14ac:dyDescent="0.35">
      <c r="A118" s="21">
        <v>5764</v>
      </c>
      <c r="B118">
        <v>2</v>
      </c>
      <c r="C118">
        <v>2</v>
      </c>
      <c r="E118">
        <v>4</v>
      </c>
    </row>
    <row r="119" spans="1:5" x14ac:dyDescent="0.35">
      <c r="A119" s="21">
        <v>5765</v>
      </c>
      <c r="B119">
        <v>1</v>
      </c>
      <c r="C119">
        <v>1</v>
      </c>
      <c r="E119">
        <v>2</v>
      </c>
    </row>
    <row r="120" spans="1:5" x14ac:dyDescent="0.35">
      <c r="A120" s="21">
        <v>5766</v>
      </c>
      <c r="B120">
        <v>2</v>
      </c>
      <c r="C120">
        <v>1</v>
      </c>
      <c r="E120">
        <v>3</v>
      </c>
    </row>
    <row r="121" spans="1:5" x14ac:dyDescent="0.35">
      <c r="A121" s="21">
        <v>5767</v>
      </c>
      <c r="B121">
        <v>2</v>
      </c>
      <c r="C121">
        <v>2</v>
      </c>
      <c r="E121">
        <v>4</v>
      </c>
    </row>
    <row r="122" spans="1:5" x14ac:dyDescent="0.35">
      <c r="A122" s="21">
        <v>5768</v>
      </c>
      <c r="B122">
        <v>2</v>
      </c>
      <c r="C122">
        <v>2</v>
      </c>
      <c r="E122">
        <v>4</v>
      </c>
    </row>
    <row r="123" spans="1:5" x14ac:dyDescent="0.35">
      <c r="A123" s="21">
        <v>5769</v>
      </c>
      <c r="B123">
        <v>1</v>
      </c>
      <c r="C123">
        <v>2</v>
      </c>
      <c r="E123">
        <v>3</v>
      </c>
    </row>
    <row r="124" spans="1:5" x14ac:dyDescent="0.35">
      <c r="A124" s="21">
        <v>5770</v>
      </c>
      <c r="B124">
        <v>2</v>
      </c>
      <c r="C124">
        <v>1</v>
      </c>
      <c r="E124">
        <v>3</v>
      </c>
    </row>
    <row r="125" spans="1:5" x14ac:dyDescent="0.35">
      <c r="A125" s="21">
        <v>5782</v>
      </c>
      <c r="B125">
        <v>2</v>
      </c>
      <c r="C125">
        <v>2</v>
      </c>
      <c r="E125">
        <v>4</v>
      </c>
    </row>
    <row r="126" spans="1:5" x14ac:dyDescent="0.35">
      <c r="A126" s="21">
        <v>5783</v>
      </c>
      <c r="B126">
        <v>2</v>
      </c>
      <c r="C126">
        <v>2</v>
      </c>
      <c r="E126">
        <v>4</v>
      </c>
    </row>
    <row r="127" spans="1:5" x14ac:dyDescent="0.35">
      <c r="A127" s="21">
        <v>5784</v>
      </c>
      <c r="B127">
        <v>2</v>
      </c>
      <c r="C127">
        <v>2</v>
      </c>
      <c r="E127">
        <v>4</v>
      </c>
    </row>
    <row r="128" spans="1:5" x14ac:dyDescent="0.35">
      <c r="A128" s="21">
        <v>5785</v>
      </c>
      <c r="B128">
        <v>2</v>
      </c>
      <c r="C128">
        <v>1</v>
      </c>
      <c r="E128">
        <v>3</v>
      </c>
    </row>
    <row r="129" spans="1:5" x14ac:dyDescent="0.35">
      <c r="A129" s="21">
        <v>5786</v>
      </c>
      <c r="B129">
        <v>1</v>
      </c>
      <c r="C129">
        <v>1</v>
      </c>
      <c r="E129">
        <v>2</v>
      </c>
    </row>
    <row r="130" spans="1:5" x14ac:dyDescent="0.35">
      <c r="A130" s="21">
        <v>5787</v>
      </c>
      <c r="B130">
        <v>2</v>
      </c>
      <c r="C130">
        <v>1</v>
      </c>
      <c r="E130">
        <v>3</v>
      </c>
    </row>
    <row r="131" spans="1:5" x14ac:dyDescent="0.35">
      <c r="A131" s="21">
        <v>5788</v>
      </c>
      <c r="B131">
        <v>2</v>
      </c>
      <c r="C131">
        <v>1</v>
      </c>
      <c r="E131">
        <v>3</v>
      </c>
    </row>
    <row r="132" spans="1:5" x14ac:dyDescent="0.35">
      <c r="A132" s="21">
        <v>5789</v>
      </c>
      <c r="B132">
        <v>1</v>
      </c>
      <c r="C132">
        <v>1</v>
      </c>
      <c r="E132">
        <v>2</v>
      </c>
    </row>
    <row r="133" spans="1:5" x14ac:dyDescent="0.35">
      <c r="A133" s="21">
        <v>5790</v>
      </c>
      <c r="B133">
        <v>1</v>
      </c>
      <c r="C133">
        <v>1</v>
      </c>
      <c r="E133">
        <v>2</v>
      </c>
    </row>
    <row r="134" spans="1:5" x14ac:dyDescent="0.35">
      <c r="A134" s="21">
        <v>5791</v>
      </c>
      <c r="B134">
        <v>2</v>
      </c>
      <c r="C134">
        <v>1</v>
      </c>
      <c r="E134">
        <v>3</v>
      </c>
    </row>
    <row r="135" spans="1:5" x14ac:dyDescent="0.35">
      <c r="A135" s="21">
        <v>5792</v>
      </c>
      <c r="B135">
        <v>1</v>
      </c>
      <c r="C135">
        <v>1</v>
      </c>
      <c r="E135">
        <v>2</v>
      </c>
    </row>
    <row r="136" spans="1:5" x14ac:dyDescent="0.35">
      <c r="A136" s="21">
        <v>5793</v>
      </c>
      <c r="B136">
        <v>2</v>
      </c>
      <c r="C136">
        <v>1</v>
      </c>
      <c r="E136">
        <v>3</v>
      </c>
    </row>
    <row r="137" spans="1:5" x14ac:dyDescent="0.35">
      <c r="A137" s="21">
        <v>5803</v>
      </c>
      <c r="B137">
        <v>1</v>
      </c>
      <c r="C137">
        <v>1</v>
      </c>
      <c r="E137">
        <v>2</v>
      </c>
    </row>
    <row r="138" spans="1:5" x14ac:dyDescent="0.35">
      <c r="A138" s="21">
        <v>5804</v>
      </c>
      <c r="B138">
        <v>1</v>
      </c>
      <c r="C138">
        <v>1</v>
      </c>
      <c r="E138">
        <v>2</v>
      </c>
    </row>
    <row r="139" spans="1:5" x14ac:dyDescent="0.35">
      <c r="A139" s="21">
        <v>5805</v>
      </c>
      <c r="B139">
        <v>2</v>
      </c>
      <c r="C139">
        <v>1</v>
      </c>
      <c r="E139">
        <v>3</v>
      </c>
    </row>
    <row r="140" spans="1:5" x14ac:dyDescent="0.35">
      <c r="A140" s="21">
        <v>5806</v>
      </c>
      <c r="B140">
        <v>2</v>
      </c>
      <c r="C140">
        <v>1</v>
      </c>
      <c r="E140">
        <v>3</v>
      </c>
    </row>
    <row r="141" spans="1:5" x14ac:dyDescent="0.35">
      <c r="A141" s="21">
        <v>7041</v>
      </c>
      <c r="B141">
        <v>1</v>
      </c>
      <c r="C141">
        <v>1</v>
      </c>
      <c r="E141">
        <v>2</v>
      </c>
    </row>
    <row r="142" spans="1:5" x14ac:dyDescent="0.35">
      <c r="A142" s="21">
        <v>7042</v>
      </c>
      <c r="B142">
        <v>1</v>
      </c>
      <c r="C142">
        <v>1</v>
      </c>
      <c r="E142">
        <v>2</v>
      </c>
    </row>
    <row r="143" spans="1:5" x14ac:dyDescent="0.35">
      <c r="A143" s="21">
        <v>7044</v>
      </c>
      <c r="B143">
        <v>2</v>
      </c>
      <c r="C143">
        <v>1</v>
      </c>
      <c r="E143">
        <v>3</v>
      </c>
    </row>
    <row r="144" spans="1:5" x14ac:dyDescent="0.35">
      <c r="A144" s="21">
        <v>7045</v>
      </c>
      <c r="B144">
        <v>2</v>
      </c>
      <c r="C144">
        <v>1</v>
      </c>
      <c r="E144">
        <v>3</v>
      </c>
    </row>
    <row r="145" spans="1:5" x14ac:dyDescent="0.35">
      <c r="A145" s="21">
        <v>7046</v>
      </c>
      <c r="B145">
        <v>2</v>
      </c>
      <c r="E145">
        <v>2</v>
      </c>
    </row>
    <row r="146" spans="1:5" x14ac:dyDescent="0.35">
      <c r="A146" s="21">
        <v>7047</v>
      </c>
      <c r="B146">
        <v>1</v>
      </c>
      <c r="C146">
        <v>1</v>
      </c>
      <c r="E146">
        <v>2</v>
      </c>
    </row>
    <row r="147" spans="1:5" x14ac:dyDescent="0.35">
      <c r="A147" s="21">
        <v>7048</v>
      </c>
      <c r="B147">
        <v>1</v>
      </c>
      <c r="C147">
        <v>1</v>
      </c>
      <c r="E147">
        <v>2</v>
      </c>
    </row>
    <row r="148" spans="1:5" x14ac:dyDescent="0.35">
      <c r="A148" s="21">
        <v>7049</v>
      </c>
      <c r="B148">
        <v>1</v>
      </c>
      <c r="C148">
        <v>1</v>
      </c>
      <c r="E148">
        <v>2</v>
      </c>
    </row>
    <row r="149" spans="1:5" x14ac:dyDescent="0.35">
      <c r="A149" s="21">
        <v>7050</v>
      </c>
      <c r="B149">
        <v>2</v>
      </c>
      <c r="C149">
        <v>1</v>
      </c>
      <c r="E149">
        <v>3</v>
      </c>
    </row>
    <row r="150" spans="1:5" x14ac:dyDescent="0.35">
      <c r="A150" s="21">
        <v>7051</v>
      </c>
      <c r="B150">
        <v>1</v>
      </c>
      <c r="C150">
        <v>1</v>
      </c>
      <c r="E150">
        <v>2</v>
      </c>
    </row>
    <row r="151" spans="1:5" x14ac:dyDescent="0.35">
      <c r="A151" s="21">
        <v>7052</v>
      </c>
      <c r="B151">
        <v>1</v>
      </c>
      <c r="C151">
        <v>1</v>
      </c>
      <c r="E151">
        <v>2</v>
      </c>
    </row>
    <row r="152" spans="1:5" x14ac:dyDescent="0.35">
      <c r="A152" s="21">
        <v>7054</v>
      </c>
      <c r="B152">
        <v>2</v>
      </c>
      <c r="C152">
        <v>1</v>
      </c>
      <c r="E152">
        <v>3</v>
      </c>
    </row>
    <row r="153" spans="1:5" x14ac:dyDescent="0.35">
      <c r="A153" s="21">
        <v>7080</v>
      </c>
      <c r="B153">
        <v>1</v>
      </c>
      <c r="C153">
        <v>1</v>
      </c>
      <c r="E153">
        <v>2</v>
      </c>
    </row>
    <row r="154" spans="1:5" x14ac:dyDescent="0.35">
      <c r="A154" s="21">
        <v>7101</v>
      </c>
      <c r="B154">
        <v>1</v>
      </c>
      <c r="C154">
        <v>1</v>
      </c>
      <c r="E154">
        <v>2</v>
      </c>
    </row>
    <row r="155" spans="1:5" x14ac:dyDescent="0.35">
      <c r="A155" s="21">
        <v>7102</v>
      </c>
      <c r="B155">
        <v>1</v>
      </c>
      <c r="C155">
        <v>1</v>
      </c>
      <c r="E155">
        <v>2</v>
      </c>
    </row>
    <row r="156" spans="1:5" x14ac:dyDescent="0.35">
      <c r="A156" s="21">
        <v>7103</v>
      </c>
      <c r="B156">
        <v>1</v>
      </c>
      <c r="C156">
        <v>1</v>
      </c>
      <c r="E156">
        <v>2</v>
      </c>
    </row>
    <row r="157" spans="1:5" x14ac:dyDescent="0.35">
      <c r="A157" s="21">
        <v>7104</v>
      </c>
      <c r="B157">
        <v>1</v>
      </c>
      <c r="C157">
        <v>1</v>
      </c>
      <c r="E157">
        <v>2</v>
      </c>
    </row>
    <row r="158" spans="1:5" x14ac:dyDescent="0.35">
      <c r="A158" s="21">
        <v>7105</v>
      </c>
      <c r="B158">
        <v>1</v>
      </c>
      <c r="C158">
        <v>1</v>
      </c>
      <c r="E158">
        <v>2</v>
      </c>
    </row>
    <row r="159" spans="1:5" x14ac:dyDescent="0.35">
      <c r="A159" s="21">
        <v>7106</v>
      </c>
      <c r="B159">
        <v>1</v>
      </c>
      <c r="C159">
        <v>1</v>
      </c>
      <c r="E159">
        <v>2</v>
      </c>
    </row>
    <row r="160" spans="1:5" x14ac:dyDescent="0.35">
      <c r="A160" s="21">
        <v>7108</v>
      </c>
      <c r="B160">
        <v>1</v>
      </c>
      <c r="C160">
        <v>1</v>
      </c>
      <c r="E160">
        <v>2</v>
      </c>
    </row>
    <row r="161" spans="1:5" x14ac:dyDescent="0.35">
      <c r="A161" s="21">
        <v>7139</v>
      </c>
      <c r="B161">
        <v>1</v>
      </c>
      <c r="C161">
        <v>1</v>
      </c>
      <c r="E161">
        <v>2</v>
      </c>
    </row>
    <row r="162" spans="1:5" x14ac:dyDescent="0.35">
      <c r="A162" s="21">
        <v>7140</v>
      </c>
      <c r="B162">
        <v>1</v>
      </c>
      <c r="C162">
        <v>1</v>
      </c>
      <c r="E162">
        <v>2</v>
      </c>
    </row>
    <row r="163" spans="1:5" x14ac:dyDescent="0.35">
      <c r="A163" s="21">
        <v>7141</v>
      </c>
      <c r="B163">
        <v>1</v>
      </c>
      <c r="C163">
        <v>1</v>
      </c>
      <c r="E163">
        <v>2</v>
      </c>
    </row>
    <row r="164" spans="1:5" x14ac:dyDescent="0.35">
      <c r="A164" s="21">
        <v>7142</v>
      </c>
      <c r="B164">
        <v>1</v>
      </c>
      <c r="C164">
        <v>1</v>
      </c>
      <c r="E164">
        <v>2</v>
      </c>
    </row>
    <row r="165" spans="1:5" x14ac:dyDescent="0.35">
      <c r="A165" s="21">
        <v>7177</v>
      </c>
      <c r="B165">
        <v>1</v>
      </c>
      <c r="C165">
        <v>1</v>
      </c>
      <c r="E165">
        <v>2</v>
      </c>
    </row>
    <row r="166" spans="1:5" x14ac:dyDescent="0.35">
      <c r="A166" s="21">
        <v>7178</v>
      </c>
      <c r="B166">
        <v>2</v>
      </c>
      <c r="C166">
        <v>1</v>
      </c>
      <c r="E166">
        <v>3</v>
      </c>
    </row>
    <row r="167" spans="1:5" x14ac:dyDescent="0.35">
      <c r="A167" s="21">
        <v>7186</v>
      </c>
      <c r="B167">
        <v>2</v>
      </c>
      <c r="C167">
        <v>1</v>
      </c>
      <c r="E167">
        <v>3</v>
      </c>
    </row>
    <row r="168" spans="1:5" x14ac:dyDescent="0.35">
      <c r="A168" s="21">
        <v>7196</v>
      </c>
      <c r="B168">
        <v>1</v>
      </c>
      <c r="C168">
        <v>1</v>
      </c>
      <c r="E168">
        <v>2</v>
      </c>
    </row>
    <row r="169" spans="1:5" x14ac:dyDescent="0.35">
      <c r="A169" s="21">
        <v>7217</v>
      </c>
      <c r="B169">
        <v>2</v>
      </c>
      <c r="C169">
        <v>1</v>
      </c>
      <c r="E169">
        <v>3</v>
      </c>
    </row>
    <row r="170" spans="1:5" x14ac:dyDescent="0.35">
      <c r="A170" s="21">
        <v>7219</v>
      </c>
      <c r="B170">
        <v>1</v>
      </c>
      <c r="C170">
        <v>1</v>
      </c>
      <c r="E170">
        <v>2</v>
      </c>
    </row>
    <row r="171" spans="1:5" x14ac:dyDescent="0.35">
      <c r="A171" s="21">
        <v>7288</v>
      </c>
      <c r="B171">
        <v>1</v>
      </c>
      <c r="C171">
        <v>1</v>
      </c>
      <c r="E171">
        <v>2</v>
      </c>
    </row>
    <row r="172" spans="1:5" x14ac:dyDescent="0.35">
      <c r="A172" s="21">
        <v>7289</v>
      </c>
      <c r="B172">
        <v>1</v>
      </c>
      <c r="C172">
        <v>1</v>
      </c>
      <c r="E172">
        <v>2</v>
      </c>
    </row>
    <row r="173" spans="1:5" x14ac:dyDescent="0.35">
      <c r="A173" s="21">
        <v>7338</v>
      </c>
      <c r="B173">
        <v>2</v>
      </c>
      <c r="C173">
        <v>1</v>
      </c>
      <c r="E173">
        <v>3</v>
      </c>
    </row>
    <row r="174" spans="1:5" x14ac:dyDescent="0.35">
      <c r="A174" s="21">
        <v>7339</v>
      </c>
      <c r="B174">
        <v>1</v>
      </c>
      <c r="C174">
        <v>1</v>
      </c>
      <c r="E174">
        <v>2</v>
      </c>
    </row>
    <row r="175" spans="1:5" x14ac:dyDescent="0.35">
      <c r="A175" s="21">
        <v>7360</v>
      </c>
      <c r="B175">
        <v>2</v>
      </c>
      <c r="C175">
        <v>1</v>
      </c>
      <c r="E175">
        <v>3</v>
      </c>
    </row>
    <row r="176" spans="1:5" x14ac:dyDescent="0.35">
      <c r="A176" s="21">
        <v>7412</v>
      </c>
      <c r="B176">
        <v>1</v>
      </c>
      <c r="C176">
        <v>1</v>
      </c>
      <c r="E176">
        <v>2</v>
      </c>
    </row>
    <row r="177" spans="1:5" x14ac:dyDescent="0.35">
      <c r="A177" s="21">
        <v>7432</v>
      </c>
      <c r="B177">
        <v>2</v>
      </c>
      <c r="C177">
        <v>1</v>
      </c>
      <c r="E177">
        <v>3</v>
      </c>
    </row>
    <row r="178" spans="1:5" x14ac:dyDescent="0.35">
      <c r="A178" s="21">
        <v>7454</v>
      </c>
      <c r="B178">
        <v>2</v>
      </c>
      <c r="C178">
        <v>1</v>
      </c>
      <c r="E178">
        <v>3</v>
      </c>
    </row>
    <row r="179" spans="1:5" x14ac:dyDescent="0.35">
      <c r="A179" s="21">
        <v>7461</v>
      </c>
      <c r="B179">
        <v>2</v>
      </c>
      <c r="C179">
        <v>1</v>
      </c>
      <c r="E179">
        <v>3</v>
      </c>
    </row>
    <row r="180" spans="1:5" x14ac:dyDescent="0.35">
      <c r="A180" s="21">
        <v>7462</v>
      </c>
      <c r="B180">
        <v>1</v>
      </c>
      <c r="C180">
        <v>1</v>
      </c>
      <c r="E180">
        <v>2</v>
      </c>
    </row>
    <row r="181" spans="1:5" x14ac:dyDescent="0.35">
      <c r="A181" s="21">
        <v>7498</v>
      </c>
      <c r="B181">
        <v>1</v>
      </c>
      <c r="C181">
        <v>1</v>
      </c>
      <c r="E181">
        <v>2</v>
      </c>
    </row>
    <row r="182" spans="1:5" x14ac:dyDescent="0.35">
      <c r="A182" s="21">
        <v>7499</v>
      </c>
      <c r="B182">
        <v>1</v>
      </c>
      <c r="C182">
        <v>1</v>
      </c>
      <c r="E182">
        <v>2</v>
      </c>
    </row>
    <row r="183" spans="1:5" x14ac:dyDescent="0.35">
      <c r="A183" s="21">
        <v>7520</v>
      </c>
      <c r="B183">
        <v>1</v>
      </c>
      <c r="C183">
        <v>1</v>
      </c>
      <c r="E183">
        <v>2</v>
      </c>
    </row>
    <row r="184" spans="1:5" x14ac:dyDescent="0.35">
      <c r="A184" s="21">
        <v>7527</v>
      </c>
      <c r="B184">
        <v>1</v>
      </c>
      <c r="C184">
        <v>1</v>
      </c>
      <c r="E184">
        <v>2</v>
      </c>
    </row>
    <row r="185" spans="1:5" x14ac:dyDescent="0.35">
      <c r="A185" s="21">
        <v>7606</v>
      </c>
      <c r="B185">
        <v>1</v>
      </c>
      <c r="C185">
        <v>1</v>
      </c>
      <c r="E185">
        <v>2</v>
      </c>
    </row>
    <row r="186" spans="1:5" x14ac:dyDescent="0.35">
      <c r="A186" s="21">
        <v>7607</v>
      </c>
      <c r="B186">
        <v>1</v>
      </c>
      <c r="C186">
        <v>1</v>
      </c>
      <c r="E186">
        <v>2</v>
      </c>
    </row>
    <row r="187" spans="1:5" x14ac:dyDescent="0.35">
      <c r="A187" s="21">
        <v>7608</v>
      </c>
      <c r="B187">
        <v>1</v>
      </c>
      <c r="C187">
        <v>1</v>
      </c>
      <c r="E187">
        <v>2</v>
      </c>
    </row>
    <row r="188" spans="1:5" x14ac:dyDescent="0.35">
      <c r="A188" s="21">
        <v>7663</v>
      </c>
      <c r="B188">
        <v>1</v>
      </c>
      <c r="C188">
        <v>1</v>
      </c>
      <c r="E188">
        <v>2</v>
      </c>
    </row>
    <row r="189" spans="1:5" x14ac:dyDescent="0.35">
      <c r="A189" s="21">
        <v>7671</v>
      </c>
      <c r="B189">
        <v>1</v>
      </c>
      <c r="C189">
        <v>1</v>
      </c>
      <c r="E189">
        <v>2</v>
      </c>
    </row>
    <row r="190" spans="1:5" x14ac:dyDescent="0.35">
      <c r="A190" s="21">
        <v>7690</v>
      </c>
      <c r="B190">
        <v>1</v>
      </c>
      <c r="C190">
        <v>1</v>
      </c>
      <c r="E190">
        <v>2</v>
      </c>
    </row>
    <row r="191" spans="1:5" x14ac:dyDescent="0.35">
      <c r="A191" s="21">
        <v>7691</v>
      </c>
      <c r="B191">
        <v>1</v>
      </c>
      <c r="C191">
        <v>1</v>
      </c>
      <c r="E191">
        <v>2</v>
      </c>
    </row>
    <row r="192" spans="1:5" x14ac:dyDescent="0.35">
      <c r="A192" s="21">
        <v>7738</v>
      </c>
      <c r="B192">
        <v>1</v>
      </c>
      <c r="C192">
        <v>1</v>
      </c>
      <c r="E192">
        <v>2</v>
      </c>
    </row>
    <row r="193" spans="1:5" x14ac:dyDescent="0.35">
      <c r="A193" s="21">
        <v>7739</v>
      </c>
      <c r="B193">
        <v>2</v>
      </c>
      <c r="C193">
        <v>1</v>
      </c>
      <c r="E193">
        <v>3</v>
      </c>
    </row>
    <row r="194" spans="1:5" x14ac:dyDescent="0.35">
      <c r="A194" s="21">
        <v>7751</v>
      </c>
      <c r="B194">
        <v>2</v>
      </c>
      <c r="C194">
        <v>1</v>
      </c>
      <c r="E194">
        <v>3</v>
      </c>
    </row>
    <row r="195" spans="1:5" x14ac:dyDescent="0.35">
      <c r="A195" s="21">
        <v>7767</v>
      </c>
      <c r="B195">
        <v>1</v>
      </c>
      <c r="C195">
        <v>1</v>
      </c>
      <c r="E195">
        <v>2</v>
      </c>
    </row>
    <row r="196" spans="1:5" x14ac:dyDescent="0.35">
      <c r="A196" s="21">
        <v>7770</v>
      </c>
      <c r="B196">
        <v>2</v>
      </c>
      <c r="C196">
        <v>1</v>
      </c>
      <c r="E196">
        <v>3</v>
      </c>
    </row>
    <row r="197" spans="1:5" x14ac:dyDescent="0.35">
      <c r="A197" s="21">
        <v>7785</v>
      </c>
      <c r="B197">
        <v>2</v>
      </c>
      <c r="C197">
        <v>1</v>
      </c>
      <c r="E197">
        <v>3</v>
      </c>
    </row>
    <row r="198" spans="1:5" x14ac:dyDescent="0.35">
      <c r="A198" s="21">
        <v>7786</v>
      </c>
      <c r="B198">
        <v>2</v>
      </c>
      <c r="C198">
        <v>1</v>
      </c>
      <c r="E198">
        <v>3</v>
      </c>
    </row>
    <row r="199" spans="1:5" x14ac:dyDescent="0.35">
      <c r="A199" s="21">
        <v>7850</v>
      </c>
      <c r="B199">
        <v>1</v>
      </c>
      <c r="C199">
        <v>1</v>
      </c>
      <c r="E199">
        <v>2</v>
      </c>
    </row>
    <row r="200" spans="1:5" x14ac:dyDescent="0.35">
      <c r="A200" s="21">
        <v>7889</v>
      </c>
      <c r="B200">
        <v>1</v>
      </c>
      <c r="C200">
        <v>1</v>
      </c>
      <c r="E200">
        <v>2</v>
      </c>
    </row>
    <row r="201" spans="1:5" x14ac:dyDescent="0.35">
      <c r="A201" s="21">
        <v>7902</v>
      </c>
      <c r="B201">
        <v>1</v>
      </c>
      <c r="C201">
        <v>1</v>
      </c>
      <c r="E201">
        <v>2</v>
      </c>
    </row>
    <row r="202" spans="1:5" x14ac:dyDescent="0.35">
      <c r="A202" s="21">
        <v>7915</v>
      </c>
      <c r="B202">
        <v>2</v>
      </c>
      <c r="C202">
        <v>1</v>
      </c>
      <c r="E202">
        <v>3</v>
      </c>
    </row>
    <row r="203" spans="1:5" x14ac:dyDescent="0.35">
      <c r="A203" s="21">
        <v>7916</v>
      </c>
      <c r="B203">
        <v>1</v>
      </c>
      <c r="C203">
        <v>1</v>
      </c>
      <c r="E203">
        <v>2</v>
      </c>
    </row>
    <row r="204" spans="1:5" x14ac:dyDescent="0.35">
      <c r="A204" s="21">
        <v>7975</v>
      </c>
      <c r="B204">
        <v>2</v>
      </c>
      <c r="C204">
        <v>1</v>
      </c>
      <c r="E204">
        <v>3</v>
      </c>
    </row>
    <row r="205" spans="1:5" x14ac:dyDescent="0.35">
      <c r="A205" s="21">
        <v>8052</v>
      </c>
      <c r="B205">
        <v>2</v>
      </c>
      <c r="C205">
        <v>1</v>
      </c>
      <c r="E205">
        <v>3</v>
      </c>
    </row>
    <row r="206" spans="1:5" x14ac:dyDescent="0.35">
      <c r="A206" s="21">
        <v>8056</v>
      </c>
      <c r="B206">
        <v>1</v>
      </c>
      <c r="C206">
        <v>1</v>
      </c>
      <c r="E206">
        <v>2</v>
      </c>
    </row>
    <row r="207" spans="1:5" x14ac:dyDescent="0.35">
      <c r="A207" s="21">
        <v>8057</v>
      </c>
      <c r="B207">
        <v>1</v>
      </c>
      <c r="C207">
        <v>1</v>
      </c>
      <c r="E207">
        <v>2</v>
      </c>
    </row>
    <row r="208" spans="1:5" x14ac:dyDescent="0.35">
      <c r="A208" s="21">
        <v>8058</v>
      </c>
      <c r="B208">
        <v>1</v>
      </c>
      <c r="C208">
        <v>1</v>
      </c>
      <c r="E208">
        <v>2</v>
      </c>
    </row>
    <row r="209" spans="1:5" x14ac:dyDescent="0.35">
      <c r="A209" s="21">
        <v>8059</v>
      </c>
      <c r="B209">
        <v>2</v>
      </c>
      <c r="C209">
        <v>1</v>
      </c>
      <c r="E209">
        <v>3</v>
      </c>
    </row>
    <row r="210" spans="1:5" x14ac:dyDescent="0.35">
      <c r="A210" s="21">
        <v>8060</v>
      </c>
      <c r="B210">
        <v>2</v>
      </c>
      <c r="C210">
        <v>1</v>
      </c>
      <c r="E210">
        <v>3</v>
      </c>
    </row>
    <row r="211" spans="1:5" x14ac:dyDescent="0.35">
      <c r="A211" s="21">
        <v>8061</v>
      </c>
      <c r="B211">
        <v>1</v>
      </c>
      <c r="C211">
        <v>1</v>
      </c>
      <c r="E211">
        <v>2</v>
      </c>
    </row>
    <row r="212" spans="1:5" x14ac:dyDescent="0.35">
      <c r="A212" s="21">
        <v>8062</v>
      </c>
      <c r="B212">
        <v>1</v>
      </c>
      <c r="C212">
        <v>1</v>
      </c>
      <c r="E212">
        <v>2</v>
      </c>
    </row>
    <row r="213" spans="1:5" x14ac:dyDescent="0.35">
      <c r="A213" s="21">
        <v>8099</v>
      </c>
      <c r="B213">
        <v>2</v>
      </c>
      <c r="C213">
        <v>1</v>
      </c>
      <c r="E213">
        <v>3</v>
      </c>
    </row>
    <row r="214" spans="1:5" x14ac:dyDescent="0.35">
      <c r="A214" s="21">
        <v>8100</v>
      </c>
      <c r="B214">
        <v>1</v>
      </c>
      <c r="C214">
        <v>1</v>
      </c>
      <c r="E214">
        <v>2</v>
      </c>
    </row>
    <row r="215" spans="1:5" x14ac:dyDescent="0.35">
      <c r="A215" s="21">
        <v>8144</v>
      </c>
      <c r="B215">
        <v>1</v>
      </c>
      <c r="C215">
        <v>1</v>
      </c>
      <c r="E215">
        <v>2</v>
      </c>
    </row>
    <row r="216" spans="1:5" x14ac:dyDescent="0.35">
      <c r="A216" s="21">
        <v>8149</v>
      </c>
      <c r="B216">
        <v>1</v>
      </c>
      <c r="C216">
        <v>1</v>
      </c>
      <c r="E216">
        <v>2</v>
      </c>
    </row>
    <row r="217" spans="1:5" x14ac:dyDescent="0.35">
      <c r="A217" s="21">
        <v>8150</v>
      </c>
      <c r="B217">
        <v>1</v>
      </c>
      <c r="C217">
        <v>1</v>
      </c>
      <c r="E217">
        <v>2</v>
      </c>
    </row>
    <row r="218" spans="1:5" x14ac:dyDescent="0.35">
      <c r="A218" s="21">
        <v>8151</v>
      </c>
      <c r="B218">
        <v>1</v>
      </c>
      <c r="C218">
        <v>1</v>
      </c>
      <c r="E218">
        <v>2</v>
      </c>
    </row>
    <row r="219" spans="1:5" x14ac:dyDescent="0.35">
      <c r="A219" s="21">
        <v>8152</v>
      </c>
      <c r="B219">
        <v>1</v>
      </c>
      <c r="C219">
        <v>1</v>
      </c>
      <c r="E219">
        <v>2</v>
      </c>
    </row>
    <row r="220" spans="1:5" x14ac:dyDescent="0.35">
      <c r="A220" s="21">
        <v>8153</v>
      </c>
      <c r="B220">
        <v>1</v>
      </c>
      <c r="C220">
        <v>1</v>
      </c>
      <c r="E220">
        <v>2</v>
      </c>
    </row>
    <row r="221" spans="1:5" x14ac:dyDescent="0.35">
      <c r="A221" s="21">
        <v>8162</v>
      </c>
      <c r="B221">
        <v>1</v>
      </c>
      <c r="C221">
        <v>1</v>
      </c>
      <c r="E221">
        <v>2</v>
      </c>
    </row>
    <row r="222" spans="1:5" x14ac:dyDescent="0.35">
      <c r="A222" s="21" t="s">
        <v>2213</v>
      </c>
    </row>
    <row r="223" spans="1:5" x14ac:dyDescent="0.35">
      <c r="A223" s="21" t="s">
        <v>2214</v>
      </c>
      <c r="B223">
        <v>337</v>
      </c>
      <c r="C223">
        <v>253</v>
      </c>
      <c r="E223">
        <v>590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CE818-239F-4D6E-B971-D73A2425AED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3E98-64EC-4837-A3D4-36B71F653885}">
  <dimension ref="A1:M591"/>
  <sheetViews>
    <sheetView workbookViewId="0">
      <selection sqref="A1:XFD1048576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153</v>
      </c>
      <c r="B2" t="s">
        <v>14</v>
      </c>
      <c r="C2">
        <v>328715</v>
      </c>
      <c r="D2" t="s">
        <v>15</v>
      </c>
      <c r="E2" t="s">
        <v>154</v>
      </c>
      <c r="F2" t="s">
        <v>17</v>
      </c>
      <c r="G2" t="s">
        <v>155</v>
      </c>
      <c r="H2" t="s">
        <v>19</v>
      </c>
      <c r="I2" t="s">
        <v>156</v>
      </c>
      <c r="J2" t="s">
        <v>21</v>
      </c>
      <c r="K2" t="s">
        <v>157</v>
      </c>
      <c r="L2">
        <v>5630</v>
      </c>
      <c r="M2" t="s">
        <v>23</v>
      </c>
    </row>
    <row r="3" spans="1:13" x14ac:dyDescent="0.35">
      <c r="A3" t="s">
        <v>380</v>
      </c>
      <c r="B3" t="s">
        <v>14</v>
      </c>
      <c r="C3">
        <v>347095</v>
      </c>
      <c r="D3" t="s">
        <v>15</v>
      </c>
      <c r="E3" t="s">
        <v>381</v>
      </c>
      <c r="F3" t="s">
        <v>17</v>
      </c>
      <c r="G3" t="s">
        <v>382</v>
      </c>
      <c r="H3" t="s">
        <v>19</v>
      </c>
      <c r="I3" t="s">
        <v>383</v>
      </c>
      <c r="J3" t="s">
        <v>21</v>
      </c>
      <c r="K3" t="s">
        <v>157</v>
      </c>
      <c r="L3">
        <v>7042</v>
      </c>
      <c r="M3" t="s">
        <v>23</v>
      </c>
    </row>
    <row r="4" spans="1:13" x14ac:dyDescent="0.35">
      <c r="A4" t="s">
        <v>399</v>
      </c>
      <c r="B4" t="s">
        <v>14</v>
      </c>
      <c r="C4">
        <v>349672</v>
      </c>
      <c r="D4" t="s">
        <v>15</v>
      </c>
      <c r="E4" t="s">
        <v>400</v>
      </c>
      <c r="F4" t="s">
        <v>17</v>
      </c>
      <c r="G4" t="s">
        <v>401</v>
      </c>
      <c r="H4" t="s">
        <v>19</v>
      </c>
      <c r="I4" t="s">
        <v>402</v>
      </c>
      <c r="J4" t="s">
        <v>21</v>
      </c>
      <c r="K4" t="s">
        <v>157</v>
      </c>
      <c r="L4">
        <v>5631</v>
      </c>
      <c r="M4" t="s">
        <v>23</v>
      </c>
    </row>
    <row r="5" spans="1:13" x14ac:dyDescent="0.35">
      <c r="A5" t="s">
        <v>403</v>
      </c>
      <c r="B5" t="s">
        <v>14</v>
      </c>
      <c r="C5">
        <v>349673</v>
      </c>
      <c r="D5" t="s">
        <v>15</v>
      </c>
      <c r="E5" t="s">
        <v>404</v>
      </c>
      <c r="F5" t="s">
        <v>17</v>
      </c>
      <c r="G5" t="s">
        <v>405</v>
      </c>
      <c r="H5" t="s">
        <v>19</v>
      </c>
      <c r="I5" t="s">
        <v>406</v>
      </c>
      <c r="J5" t="s">
        <v>21</v>
      </c>
      <c r="K5" t="s">
        <v>157</v>
      </c>
      <c r="L5">
        <v>5633</v>
      </c>
      <c r="M5" t="s">
        <v>23</v>
      </c>
    </row>
    <row r="6" spans="1:13" x14ac:dyDescent="0.35">
      <c r="A6" t="s">
        <v>455</v>
      </c>
      <c r="B6" t="s">
        <v>14</v>
      </c>
      <c r="C6">
        <v>353821</v>
      </c>
      <c r="D6" t="s">
        <v>15</v>
      </c>
      <c r="E6" t="s">
        <v>456</v>
      </c>
      <c r="F6" t="s">
        <v>17</v>
      </c>
      <c r="G6" t="s">
        <v>457</v>
      </c>
      <c r="H6" t="s">
        <v>19</v>
      </c>
      <c r="I6" t="s">
        <v>458</v>
      </c>
      <c r="J6" t="s">
        <v>21</v>
      </c>
      <c r="K6" t="s">
        <v>157</v>
      </c>
      <c r="L6">
        <v>5714</v>
      </c>
      <c r="M6" t="s">
        <v>23</v>
      </c>
    </row>
    <row r="7" spans="1:13" x14ac:dyDescent="0.35">
      <c r="A7" t="s">
        <v>1485</v>
      </c>
      <c r="B7" t="s">
        <v>14</v>
      </c>
      <c r="C7">
        <v>393713</v>
      </c>
      <c r="D7" t="s">
        <v>15</v>
      </c>
      <c r="E7" t="s">
        <v>1486</v>
      </c>
      <c r="F7" t="s">
        <v>17</v>
      </c>
      <c r="G7" t="s">
        <v>1487</v>
      </c>
      <c r="H7" t="s">
        <v>19</v>
      </c>
      <c r="I7" t="s">
        <v>1488</v>
      </c>
      <c r="J7" t="s">
        <v>21</v>
      </c>
      <c r="K7" t="s">
        <v>157</v>
      </c>
      <c r="L7">
        <v>7105</v>
      </c>
      <c r="M7" t="s">
        <v>23</v>
      </c>
    </row>
    <row r="8" spans="1:13" x14ac:dyDescent="0.35">
      <c r="A8" t="s">
        <v>1489</v>
      </c>
      <c r="B8" t="s">
        <v>14</v>
      </c>
      <c r="C8">
        <v>393714</v>
      </c>
      <c r="D8" t="s">
        <v>15</v>
      </c>
      <c r="E8" t="s">
        <v>1490</v>
      </c>
      <c r="F8" t="s">
        <v>17</v>
      </c>
      <c r="G8" t="s">
        <v>1491</v>
      </c>
      <c r="H8" t="s">
        <v>19</v>
      </c>
      <c r="I8" t="s">
        <v>1492</v>
      </c>
      <c r="J8" t="s">
        <v>21</v>
      </c>
      <c r="K8" t="s">
        <v>157</v>
      </c>
      <c r="L8">
        <v>7103</v>
      </c>
      <c r="M8" t="s">
        <v>23</v>
      </c>
    </row>
    <row r="9" spans="1:13" x14ac:dyDescent="0.35">
      <c r="A9">
        <v>0</v>
      </c>
      <c r="B9" t="s">
        <v>14</v>
      </c>
      <c r="C9">
        <v>402426</v>
      </c>
      <c r="D9" t="s">
        <v>15</v>
      </c>
      <c r="E9" t="s">
        <v>1650</v>
      </c>
      <c r="F9" t="s">
        <v>17</v>
      </c>
      <c r="G9" t="s">
        <v>962</v>
      </c>
      <c r="H9" t="s">
        <v>19</v>
      </c>
      <c r="I9" t="s">
        <v>963</v>
      </c>
      <c r="J9" t="s">
        <v>21</v>
      </c>
      <c r="K9" t="s">
        <v>157</v>
      </c>
      <c r="L9">
        <v>7767</v>
      </c>
      <c r="M9" t="s">
        <v>23</v>
      </c>
    </row>
    <row r="10" spans="1:13" x14ac:dyDescent="0.35">
      <c r="A10" t="s">
        <v>1515</v>
      </c>
      <c r="B10" t="s">
        <v>14</v>
      </c>
      <c r="C10">
        <v>406319</v>
      </c>
      <c r="D10" t="s">
        <v>15</v>
      </c>
      <c r="E10" t="s">
        <v>1756</v>
      </c>
      <c r="F10" t="s">
        <v>17</v>
      </c>
      <c r="G10" t="s">
        <v>1757</v>
      </c>
      <c r="H10" t="s">
        <v>19</v>
      </c>
      <c r="I10" t="s">
        <v>1758</v>
      </c>
      <c r="J10" t="s">
        <v>21</v>
      </c>
      <c r="K10" t="s">
        <v>157</v>
      </c>
      <c r="L10">
        <v>7338</v>
      </c>
      <c r="M10" t="s">
        <v>23</v>
      </c>
    </row>
    <row r="11" spans="1:13" x14ac:dyDescent="0.35">
      <c r="A11" t="s">
        <v>1515</v>
      </c>
      <c r="B11" t="s">
        <v>14</v>
      </c>
      <c r="C11">
        <v>407210</v>
      </c>
      <c r="D11" t="s">
        <v>15</v>
      </c>
      <c r="E11" t="s">
        <v>1777</v>
      </c>
      <c r="F11" t="s">
        <v>17</v>
      </c>
      <c r="G11" t="s">
        <v>1757</v>
      </c>
      <c r="H11" t="s">
        <v>19</v>
      </c>
      <c r="I11" t="s">
        <v>1758</v>
      </c>
      <c r="J11" t="s">
        <v>21</v>
      </c>
      <c r="K11" t="s">
        <v>157</v>
      </c>
      <c r="L11">
        <v>7338</v>
      </c>
      <c r="M11" t="s">
        <v>23</v>
      </c>
    </row>
    <row r="12" spans="1:13" x14ac:dyDescent="0.35">
      <c r="A12" t="s">
        <v>1515</v>
      </c>
      <c r="B12" t="s">
        <v>14</v>
      </c>
      <c r="C12">
        <v>407211</v>
      </c>
      <c r="D12" t="s">
        <v>15</v>
      </c>
      <c r="E12" t="s">
        <v>1778</v>
      </c>
      <c r="F12" t="s">
        <v>17</v>
      </c>
      <c r="G12" t="s">
        <v>1607</v>
      </c>
      <c r="H12" t="s">
        <v>19</v>
      </c>
      <c r="I12" t="s">
        <v>1608</v>
      </c>
      <c r="J12" t="s">
        <v>21</v>
      </c>
      <c r="K12" t="s">
        <v>157</v>
      </c>
      <c r="L12">
        <v>7608</v>
      </c>
      <c r="M12" t="s">
        <v>23</v>
      </c>
    </row>
    <row r="13" spans="1:13" x14ac:dyDescent="0.35">
      <c r="A13" t="s">
        <v>960</v>
      </c>
      <c r="B13" t="s">
        <v>317</v>
      </c>
      <c r="C13">
        <v>379306</v>
      </c>
      <c r="D13" t="s">
        <v>15</v>
      </c>
      <c r="E13" t="s">
        <v>961</v>
      </c>
      <c r="F13" t="s">
        <v>319</v>
      </c>
      <c r="G13" t="s">
        <v>962</v>
      </c>
      <c r="H13" t="s">
        <v>19</v>
      </c>
      <c r="I13" t="s">
        <v>963</v>
      </c>
      <c r="J13" t="s">
        <v>21</v>
      </c>
      <c r="K13" t="s">
        <v>157</v>
      </c>
      <c r="L13">
        <v>7767</v>
      </c>
      <c r="M13" t="s">
        <v>673</v>
      </c>
    </row>
    <row r="14" spans="1:13" x14ac:dyDescent="0.35">
      <c r="A14" t="s">
        <v>1007</v>
      </c>
      <c r="B14" t="s">
        <v>317</v>
      </c>
      <c r="C14">
        <v>380521</v>
      </c>
      <c r="D14" t="s">
        <v>15</v>
      </c>
      <c r="E14" t="s">
        <v>1008</v>
      </c>
      <c r="F14" t="s">
        <v>319</v>
      </c>
      <c r="G14" t="s">
        <v>405</v>
      </c>
      <c r="H14" t="s">
        <v>19</v>
      </c>
      <c r="I14" t="s">
        <v>406</v>
      </c>
      <c r="J14" t="s">
        <v>21</v>
      </c>
      <c r="K14" t="s">
        <v>157</v>
      </c>
      <c r="L14">
        <v>5633</v>
      </c>
      <c r="M14" t="s">
        <v>673</v>
      </c>
    </row>
    <row r="15" spans="1:13" x14ac:dyDescent="0.35">
      <c r="A15">
        <v>0</v>
      </c>
      <c r="B15" t="s">
        <v>317</v>
      </c>
      <c r="C15">
        <v>400915</v>
      </c>
      <c r="D15" t="s">
        <v>15</v>
      </c>
      <c r="E15" t="s">
        <v>1606</v>
      </c>
      <c r="F15" t="s">
        <v>319</v>
      </c>
      <c r="G15" t="s">
        <v>1607</v>
      </c>
      <c r="H15" t="s">
        <v>19</v>
      </c>
      <c r="I15" t="s">
        <v>1608</v>
      </c>
      <c r="J15" t="s">
        <v>21</v>
      </c>
      <c r="K15" t="s">
        <v>157</v>
      </c>
      <c r="L15">
        <v>7608</v>
      </c>
      <c r="M15" t="s">
        <v>673</v>
      </c>
    </row>
    <row r="16" spans="1:13" x14ac:dyDescent="0.35">
      <c r="A16">
        <v>0</v>
      </c>
      <c r="B16" t="s">
        <v>317</v>
      </c>
      <c r="C16">
        <v>402428</v>
      </c>
      <c r="D16" t="s">
        <v>15</v>
      </c>
      <c r="E16" t="s">
        <v>1651</v>
      </c>
      <c r="F16" t="s">
        <v>319</v>
      </c>
      <c r="G16" t="s">
        <v>401</v>
      </c>
      <c r="H16" t="s">
        <v>19</v>
      </c>
      <c r="I16" t="s">
        <v>402</v>
      </c>
      <c r="J16" t="s">
        <v>21</v>
      </c>
      <c r="K16" t="s">
        <v>157</v>
      </c>
      <c r="L16">
        <v>5631</v>
      </c>
      <c r="M16" t="s">
        <v>673</v>
      </c>
    </row>
    <row r="17" spans="1:13" x14ac:dyDescent="0.35">
      <c r="A17">
        <v>0</v>
      </c>
      <c r="B17" t="s">
        <v>317</v>
      </c>
      <c r="C17">
        <v>402429</v>
      </c>
      <c r="D17" t="s">
        <v>15</v>
      </c>
      <c r="E17" t="s">
        <v>1652</v>
      </c>
      <c r="F17" t="s">
        <v>319</v>
      </c>
      <c r="G17" t="s">
        <v>1487</v>
      </c>
      <c r="H17" t="s">
        <v>19</v>
      </c>
      <c r="I17" t="s">
        <v>1488</v>
      </c>
      <c r="J17" t="s">
        <v>21</v>
      </c>
      <c r="K17" t="s">
        <v>157</v>
      </c>
      <c r="L17">
        <v>7105</v>
      </c>
      <c r="M17" t="s">
        <v>673</v>
      </c>
    </row>
    <row r="18" spans="1:13" x14ac:dyDescent="0.35">
      <c r="A18" t="s">
        <v>1515</v>
      </c>
      <c r="B18" t="s">
        <v>317</v>
      </c>
      <c r="C18">
        <v>406318</v>
      </c>
      <c r="D18" t="s">
        <v>15</v>
      </c>
      <c r="E18" t="s">
        <v>1755</v>
      </c>
      <c r="F18" t="s">
        <v>319</v>
      </c>
      <c r="G18" t="s">
        <v>155</v>
      </c>
      <c r="H18" t="s">
        <v>19</v>
      </c>
      <c r="I18" t="s">
        <v>156</v>
      </c>
      <c r="J18" t="s">
        <v>21</v>
      </c>
      <c r="K18" t="s">
        <v>157</v>
      </c>
      <c r="L18">
        <v>5630</v>
      </c>
      <c r="M18" t="s">
        <v>23</v>
      </c>
    </row>
    <row r="19" spans="1:13" x14ac:dyDescent="0.35">
      <c r="A19" t="s">
        <v>1515</v>
      </c>
      <c r="B19" t="s">
        <v>317</v>
      </c>
      <c r="C19">
        <v>407421</v>
      </c>
      <c r="D19" t="s">
        <v>15</v>
      </c>
      <c r="E19" t="s">
        <v>1783</v>
      </c>
      <c r="F19" t="s">
        <v>319</v>
      </c>
      <c r="G19" t="s">
        <v>1491</v>
      </c>
      <c r="H19" t="s">
        <v>19</v>
      </c>
      <c r="I19" t="s">
        <v>1492</v>
      </c>
      <c r="J19" t="s">
        <v>21</v>
      </c>
      <c r="K19" t="s">
        <v>157</v>
      </c>
      <c r="L19">
        <v>7103</v>
      </c>
      <c r="M19" t="s">
        <v>23</v>
      </c>
    </row>
    <row r="20" spans="1:13" x14ac:dyDescent="0.35">
      <c r="A20">
        <v>0</v>
      </c>
      <c r="B20" t="s">
        <v>317</v>
      </c>
      <c r="C20">
        <v>407495</v>
      </c>
      <c r="D20" t="s">
        <v>15</v>
      </c>
      <c r="E20" t="s">
        <v>1786</v>
      </c>
      <c r="F20" t="s">
        <v>319</v>
      </c>
      <c r="G20" t="s">
        <v>382</v>
      </c>
      <c r="H20" t="s">
        <v>19</v>
      </c>
      <c r="I20" t="s">
        <v>383</v>
      </c>
      <c r="J20" t="s">
        <v>21</v>
      </c>
      <c r="K20" t="s">
        <v>157</v>
      </c>
      <c r="L20">
        <v>7042</v>
      </c>
      <c r="M20" t="s">
        <v>673</v>
      </c>
    </row>
    <row r="21" spans="1:13" x14ac:dyDescent="0.35">
      <c r="A21">
        <v>0</v>
      </c>
      <c r="B21" t="s">
        <v>317</v>
      </c>
      <c r="C21">
        <v>407544</v>
      </c>
      <c r="D21" t="s">
        <v>15</v>
      </c>
      <c r="E21" t="s">
        <v>1787</v>
      </c>
      <c r="F21" t="s">
        <v>319</v>
      </c>
      <c r="G21" t="s">
        <v>1757</v>
      </c>
      <c r="H21" t="s">
        <v>19</v>
      </c>
      <c r="I21" t="s">
        <v>1758</v>
      </c>
      <c r="J21" t="s">
        <v>21</v>
      </c>
      <c r="K21" t="s">
        <v>157</v>
      </c>
      <c r="L21">
        <v>7338</v>
      </c>
      <c r="M21" t="s">
        <v>673</v>
      </c>
    </row>
    <row r="22" spans="1:13" x14ac:dyDescent="0.35">
      <c r="A22">
        <v>0</v>
      </c>
      <c r="B22" t="s">
        <v>317</v>
      </c>
      <c r="C22">
        <v>413253</v>
      </c>
      <c r="D22" t="s">
        <v>15</v>
      </c>
      <c r="E22" t="s">
        <v>1898</v>
      </c>
      <c r="F22" t="s">
        <v>319</v>
      </c>
      <c r="G22" t="s">
        <v>457</v>
      </c>
      <c r="H22" t="s">
        <v>19</v>
      </c>
      <c r="I22" t="s">
        <v>458</v>
      </c>
      <c r="J22" t="s">
        <v>21</v>
      </c>
      <c r="K22" t="s">
        <v>157</v>
      </c>
      <c r="L22">
        <v>5714</v>
      </c>
      <c r="M22" t="s">
        <v>673</v>
      </c>
    </row>
    <row r="23" spans="1:13" x14ac:dyDescent="0.35">
      <c r="A23" t="s">
        <v>350</v>
      </c>
      <c r="B23" t="s">
        <v>14</v>
      </c>
      <c r="C23">
        <v>344835</v>
      </c>
      <c r="D23" t="s">
        <v>15</v>
      </c>
      <c r="E23" t="s">
        <v>351</v>
      </c>
      <c r="F23" t="s">
        <v>17</v>
      </c>
      <c r="G23" t="s">
        <v>352</v>
      </c>
      <c r="H23" t="s">
        <v>19</v>
      </c>
      <c r="I23" t="s">
        <v>353</v>
      </c>
      <c r="J23" t="s">
        <v>21</v>
      </c>
      <c r="K23" t="s">
        <v>354</v>
      </c>
      <c r="L23">
        <v>3389</v>
      </c>
      <c r="M23" t="s">
        <v>23</v>
      </c>
    </row>
    <row r="24" spans="1:13" x14ac:dyDescent="0.35">
      <c r="A24" t="s">
        <v>357</v>
      </c>
      <c r="B24" t="s">
        <v>14</v>
      </c>
      <c r="C24">
        <v>344837</v>
      </c>
      <c r="D24" t="s">
        <v>15</v>
      </c>
      <c r="E24" t="s">
        <v>358</v>
      </c>
      <c r="F24" t="s">
        <v>17</v>
      </c>
      <c r="G24" t="s">
        <v>359</v>
      </c>
      <c r="H24" t="s">
        <v>19</v>
      </c>
      <c r="I24" t="s">
        <v>360</v>
      </c>
      <c r="J24" t="s">
        <v>21</v>
      </c>
      <c r="K24" t="s">
        <v>354</v>
      </c>
      <c r="L24">
        <v>5603</v>
      </c>
      <c r="M24" t="s">
        <v>23</v>
      </c>
    </row>
    <row r="25" spans="1:13" x14ac:dyDescent="0.35">
      <c r="A25" t="s">
        <v>533</v>
      </c>
      <c r="B25" t="s">
        <v>14</v>
      </c>
      <c r="C25">
        <v>359716</v>
      </c>
      <c r="D25" t="s">
        <v>15</v>
      </c>
      <c r="E25" t="s">
        <v>534</v>
      </c>
      <c r="F25" t="s">
        <v>17</v>
      </c>
      <c r="G25" t="s">
        <v>535</v>
      </c>
      <c r="H25" t="s">
        <v>19</v>
      </c>
      <c r="I25" t="s">
        <v>536</v>
      </c>
      <c r="J25" t="s">
        <v>21</v>
      </c>
      <c r="K25" t="s">
        <v>354</v>
      </c>
      <c r="L25">
        <v>5602</v>
      </c>
      <c r="M25" t="s">
        <v>23</v>
      </c>
    </row>
    <row r="26" spans="1:13" x14ac:dyDescent="0.35">
      <c r="A26" t="s">
        <v>572</v>
      </c>
      <c r="B26" t="s">
        <v>14</v>
      </c>
      <c r="C26">
        <v>362547</v>
      </c>
      <c r="D26" t="s">
        <v>15</v>
      </c>
      <c r="E26" t="s">
        <v>573</v>
      </c>
      <c r="F26" t="s">
        <v>17</v>
      </c>
      <c r="G26" t="s">
        <v>352</v>
      </c>
      <c r="H26" t="s">
        <v>19</v>
      </c>
      <c r="I26" t="s">
        <v>353</v>
      </c>
      <c r="J26" t="s">
        <v>21</v>
      </c>
      <c r="K26" t="s">
        <v>354</v>
      </c>
      <c r="L26">
        <v>3389</v>
      </c>
      <c r="M26" t="s">
        <v>23</v>
      </c>
    </row>
    <row r="27" spans="1:13" x14ac:dyDescent="0.35">
      <c r="A27" t="s">
        <v>622</v>
      </c>
      <c r="B27" t="s">
        <v>14</v>
      </c>
      <c r="C27">
        <v>368655</v>
      </c>
      <c r="D27" t="s">
        <v>15</v>
      </c>
      <c r="E27" t="s">
        <v>623</v>
      </c>
      <c r="F27" t="s">
        <v>17</v>
      </c>
      <c r="G27" t="s">
        <v>624</v>
      </c>
      <c r="H27" t="s">
        <v>19</v>
      </c>
      <c r="I27" t="s">
        <v>625</v>
      </c>
      <c r="J27" t="s">
        <v>21</v>
      </c>
      <c r="K27" t="s">
        <v>354</v>
      </c>
      <c r="L27">
        <v>7339</v>
      </c>
      <c r="M27" t="s">
        <v>23</v>
      </c>
    </row>
    <row r="28" spans="1:13" x14ac:dyDescent="0.35">
      <c r="A28" t="s">
        <v>807</v>
      </c>
      <c r="B28" t="s">
        <v>14</v>
      </c>
      <c r="C28">
        <v>375478</v>
      </c>
      <c r="D28" t="s">
        <v>15</v>
      </c>
      <c r="E28" t="s">
        <v>808</v>
      </c>
      <c r="F28" t="s">
        <v>17</v>
      </c>
      <c r="G28" t="s">
        <v>535</v>
      </c>
      <c r="H28" t="s">
        <v>19</v>
      </c>
      <c r="I28" t="s">
        <v>536</v>
      </c>
      <c r="J28" t="s">
        <v>21</v>
      </c>
      <c r="K28" t="s">
        <v>354</v>
      </c>
      <c r="L28">
        <v>5602</v>
      </c>
      <c r="M28" t="s">
        <v>23</v>
      </c>
    </row>
    <row r="29" spans="1:13" x14ac:dyDescent="0.35">
      <c r="A29" t="s">
        <v>834</v>
      </c>
      <c r="B29" t="s">
        <v>14</v>
      </c>
      <c r="C29">
        <v>375893</v>
      </c>
      <c r="D29" t="s">
        <v>15</v>
      </c>
      <c r="E29" t="s">
        <v>835</v>
      </c>
      <c r="F29" t="s">
        <v>17</v>
      </c>
      <c r="G29" t="s">
        <v>836</v>
      </c>
      <c r="H29" t="s">
        <v>19</v>
      </c>
      <c r="I29" t="s">
        <v>837</v>
      </c>
      <c r="J29" t="s">
        <v>21</v>
      </c>
      <c r="K29" t="s">
        <v>354</v>
      </c>
      <c r="L29">
        <v>3388</v>
      </c>
      <c r="M29" t="s">
        <v>23</v>
      </c>
    </row>
    <row r="30" spans="1:13" x14ac:dyDescent="0.35">
      <c r="A30" t="s">
        <v>902</v>
      </c>
      <c r="B30" t="s">
        <v>14</v>
      </c>
      <c r="C30">
        <v>377222</v>
      </c>
      <c r="D30" t="s">
        <v>15</v>
      </c>
      <c r="E30" t="s">
        <v>903</v>
      </c>
      <c r="F30" t="s">
        <v>17</v>
      </c>
      <c r="G30" t="s">
        <v>359</v>
      </c>
      <c r="H30" t="s">
        <v>19</v>
      </c>
      <c r="I30" t="s">
        <v>360</v>
      </c>
      <c r="J30" t="s">
        <v>21</v>
      </c>
      <c r="K30" t="s">
        <v>354</v>
      </c>
      <c r="L30">
        <v>5603</v>
      </c>
      <c r="M30" t="s">
        <v>23</v>
      </c>
    </row>
    <row r="31" spans="1:13" x14ac:dyDescent="0.35">
      <c r="A31" t="s">
        <v>1452</v>
      </c>
      <c r="B31" t="s">
        <v>14</v>
      </c>
      <c r="C31">
        <v>393260</v>
      </c>
      <c r="D31" t="s">
        <v>15</v>
      </c>
      <c r="E31" t="s">
        <v>1453</v>
      </c>
      <c r="F31" t="s">
        <v>17</v>
      </c>
      <c r="G31" t="s">
        <v>1454</v>
      </c>
      <c r="H31" t="s">
        <v>19</v>
      </c>
      <c r="I31" t="s">
        <v>1455</v>
      </c>
      <c r="J31" t="s">
        <v>21</v>
      </c>
      <c r="K31" t="s">
        <v>354</v>
      </c>
      <c r="L31">
        <v>7102</v>
      </c>
      <c r="M31" t="s">
        <v>23</v>
      </c>
    </row>
    <row r="32" spans="1:13" x14ac:dyDescent="0.35">
      <c r="A32" t="s">
        <v>1515</v>
      </c>
      <c r="B32" t="s">
        <v>14</v>
      </c>
      <c r="C32">
        <v>404605</v>
      </c>
      <c r="D32" t="s">
        <v>15</v>
      </c>
      <c r="E32" t="s">
        <v>1683</v>
      </c>
      <c r="F32" t="s">
        <v>17</v>
      </c>
      <c r="G32" t="s">
        <v>836</v>
      </c>
      <c r="H32" t="s">
        <v>19</v>
      </c>
      <c r="I32" t="s">
        <v>837</v>
      </c>
      <c r="J32" t="s">
        <v>21</v>
      </c>
      <c r="K32" t="s">
        <v>354</v>
      </c>
      <c r="L32">
        <v>3388</v>
      </c>
      <c r="M32" t="s">
        <v>23</v>
      </c>
    </row>
    <row r="33" spans="1:13" x14ac:dyDescent="0.35">
      <c r="A33" t="s">
        <v>1515</v>
      </c>
      <c r="B33" t="s">
        <v>14</v>
      </c>
      <c r="C33">
        <v>404615</v>
      </c>
      <c r="D33" t="s">
        <v>15</v>
      </c>
      <c r="E33" t="s">
        <v>1690</v>
      </c>
      <c r="F33" t="s">
        <v>17</v>
      </c>
      <c r="G33" t="s">
        <v>1686</v>
      </c>
      <c r="H33" t="s">
        <v>19</v>
      </c>
      <c r="I33" t="s">
        <v>1687</v>
      </c>
      <c r="J33" t="s">
        <v>21</v>
      </c>
      <c r="K33" t="s">
        <v>354</v>
      </c>
      <c r="L33">
        <v>7663</v>
      </c>
      <c r="M33" t="s">
        <v>23</v>
      </c>
    </row>
    <row r="34" spans="1:13" x14ac:dyDescent="0.35">
      <c r="A34" t="s">
        <v>1515</v>
      </c>
      <c r="B34" t="s">
        <v>14</v>
      </c>
      <c r="C34">
        <v>406877</v>
      </c>
      <c r="D34" t="s">
        <v>15</v>
      </c>
      <c r="E34" t="s">
        <v>1768</v>
      </c>
      <c r="F34" t="s">
        <v>17</v>
      </c>
      <c r="G34" t="s">
        <v>1698</v>
      </c>
      <c r="H34" t="s">
        <v>19</v>
      </c>
      <c r="I34" t="s">
        <v>1699</v>
      </c>
      <c r="J34" t="s">
        <v>21</v>
      </c>
      <c r="K34" t="s">
        <v>354</v>
      </c>
      <c r="L34">
        <v>8149</v>
      </c>
      <c r="M34" t="s">
        <v>23</v>
      </c>
    </row>
    <row r="35" spans="1:13" x14ac:dyDescent="0.35">
      <c r="A35" t="s">
        <v>911</v>
      </c>
      <c r="B35" t="s">
        <v>317</v>
      </c>
      <c r="C35">
        <v>377265</v>
      </c>
      <c r="D35" t="s">
        <v>15</v>
      </c>
      <c r="E35" t="s">
        <v>912</v>
      </c>
      <c r="F35" t="s">
        <v>319</v>
      </c>
      <c r="G35" t="s">
        <v>359</v>
      </c>
      <c r="H35" t="s">
        <v>19</v>
      </c>
      <c r="I35" t="s">
        <v>360</v>
      </c>
      <c r="J35" t="s">
        <v>21</v>
      </c>
      <c r="K35" t="s">
        <v>354</v>
      </c>
      <c r="L35">
        <v>5603</v>
      </c>
      <c r="M35" t="s">
        <v>673</v>
      </c>
    </row>
    <row r="36" spans="1:13" x14ac:dyDescent="0.35">
      <c r="A36" t="s">
        <v>1416</v>
      </c>
      <c r="B36" t="s">
        <v>317</v>
      </c>
      <c r="C36">
        <v>392501</v>
      </c>
      <c r="D36" t="s">
        <v>15</v>
      </c>
      <c r="E36" t="s">
        <v>1417</v>
      </c>
      <c r="F36" t="s">
        <v>319</v>
      </c>
      <c r="G36" t="s">
        <v>535</v>
      </c>
      <c r="H36" t="s">
        <v>19</v>
      </c>
      <c r="I36" t="s">
        <v>536</v>
      </c>
      <c r="J36" t="s">
        <v>21</v>
      </c>
      <c r="K36" t="s">
        <v>354</v>
      </c>
      <c r="L36">
        <v>5602</v>
      </c>
      <c r="M36" t="s">
        <v>673</v>
      </c>
    </row>
    <row r="37" spans="1:13" x14ac:dyDescent="0.35">
      <c r="A37">
        <v>0</v>
      </c>
      <c r="B37" t="s">
        <v>317</v>
      </c>
      <c r="C37">
        <v>401204</v>
      </c>
      <c r="D37" t="s">
        <v>15</v>
      </c>
      <c r="E37" t="s">
        <v>1616</v>
      </c>
      <c r="F37" t="s">
        <v>319</v>
      </c>
      <c r="G37" t="s">
        <v>836</v>
      </c>
      <c r="H37" t="s">
        <v>19</v>
      </c>
      <c r="I37" t="s">
        <v>837</v>
      </c>
      <c r="J37" t="s">
        <v>21</v>
      </c>
      <c r="K37" t="s">
        <v>354</v>
      </c>
      <c r="L37">
        <v>3388</v>
      </c>
      <c r="M37" t="s">
        <v>673</v>
      </c>
    </row>
    <row r="38" spans="1:13" x14ac:dyDescent="0.35">
      <c r="A38" t="s">
        <v>1515</v>
      </c>
      <c r="B38" t="s">
        <v>317</v>
      </c>
      <c r="C38">
        <v>404604</v>
      </c>
      <c r="D38" t="s">
        <v>15</v>
      </c>
      <c r="E38" t="s">
        <v>1682</v>
      </c>
      <c r="F38" t="s">
        <v>319</v>
      </c>
      <c r="G38" t="s">
        <v>359</v>
      </c>
      <c r="H38" t="s">
        <v>19</v>
      </c>
      <c r="I38" t="s">
        <v>360</v>
      </c>
      <c r="J38" t="s">
        <v>21</v>
      </c>
      <c r="K38" t="s">
        <v>354</v>
      </c>
      <c r="L38">
        <v>5603</v>
      </c>
      <c r="M38" t="s">
        <v>23</v>
      </c>
    </row>
    <row r="39" spans="1:13" x14ac:dyDescent="0.35">
      <c r="A39" t="s">
        <v>1515</v>
      </c>
      <c r="B39" t="s">
        <v>317</v>
      </c>
      <c r="C39">
        <v>404606</v>
      </c>
      <c r="D39" t="s">
        <v>15</v>
      </c>
      <c r="E39" t="s">
        <v>1684</v>
      </c>
      <c r="F39" t="s">
        <v>319</v>
      </c>
      <c r="G39" t="s">
        <v>836</v>
      </c>
      <c r="H39" t="s">
        <v>19</v>
      </c>
      <c r="I39" t="s">
        <v>837</v>
      </c>
      <c r="J39" t="s">
        <v>21</v>
      </c>
      <c r="K39" t="s">
        <v>354</v>
      </c>
      <c r="L39">
        <v>3388</v>
      </c>
      <c r="M39" t="s">
        <v>23</v>
      </c>
    </row>
    <row r="40" spans="1:13" x14ac:dyDescent="0.35">
      <c r="A40" t="s">
        <v>1515</v>
      </c>
      <c r="B40" t="s">
        <v>317</v>
      </c>
      <c r="C40">
        <v>404607</v>
      </c>
      <c r="D40" t="s">
        <v>15</v>
      </c>
      <c r="E40" t="s">
        <v>1685</v>
      </c>
      <c r="F40" t="s">
        <v>319</v>
      </c>
      <c r="G40" t="s">
        <v>1686</v>
      </c>
      <c r="H40" t="s">
        <v>19</v>
      </c>
      <c r="I40" t="s">
        <v>1687</v>
      </c>
      <c r="J40" t="s">
        <v>21</v>
      </c>
      <c r="K40" t="s">
        <v>354</v>
      </c>
      <c r="L40">
        <v>7663</v>
      </c>
      <c r="M40" t="s">
        <v>23</v>
      </c>
    </row>
    <row r="41" spans="1:13" x14ac:dyDescent="0.35">
      <c r="A41" t="s">
        <v>1515</v>
      </c>
      <c r="B41" t="s">
        <v>317</v>
      </c>
      <c r="C41">
        <v>404608</v>
      </c>
      <c r="D41" t="s">
        <v>15</v>
      </c>
      <c r="E41" t="s">
        <v>1688</v>
      </c>
      <c r="F41" t="s">
        <v>319</v>
      </c>
      <c r="G41" t="s">
        <v>624</v>
      </c>
      <c r="H41" t="s">
        <v>19</v>
      </c>
      <c r="I41" t="s">
        <v>625</v>
      </c>
      <c r="J41" t="s">
        <v>21</v>
      </c>
      <c r="K41" t="s">
        <v>354</v>
      </c>
      <c r="L41">
        <v>7339</v>
      </c>
      <c r="M41" t="s">
        <v>23</v>
      </c>
    </row>
    <row r="42" spans="1:13" x14ac:dyDescent="0.35">
      <c r="A42" t="s">
        <v>1515</v>
      </c>
      <c r="B42" t="s">
        <v>317</v>
      </c>
      <c r="C42">
        <v>404623</v>
      </c>
      <c r="D42" t="s">
        <v>15</v>
      </c>
      <c r="E42" t="s">
        <v>1696</v>
      </c>
      <c r="F42" t="s">
        <v>319</v>
      </c>
      <c r="G42" t="s">
        <v>352</v>
      </c>
      <c r="H42" t="s">
        <v>19</v>
      </c>
      <c r="I42" t="s">
        <v>353</v>
      </c>
      <c r="J42" t="s">
        <v>21</v>
      </c>
      <c r="K42" t="s">
        <v>354</v>
      </c>
      <c r="L42">
        <v>3389</v>
      </c>
      <c r="M42" t="s">
        <v>23</v>
      </c>
    </row>
    <row r="43" spans="1:13" x14ac:dyDescent="0.35">
      <c r="A43" t="s">
        <v>1515</v>
      </c>
      <c r="B43" t="s">
        <v>317</v>
      </c>
      <c r="C43">
        <v>404624</v>
      </c>
      <c r="D43" t="s">
        <v>15</v>
      </c>
      <c r="E43" t="s">
        <v>1697</v>
      </c>
      <c r="F43" t="s">
        <v>319</v>
      </c>
      <c r="G43" t="s">
        <v>1698</v>
      </c>
      <c r="H43" t="s">
        <v>19</v>
      </c>
      <c r="I43" t="s">
        <v>1699</v>
      </c>
      <c r="J43" t="s">
        <v>21</v>
      </c>
      <c r="K43" t="s">
        <v>354</v>
      </c>
      <c r="L43">
        <v>8149</v>
      </c>
      <c r="M43" t="s">
        <v>23</v>
      </c>
    </row>
    <row r="44" spans="1:13" x14ac:dyDescent="0.35">
      <c r="A44">
        <v>0</v>
      </c>
      <c r="B44" t="s">
        <v>317</v>
      </c>
      <c r="C44">
        <v>407447</v>
      </c>
      <c r="D44" t="s">
        <v>15</v>
      </c>
      <c r="E44" t="s">
        <v>1785</v>
      </c>
      <c r="F44" t="s">
        <v>319</v>
      </c>
      <c r="G44" t="s">
        <v>1454</v>
      </c>
      <c r="H44" t="s">
        <v>19</v>
      </c>
      <c r="I44" t="s">
        <v>1455</v>
      </c>
      <c r="J44" t="s">
        <v>21</v>
      </c>
      <c r="K44" t="s">
        <v>354</v>
      </c>
      <c r="L44">
        <v>7102</v>
      </c>
      <c r="M44" t="s">
        <v>673</v>
      </c>
    </row>
    <row r="45" spans="1:13" x14ac:dyDescent="0.35">
      <c r="A45" t="s">
        <v>58</v>
      </c>
      <c r="B45" t="s">
        <v>14</v>
      </c>
      <c r="C45">
        <v>328386</v>
      </c>
      <c r="D45" t="s">
        <v>15</v>
      </c>
      <c r="E45" t="s">
        <v>59</v>
      </c>
      <c r="F45" t="s">
        <v>17</v>
      </c>
      <c r="G45" t="s">
        <v>60</v>
      </c>
      <c r="H45" t="s">
        <v>19</v>
      </c>
      <c r="I45" t="s">
        <v>61</v>
      </c>
      <c r="J45" t="s">
        <v>21</v>
      </c>
      <c r="K45" t="s">
        <v>62</v>
      </c>
      <c r="L45">
        <v>8052</v>
      </c>
      <c r="M45" t="s">
        <v>23</v>
      </c>
    </row>
    <row r="46" spans="1:13" x14ac:dyDescent="0.35">
      <c r="A46" t="s">
        <v>65</v>
      </c>
      <c r="B46" t="s">
        <v>14</v>
      </c>
      <c r="C46">
        <v>328394</v>
      </c>
      <c r="D46" t="s">
        <v>15</v>
      </c>
      <c r="E46" t="s">
        <v>66</v>
      </c>
      <c r="F46" t="s">
        <v>17</v>
      </c>
      <c r="G46" t="s">
        <v>67</v>
      </c>
      <c r="H46" t="s">
        <v>19</v>
      </c>
      <c r="I46" t="s">
        <v>68</v>
      </c>
      <c r="J46" t="s">
        <v>21</v>
      </c>
      <c r="K46" t="s">
        <v>62</v>
      </c>
      <c r="L46">
        <v>5610</v>
      </c>
      <c r="M46" t="s">
        <v>23</v>
      </c>
    </row>
    <row r="47" spans="1:13" x14ac:dyDescent="0.35">
      <c r="A47" t="s">
        <v>412</v>
      </c>
      <c r="B47" t="s">
        <v>14</v>
      </c>
      <c r="C47">
        <v>349711</v>
      </c>
      <c r="D47" t="s">
        <v>15</v>
      </c>
      <c r="E47" t="s">
        <v>413</v>
      </c>
      <c r="F47" t="s">
        <v>17</v>
      </c>
      <c r="G47" t="s">
        <v>414</v>
      </c>
      <c r="H47" t="s">
        <v>19</v>
      </c>
      <c r="I47" t="s">
        <v>415</v>
      </c>
      <c r="J47" t="s">
        <v>21</v>
      </c>
      <c r="K47" t="s">
        <v>62</v>
      </c>
      <c r="L47">
        <v>5606</v>
      </c>
      <c r="M47" t="s">
        <v>23</v>
      </c>
    </row>
    <row r="48" spans="1:13" x14ac:dyDescent="0.35">
      <c r="A48" t="s">
        <v>416</v>
      </c>
      <c r="B48" t="s">
        <v>14</v>
      </c>
      <c r="C48">
        <v>349713</v>
      </c>
      <c r="D48" t="s">
        <v>15</v>
      </c>
      <c r="E48" t="s">
        <v>417</v>
      </c>
      <c r="F48" t="s">
        <v>17</v>
      </c>
      <c r="G48" t="s">
        <v>418</v>
      </c>
      <c r="H48" t="s">
        <v>19</v>
      </c>
      <c r="I48" t="s">
        <v>419</v>
      </c>
      <c r="J48" t="s">
        <v>21</v>
      </c>
      <c r="K48" t="s">
        <v>62</v>
      </c>
      <c r="L48">
        <v>5608</v>
      </c>
      <c r="M48" t="s">
        <v>23</v>
      </c>
    </row>
    <row r="49" spans="1:13" x14ac:dyDescent="0.35">
      <c r="A49" t="s">
        <v>420</v>
      </c>
      <c r="B49" t="s">
        <v>14</v>
      </c>
      <c r="C49">
        <v>349714</v>
      </c>
      <c r="D49" t="s">
        <v>15</v>
      </c>
      <c r="E49" t="s">
        <v>421</v>
      </c>
      <c r="F49" t="s">
        <v>17</v>
      </c>
      <c r="G49" t="s">
        <v>81</v>
      </c>
      <c r="H49" t="s">
        <v>19</v>
      </c>
      <c r="I49" t="s">
        <v>422</v>
      </c>
      <c r="J49" t="s">
        <v>21</v>
      </c>
      <c r="K49" t="s">
        <v>62</v>
      </c>
      <c r="L49">
        <v>3286</v>
      </c>
      <c r="M49" t="s">
        <v>23</v>
      </c>
    </row>
    <row r="50" spans="1:13" x14ac:dyDescent="0.35">
      <c r="A50" t="s">
        <v>509</v>
      </c>
      <c r="B50" t="s">
        <v>14</v>
      </c>
      <c r="C50">
        <v>357773</v>
      </c>
      <c r="D50" t="s">
        <v>15</v>
      </c>
      <c r="E50" t="s">
        <v>510</v>
      </c>
      <c r="F50" t="s">
        <v>17</v>
      </c>
      <c r="G50" t="s">
        <v>511</v>
      </c>
      <c r="H50" t="s">
        <v>19</v>
      </c>
      <c r="I50" t="s">
        <v>512</v>
      </c>
      <c r="J50" t="s">
        <v>21</v>
      </c>
      <c r="K50" t="s">
        <v>62</v>
      </c>
      <c r="L50">
        <v>5613</v>
      </c>
      <c r="M50" t="s">
        <v>23</v>
      </c>
    </row>
    <row r="51" spans="1:13" x14ac:dyDescent="0.35">
      <c r="A51" t="s">
        <v>565</v>
      </c>
      <c r="B51" t="s">
        <v>14</v>
      </c>
      <c r="C51">
        <v>362378</v>
      </c>
      <c r="D51" t="s">
        <v>15</v>
      </c>
      <c r="E51" t="s">
        <v>566</v>
      </c>
      <c r="F51" t="s">
        <v>17</v>
      </c>
      <c r="G51" t="s">
        <v>567</v>
      </c>
      <c r="H51" t="s">
        <v>19</v>
      </c>
      <c r="I51" t="s">
        <v>568</v>
      </c>
      <c r="J51" t="s">
        <v>21</v>
      </c>
      <c r="K51" t="s">
        <v>62</v>
      </c>
      <c r="L51">
        <v>8150</v>
      </c>
      <c r="M51" t="s">
        <v>23</v>
      </c>
    </row>
    <row r="52" spans="1:13" x14ac:dyDescent="0.35">
      <c r="A52" t="s">
        <v>604</v>
      </c>
      <c r="B52" t="s">
        <v>14</v>
      </c>
      <c r="C52">
        <v>366661</v>
      </c>
      <c r="D52" t="s">
        <v>15</v>
      </c>
      <c r="E52" t="s">
        <v>605</v>
      </c>
      <c r="F52" t="s">
        <v>17</v>
      </c>
      <c r="G52" t="s">
        <v>606</v>
      </c>
      <c r="H52" t="s">
        <v>19</v>
      </c>
      <c r="I52" t="s">
        <v>607</v>
      </c>
      <c r="J52" t="s">
        <v>21</v>
      </c>
      <c r="K52" t="s">
        <v>62</v>
      </c>
      <c r="L52">
        <v>7412</v>
      </c>
      <c r="M52" t="s">
        <v>23</v>
      </c>
    </row>
    <row r="53" spans="1:13" x14ac:dyDescent="0.35">
      <c r="A53" t="s">
        <v>648</v>
      </c>
      <c r="B53" t="s">
        <v>14</v>
      </c>
      <c r="C53">
        <v>370981</v>
      </c>
      <c r="D53" t="s">
        <v>15</v>
      </c>
      <c r="E53" t="s">
        <v>649</v>
      </c>
      <c r="F53" t="s">
        <v>17</v>
      </c>
      <c r="G53" t="s">
        <v>511</v>
      </c>
      <c r="H53" t="s">
        <v>19</v>
      </c>
      <c r="I53" t="s">
        <v>512</v>
      </c>
      <c r="J53" t="s">
        <v>21</v>
      </c>
      <c r="K53" t="s">
        <v>62</v>
      </c>
      <c r="L53">
        <v>5613</v>
      </c>
      <c r="M53" t="s">
        <v>23</v>
      </c>
    </row>
    <row r="54" spans="1:13" x14ac:dyDescent="0.35">
      <c r="A54" t="s">
        <v>654</v>
      </c>
      <c r="B54" t="s">
        <v>14</v>
      </c>
      <c r="C54">
        <v>370991</v>
      </c>
      <c r="D54" t="s">
        <v>15</v>
      </c>
      <c r="E54" t="s">
        <v>655</v>
      </c>
      <c r="F54" t="s">
        <v>17</v>
      </c>
      <c r="G54" t="s">
        <v>652</v>
      </c>
      <c r="H54" t="s">
        <v>19</v>
      </c>
      <c r="I54" t="s">
        <v>656</v>
      </c>
      <c r="J54" t="s">
        <v>21</v>
      </c>
      <c r="K54" t="s">
        <v>62</v>
      </c>
      <c r="L54">
        <v>5611</v>
      </c>
      <c r="M54" t="s">
        <v>23</v>
      </c>
    </row>
    <row r="55" spans="1:13" x14ac:dyDescent="0.35">
      <c r="A55" t="s">
        <v>657</v>
      </c>
      <c r="B55" t="s">
        <v>14</v>
      </c>
      <c r="C55">
        <v>370992</v>
      </c>
      <c r="D55" t="s">
        <v>15</v>
      </c>
      <c r="E55" t="s">
        <v>658</v>
      </c>
      <c r="F55" t="s">
        <v>17</v>
      </c>
      <c r="G55" t="s">
        <v>652</v>
      </c>
      <c r="H55" t="s">
        <v>19</v>
      </c>
      <c r="I55" t="s">
        <v>656</v>
      </c>
      <c r="J55" t="s">
        <v>21</v>
      </c>
      <c r="K55" t="s">
        <v>62</v>
      </c>
      <c r="L55">
        <v>5611</v>
      </c>
      <c r="M55" t="s">
        <v>23</v>
      </c>
    </row>
    <row r="56" spans="1:13" x14ac:dyDescent="0.35">
      <c r="A56" t="s">
        <v>659</v>
      </c>
      <c r="B56" t="s">
        <v>14</v>
      </c>
      <c r="C56">
        <v>370993</v>
      </c>
      <c r="D56" t="s">
        <v>15</v>
      </c>
      <c r="E56" t="s">
        <v>660</v>
      </c>
      <c r="F56" t="s">
        <v>17</v>
      </c>
      <c r="G56" t="s">
        <v>661</v>
      </c>
      <c r="H56" t="s">
        <v>19</v>
      </c>
      <c r="I56" t="s">
        <v>662</v>
      </c>
      <c r="J56" t="s">
        <v>21</v>
      </c>
      <c r="K56" t="s">
        <v>62</v>
      </c>
      <c r="L56">
        <v>5612</v>
      </c>
      <c r="M56" t="s">
        <v>23</v>
      </c>
    </row>
    <row r="57" spans="1:13" x14ac:dyDescent="0.35">
      <c r="A57" t="s">
        <v>666</v>
      </c>
      <c r="B57" t="s">
        <v>14</v>
      </c>
      <c r="C57">
        <v>371023</v>
      </c>
      <c r="D57" t="s">
        <v>15</v>
      </c>
      <c r="E57" t="s">
        <v>667</v>
      </c>
      <c r="F57" t="s">
        <v>17</v>
      </c>
      <c r="G57" t="s">
        <v>668</v>
      </c>
      <c r="H57" t="s">
        <v>19</v>
      </c>
      <c r="I57" t="s">
        <v>669</v>
      </c>
      <c r="J57" t="s">
        <v>21</v>
      </c>
      <c r="K57" t="s">
        <v>62</v>
      </c>
      <c r="L57">
        <v>5609</v>
      </c>
      <c r="M57" t="s">
        <v>23</v>
      </c>
    </row>
    <row r="58" spans="1:13" x14ac:dyDescent="0.35">
      <c r="A58" t="s">
        <v>670</v>
      </c>
      <c r="B58" t="s">
        <v>14</v>
      </c>
      <c r="C58">
        <v>371055</v>
      </c>
      <c r="D58" t="s">
        <v>15</v>
      </c>
      <c r="E58" t="s">
        <v>671</v>
      </c>
      <c r="F58" t="s">
        <v>17</v>
      </c>
      <c r="G58" t="s">
        <v>414</v>
      </c>
      <c r="H58" t="s">
        <v>19</v>
      </c>
      <c r="I58" t="s">
        <v>415</v>
      </c>
      <c r="J58" t="s">
        <v>21</v>
      </c>
      <c r="K58" t="s">
        <v>62</v>
      </c>
      <c r="L58">
        <v>5606</v>
      </c>
      <c r="M58" t="s">
        <v>23</v>
      </c>
    </row>
    <row r="59" spans="1:13" x14ac:dyDescent="0.35">
      <c r="A59" t="s">
        <v>1367</v>
      </c>
      <c r="B59" t="s">
        <v>14</v>
      </c>
      <c r="C59">
        <v>391811</v>
      </c>
      <c r="D59" t="s">
        <v>15</v>
      </c>
      <c r="E59" t="s">
        <v>1368</v>
      </c>
      <c r="F59" t="s">
        <v>17</v>
      </c>
      <c r="G59" t="s">
        <v>1369</v>
      </c>
      <c r="H59" t="s">
        <v>19</v>
      </c>
      <c r="I59" t="s">
        <v>1370</v>
      </c>
      <c r="J59" t="s">
        <v>21</v>
      </c>
      <c r="K59" t="s">
        <v>62</v>
      </c>
      <c r="L59">
        <v>5605</v>
      </c>
      <c r="M59" t="s">
        <v>23</v>
      </c>
    </row>
    <row r="60" spans="1:13" x14ac:dyDescent="0.35">
      <c r="A60" t="s">
        <v>1371</v>
      </c>
      <c r="B60" t="s">
        <v>14</v>
      </c>
      <c r="C60">
        <v>391832</v>
      </c>
      <c r="D60" t="s">
        <v>15</v>
      </c>
      <c r="E60" t="s">
        <v>1372</v>
      </c>
      <c r="F60" t="s">
        <v>17</v>
      </c>
      <c r="G60" t="s">
        <v>1373</v>
      </c>
      <c r="H60" t="s">
        <v>19</v>
      </c>
      <c r="I60" t="s">
        <v>1374</v>
      </c>
      <c r="J60" t="s">
        <v>21</v>
      </c>
      <c r="K60" t="s">
        <v>62</v>
      </c>
      <c r="L60">
        <v>5614</v>
      </c>
      <c r="M60" t="s">
        <v>23</v>
      </c>
    </row>
    <row r="61" spans="1:13" x14ac:dyDescent="0.35">
      <c r="A61" t="s">
        <v>1496</v>
      </c>
      <c r="B61" t="s">
        <v>14</v>
      </c>
      <c r="C61">
        <v>394570</v>
      </c>
      <c r="D61" t="s">
        <v>15</v>
      </c>
      <c r="E61" t="s">
        <v>1497</v>
      </c>
      <c r="F61" t="s">
        <v>17</v>
      </c>
      <c r="G61" t="s">
        <v>1373</v>
      </c>
      <c r="H61" t="s">
        <v>19</v>
      </c>
      <c r="I61" t="s">
        <v>1374</v>
      </c>
      <c r="J61" t="s">
        <v>21</v>
      </c>
      <c r="K61" t="s">
        <v>62</v>
      </c>
      <c r="L61">
        <v>5614</v>
      </c>
      <c r="M61" t="s">
        <v>23</v>
      </c>
    </row>
    <row r="62" spans="1:13" x14ac:dyDescent="0.35">
      <c r="A62" t="s">
        <v>1500</v>
      </c>
      <c r="B62" t="s">
        <v>14</v>
      </c>
      <c r="C62">
        <v>394575</v>
      </c>
      <c r="D62" t="s">
        <v>15</v>
      </c>
      <c r="E62" t="s">
        <v>1501</v>
      </c>
      <c r="F62" t="s">
        <v>17</v>
      </c>
      <c r="G62" t="s">
        <v>81</v>
      </c>
      <c r="H62" t="s">
        <v>19</v>
      </c>
      <c r="I62" t="s">
        <v>422</v>
      </c>
      <c r="J62" t="s">
        <v>21</v>
      </c>
      <c r="K62" t="s">
        <v>62</v>
      </c>
      <c r="L62">
        <v>3286</v>
      </c>
      <c r="M62" t="s">
        <v>23</v>
      </c>
    </row>
    <row r="63" spans="1:13" x14ac:dyDescent="0.35">
      <c r="A63" t="s">
        <v>1502</v>
      </c>
      <c r="B63" t="s">
        <v>14</v>
      </c>
      <c r="C63">
        <v>394577</v>
      </c>
      <c r="D63" t="s">
        <v>15</v>
      </c>
      <c r="E63" t="s">
        <v>1503</v>
      </c>
      <c r="F63" t="s">
        <v>17</v>
      </c>
      <c r="G63" t="s">
        <v>418</v>
      </c>
      <c r="H63" t="s">
        <v>19</v>
      </c>
      <c r="I63" t="s">
        <v>419</v>
      </c>
      <c r="J63" t="s">
        <v>21</v>
      </c>
      <c r="K63" t="s">
        <v>62</v>
      </c>
      <c r="L63">
        <v>5608</v>
      </c>
      <c r="M63" t="s">
        <v>23</v>
      </c>
    </row>
    <row r="64" spans="1:13" x14ac:dyDescent="0.35">
      <c r="A64" t="s">
        <v>1505</v>
      </c>
      <c r="B64" t="s">
        <v>14</v>
      </c>
      <c r="C64">
        <v>394584</v>
      </c>
      <c r="D64" t="s">
        <v>15</v>
      </c>
      <c r="E64" t="s">
        <v>1506</v>
      </c>
      <c r="F64" t="s">
        <v>17</v>
      </c>
      <c r="G64" t="s">
        <v>60</v>
      </c>
      <c r="H64" t="s">
        <v>19</v>
      </c>
      <c r="I64" t="s">
        <v>61</v>
      </c>
      <c r="J64" t="s">
        <v>21</v>
      </c>
      <c r="K64" t="s">
        <v>62</v>
      </c>
      <c r="L64">
        <v>8052</v>
      </c>
      <c r="M64" t="s">
        <v>23</v>
      </c>
    </row>
    <row r="65" spans="1:13" x14ac:dyDescent="0.35">
      <c r="A65" t="s">
        <v>1509</v>
      </c>
      <c r="B65" t="s">
        <v>14</v>
      </c>
      <c r="C65">
        <v>394690</v>
      </c>
      <c r="D65" t="s">
        <v>15</v>
      </c>
      <c r="E65" t="s">
        <v>1510</v>
      </c>
      <c r="F65" t="s">
        <v>17</v>
      </c>
      <c r="G65" t="s">
        <v>1511</v>
      </c>
      <c r="H65" t="s">
        <v>19</v>
      </c>
      <c r="I65" t="s">
        <v>1512</v>
      </c>
      <c r="J65" t="s">
        <v>21</v>
      </c>
      <c r="K65" t="s">
        <v>62</v>
      </c>
      <c r="L65">
        <v>7041</v>
      </c>
      <c r="M65" t="s">
        <v>23</v>
      </c>
    </row>
    <row r="66" spans="1:13" x14ac:dyDescent="0.35">
      <c r="A66" t="s">
        <v>1515</v>
      </c>
      <c r="B66" t="s">
        <v>14</v>
      </c>
      <c r="C66">
        <v>400889</v>
      </c>
      <c r="D66" t="s">
        <v>15</v>
      </c>
      <c r="E66" t="s">
        <v>1599</v>
      </c>
      <c r="F66" t="s">
        <v>17</v>
      </c>
      <c r="G66" t="s">
        <v>668</v>
      </c>
      <c r="H66" t="s">
        <v>19</v>
      </c>
      <c r="I66" t="s">
        <v>669</v>
      </c>
      <c r="J66" t="s">
        <v>21</v>
      </c>
      <c r="K66" t="s">
        <v>62</v>
      </c>
      <c r="L66">
        <v>5609</v>
      </c>
      <c r="M66" t="s">
        <v>23</v>
      </c>
    </row>
    <row r="67" spans="1:13" x14ac:dyDescent="0.35">
      <c r="A67" t="s">
        <v>1515</v>
      </c>
      <c r="B67" t="s">
        <v>14</v>
      </c>
      <c r="C67">
        <v>404620</v>
      </c>
      <c r="D67" t="s">
        <v>15</v>
      </c>
      <c r="E67" t="s">
        <v>1693</v>
      </c>
      <c r="F67" t="s">
        <v>17</v>
      </c>
      <c r="G67" t="s">
        <v>1369</v>
      </c>
      <c r="H67" t="s">
        <v>19</v>
      </c>
      <c r="I67" t="s">
        <v>1370</v>
      </c>
      <c r="J67" t="s">
        <v>21</v>
      </c>
      <c r="K67" t="s">
        <v>62</v>
      </c>
      <c r="L67">
        <v>5605</v>
      </c>
      <c r="M67" t="s">
        <v>23</v>
      </c>
    </row>
    <row r="68" spans="1:13" x14ac:dyDescent="0.35">
      <c r="A68" t="s">
        <v>1515</v>
      </c>
      <c r="B68" t="s">
        <v>14</v>
      </c>
      <c r="C68">
        <v>404633</v>
      </c>
      <c r="D68" t="s">
        <v>15</v>
      </c>
      <c r="E68" t="s">
        <v>1704</v>
      </c>
      <c r="F68" t="s">
        <v>17</v>
      </c>
      <c r="G68" t="s">
        <v>1551</v>
      </c>
      <c r="H68" t="s">
        <v>19</v>
      </c>
      <c r="I68" t="s">
        <v>1552</v>
      </c>
      <c r="J68" t="s">
        <v>21</v>
      </c>
      <c r="K68" t="s">
        <v>62</v>
      </c>
      <c r="L68">
        <v>5607</v>
      </c>
      <c r="M68" t="s">
        <v>23</v>
      </c>
    </row>
    <row r="69" spans="1:13" x14ac:dyDescent="0.35">
      <c r="A69" t="s">
        <v>1446</v>
      </c>
      <c r="B69" t="s">
        <v>317</v>
      </c>
      <c r="C69">
        <v>393165</v>
      </c>
      <c r="D69" t="s">
        <v>15</v>
      </c>
      <c r="E69" t="s">
        <v>1447</v>
      </c>
      <c r="F69" t="s">
        <v>319</v>
      </c>
      <c r="G69" t="s">
        <v>418</v>
      </c>
      <c r="H69" t="s">
        <v>19</v>
      </c>
      <c r="I69" t="s">
        <v>419</v>
      </c>
      <c r="J69" t="s">
        <v>21</v>
      </c>
      <c r="K69" t="s">
        <v>62</v>
      </c>
      <c r="L69">
        <v>5608</v>
      </c>
      <c r="M69" t="s">
        <v>673</v>
      </c>
    </row>
    <row r="70" spans="1:13" x14ac:dyDescent="0.35">
      <c r="A70" t="s">
        <v>1448</v>
      </c>
      <c r="B70" t="s">
        <v>317</v>
      </c>
      <c r="C70">
        <v>393166</v>
      </c>
      <c r="D70" t="s">
        <v>15</v>
      </c>
      <c r="E70" t="s">
        <v>1449</v>
      </c>
      <c r="F70" t="s">
        <v>319</v>
      </c>
      <c r="G70" t="s">
        <v>652</v>
      </c>
      <c r="H70" t="s">
        <v>19</v>
      </c>
      <c r="I70" t="s">
        <v>656</v>
      </c>
      <c r="J70" t="s">
        <v>21</v>
      </c>
      <c r="K70" t="s">
        <v>62</v>
      </c>
      <c r="L70">
        <v>5611</v>
      </c>
      <c r="M70" t="s">
        <v>673</v>
      </c>
    </row>
    <row r="71" spans="1:13" x14ac:dyDescent="0.35">
      <c r="A71" t="s">
        <v>1450</v>
      </c>
      <c r="B71" t="s">
        <v>317</v>
      </c>
      <c r="C71">
        <v>393167</v>
      </c>
      <c r="D71" t="s">
        <v>15</v>
      </c>
      <c r="E71" t="s">
        <v>1451</v>
      </c>
      <c r="F71" t="s">
        <v>319</v>
      </c>
      <c r="G71" t="s">
        <v>1373</v>
      </c>
      <c r="H71" t="s">
        <v>19</v>
      </c>
      <c r="I71" t="s">
        <v>1374</v>
      </c>
      <c r="J71" t="s">
        <v>21</v>
      </c>
      <c r="K71" t="s">
        <v>62</v>
      </c>
      <c r="L71">
        <v>5614</v>
      </c>
      <c r="M71" t="s">
        <v>673</v>
      </c>
    </row>
    <row r="72" spans="1:13" x14ac:dyDescent="0.35">
      <c r="A72">
        <v>0</v>
      </c>
      <c r="B72" t="s">
        <v>317</v>
      </c>
      <c r="C72">
        <v>398628</v>
      </c>
      <c r="D72" t="s">
        <v>15</v>
      </c>
      <c r="E72" t="s">
        <v>1548</v>
      </c>
      <c r="F72" t="s">
        <v>319</v>
      </c>
      <c r="G72" t="s">
        <v>81</v>
      </c>
      <c r="H72" t="s">
        <v>19</v>
      </c>
      <c r="I72" t="s">
        <v>422</v>
      </c>
      <c r="J72" t="s">
        <v>21</v>
      </c>
      <c r="K72" t="s">
        <v>62</v>
      </c>
      <c r="L72">
        <v>3286</v>
      </c>
      <c r="M72" t="s">
        <v>673</v>
      </c>
    </row>
    <row r="73" spans="1:13" x14ac:dyDescent="0.35">
      <c r="A73">
        <v>0</v>
      </c>
      <c r="B73" t="s">
        <v>317</v>
      </c>
      <c r="C73">
        <v>398630</v>
      </c>
      <c r="D73" t="s">
        <v>15</v>
      </c>
      <c r="E73" t="s">
        <v>1549</v>
      </c>
      <c r="F73" t="s">
        <v>319</v>
      </c>
      <c r="G73" t="s">
        <v>511</v>
      </c>
      <c r="H73" t="s">
        <v>19</v>
      </c>
      <c r="I73" t="s">
        <v>512</v>
      </c>
      <c r="J73" t="s">
        <v>21</v>
      </c>
      <c r="K73" t="s">
        <v>62</v>
      </c>
      <c r="L73">
        <v>5613</v>
      </c>
      <c r="M73" t="s">
        <v>673</v>
      </c>
    </row>
    <row r="74" spans="1:13" x14ac:dyDescent="0.35">
      <c r="A74">
        <v>0</v>
      </c>
      <c r="B74" t="s">
        <v>317</v>
      </c>
      <c r="C74">
        <v>398631</v>
      </c>
      <c r="D74" t="s">
        <v>15</v>
      </c>
      <c r="E74" t="s">
        <v>1550</v>
      </c>
      <c r="F74" t="s">
        <v>319</v>
      </c>
      <c r="G74" t="s">
        <v>1551</v>
      </c>
      <c r="H74" t="s">
        <v>19</v>
      </c>
      <c r="I74" t="s">
        <v>1552</v>
      </c>
      <c r="J74" t="s">
        <v>21</v>
      </c>
      <c r="K74" t="s">
        <v>62</v>
      </c>
      <c r="L74">
        <v>5607</v>
      </c>
      <c r="M74" t="s">
        <v>673</v>
      </c>
    </row>
    <row r="75" spans="1:13" x14ac:dyDescent="0.35">
      <c r="A75">
        <v>0</v>
      </c>
      <c r="B75" t="s">
        <v>317</v>
      </c>
      <c r="C75">
        <v>398632</v>
      </c>
      <c r="D75" t="s">
        <v>15</v>
      </c>
      <c r="E75" t="s">
        <v>1553</v>
      </c>
      <c r="F75" t="s">
        <v>319</v>
      </c>
      <c r="G75" t="s">
        <v>661</v>
      </c>
      <c r="H75" t="s">
        <v>19</v>
      </c>
      <c r="I75" t="s">
        <v>662</v>
      </c>
      <c r="J75" t="s">
        <v>21</v>
      </c>
      <c r="K75" t="s">
        <v>62</v>
      </c>
      <c r="L75">
        <v>5612</v>
      </c>
      <c r="M75" t="s">
        <v>673</v>
      </c>
    </row>
    <row r="76" spans="1:13" x14ac:dyDescent="0.35">
      <c r="A76">
        <v>0</v>
      </c>
      <c r="B76" t="s">
        <v>317</v>
      </c>
      <c r="C76">
        <v>398633</v>
      </c>
      <c r="D76" t="s">
        <v>15</v>
      </c>
      <c r="E76" t="s">
        <v>1554</v>
      </c>
      <c r="F76" t="s">
        <v>319</v>
      </c>
      <c r="G76" t="s">
        <v>67</v>
      </c>
      <c r="H76" t="s">
        <v>19</v>
      </c>
      <c r="I76" t="s">
        <v>68</v>
      </c>
      <c r="J76" t="s">
        <v>21</v>
      </c>
      <c r="K76" t="s">
        <v>62</v>
      </c>
      <c r="L76">
        <v>5610</v>
      </c>
      <c r="M76" t="s">
        <v>673</v>
      </c>
    </row>
    <row r="77" spans="1:13" x14ac:dyDescent="0.35">
      <c r="A77">
        <v>0</v>
      </c>
      <c r="B77" t="s">
        <v>317</v>
      </c>
      <c r="C77">
        <v>402017</v>
      </c>
      <c r="D77" t="s">
        <v>15</v>
      </c>
      <c r="E77" t="s">
        <v>1641</v>
      </c>
      <c r="F77" t="s">
        <v>319</v>
      </c>
      <c r="G77" t="s">
        <v>567</v>
      </c>
      <c r="H77" t="s">
        <v>19</v>
      </c>
      <c r="I77" t="s">
        <v>568</v>
      </c>
      <c r="J77" t="s">
        <v>21</v>
      </c>
      <c r="K77" t="s">
        <v>62</v>
      </c>
      <c r="L77">
        <v>8150</v>
      </c>
      <c r="M77" t="s">
        <v>673</v>
      </c>
    </row>
    <row r="78" spans="1:13" x14ac:dyDescent="0.35">
      <c r="A78">
        <v>0</v>
      </c>
      <c r="B78" t="s">
        <v>317</v>
      </c>
      <c r="C78">
        <v>402018</v>
      </c>
      <c r="D78" t="s">
        <v>15</v>
      </c>
      <c r="E78" t="s">
        <v>1642</v>
      </c>
      <c r="F78" t="s">
        <v>319</v>
      </c>
      <c r="G78" t="s">
        <v>1369</v>
      </c>
      <c r="H78" t="s">
        <v>19</v>
      </c>
      <c r="I78" t="s">
        <v>1370</v>
      </c>
      <c r="J78" t="s">
        <v>21</v>
      </c>
      <c r="K78" t="s">
        <v>62</v>
      </c>
      <c r="L78">
        <v>5605</v>
      </c>
      <c r="M78" t="s">
        <v>673</v>
      </c>
    </row>
    <row r="79" spans="1:13" x14ac:dyDescent="0.35">
      <c r="A79">
        <v>0</v>
      </c>
      <c r="B79" t="s">
        <v>317</v>
      </c>
      <c r="C79">
        <v>402173</v>
      </c>
      <c r="D79" t="s">
        <v>15</v>
      </c>
      <c r="E79" t="s">
        <v>1644</v>
      </c>
      <c r="F79" t="s">
        <v>319</v>
      </c>
      <c r="G79" t="s">
        <v>652</v>
      </c>
      <c r="H79" t="s">
        <v>19</v>
      </c>
      <c r="I79" t="s">
        <v>656</v>
      </c>
      <c r="J79" t="s">
        <v>21</v>
      </c>
      <c r="K79" t="s">
        <v>62</v>
      </c>
      <c r="L79">
        <v>5611</v>
      </c>
      <c r="M79" t="s">
        <v>673</v>
      </c>
    </row>
    <row r="80" spans="1:13" x14ac:dyDescent="0.35">
      <c r="A80">
        <v>0</v>
      </c>
      <c r="B80" t="s">
        <v>317</v>
      </c>
      <c r="C80">
        <v>404619</v>
      </c>
      <c r="D80" t="s">
        <v>15</v>
      </c>
      <c r="E80" t="s">
        <v>1692</v>
      </c>
      <c r="F80" t="s">
        <v>319</v>
      </c>
      <c r="G80" t="s">
        <v>661</v>
      </c>
      <c r="H80" t="s">
        <v>19</v>
      </c>
      <c r="I80" t="s">
        <v>662</v>
      </c>
      <c r="J80" t="s">
        <v>21</v>
      </c>
      <c r="K80" t="s">
        <v>62</v>
      </c>
      <c r="L80">
        <v>5612</v>
      </c>
      <c r="M80" t="s">
        <v>673</v>
      </c>
    </row>
    <row r="81" spans="1:13" x14ac:dyDescent="0.35">
      <c r="A81">
        <v>0</v>
      </c>
      <c r="B81" t="s">
        <v>317</v>
      </c>
      <c r="C81">
        <v>404627</v>
      </c>
      <c r="D81" t="s">
        <v>15</v>
      </c>
      <c r="E81" t="s">
        <v>1700</v>
      </c>
      <c r="F81" t="s">
        <v>319</v>
      </c>
      <c r="G81" t="s">
        <v>414</v>
      </c>
      <c r="H81" t="s">
        <v>19</v>
      </c>
      <c r="I81" t="s">
        <v>415</v>
      </c>
      <c r="J81" t="s">
        <v>21</v>
      </c>
      <c r="K81" t="s">
        <v>62</v>
      </c>
      <c r="L81">
        <v>5606</v>
      </c>
      <c r="M81" t="s">
        <v>673</v>
      </c>
    </row>
    <row r="82" spans="1:13" x14ac:dyDescent="0.35">
      <c r="A82">
        <v>0</v>
      </c>
      <c r="B82" t="s">
        <v>317</v>
      </c>
      <c r="C82">
        <v>404629</v>
      </c>
      <c r="D82" t="s">
        <v>15</v>
      </c>
      <c r="E82" t="s">
        <v>1702</v>
      </c>
      <c r="F82" t="s">
        <v>319</v>
      </c>
      <c r="G82" t="s">
        <v>1511</v>
      </c>
      <c r="H82" t="s">
        <v>19</v>
      </c>
      <c r="I82" t="s">
        <v>1512</v>
      </c>
      <c r="J82" t="s">
        <v>21</v>
      </c>
      <c r="K82" t="s">
        <v>62</v>
      </c>
      <c r="L82">
        <v>7041</v>
      </c>
      <c r="M82" t="s">
        <v>673</v>
      </c>
    </row>
    <row r="83" spans="1:13" x14ac:dyDescent="0.35">
      <c r="A83">
        <v>0</v>
      </c>
      <c r="B83" t="s">
        <v>317</v>
      </c>
      <c r="C83">
        <v>404632</v>
      </c>
      <c r="D83" t="s">
        <v>15</v>
      </c>
      <c r="E83" t="s">
        <v>1703</v>
      </c>
      <c r="F83" t="s">
        <v>319</v>
      </c>
      <c r="G83" t="s">
        <v>1369</v>
      </c>
      <c r="H83" t="s">
        <v>19</v>
      </c>
      <c r="I83" t="s">
        <v>1370</v>
      </c>
      <c r="J83" t="s">
        <v>21</v>
      </c>
      <c r="K83" t="s">
        <v>62</v>
      </c>
      <c r="L83">
        <v>5605</v>
      </c>
      <c r="M83" t="s">
        <v>673</v>
      </c>
    </row>
    <row r="84" spans="1:13" x14ac:dyDescent="0.35">
      <c r="A84">
        <v>0</v>
      </c>
      <c r="B84" t="s">
        <v>317</v>
      </c>
      <c r="C84">
        <v>409259</v>
      </c>
      <c r="D84" t="s">
        <v>15</v>
      </c>
      <c r="E84" t="s">
        <v>1826</v>
      </c>
      <c r="F84" t="s">
        <v>319</v>
      </c>
      <c r="G84" t="s">
        <v>414</v>
      </c>
      <c r="H84" t="s">
        <v>19</v>
      </c>
      <c r="I84" t="s">
        <v>415</v>
      </c>
      <c r="J84" t="s">
        <v>21</v>
      </c>
      <c r="K84" t="s">
        <v>62</v>
      </c>
      <c r="L84">
        <v>5606</v>
      </c>
      <c r="M84" t="s">
        <v>673</v>
      </c>
    </row>
    <row r="85" spans="1:13" x14ac:dyDescent="0.35">
      <c r="A85" t="s">
        <v>1515</v>
      </c>
      <c r="B85" t="s">
        <v>317</v>
      </c>
      <c r="C85">
        <v>412399</v>
      </c>
      <c r="D85" t="s">
        <v>15</v>
      </c>
      <c r="E85" t="s">
        <v>1879</v>
      </c>
      <c r="F85" t="s">
        <v>319</v>
      </c>
      <c r="G85" t="s">
        <v>60</v>
      </c>
      <c r="H85" t="s">
        <v>19</v>
      </c>
      <c r="I85" t="s">
        <v>61</v>
      </c>
      <c r="J85" t="s">
        <v>21</v>
      </c>
      <c r="K85" t="s">
        <v>62</v>
      </c>
      <c r="L85">
        <v>8052</v>
      </c>
      <c r="M85" t="s">
        <v>23</v>
      </c>
    </row>
    <row r="86" spans="1:13" x14ac:dyDescent="0.35">
      <c r="A86" t="s">
        <v>1515</v>
      </c>
      <c r="B86" t="s">
        <v>317</v>
      </c>
      <c r="C86">
        <v>412400</v>
      </c>
      <c r="D86" t="s">
        <v>15</v>
      </c>
      <c r="E86" t="s">
        <v>1880</v>
      </c>
      <c r="F86" t="s">
        <v>319</v>
      </c>
      <c r="G86" t="s">
        <v>668</v>
      </c>
      <c r="H86" t="s">
        <v>19</v>
      </c>
      <c r="I86" t="s">
        <v>669</v>
      </c>
      <c r="J86" t="s">
        <v>21</v>
      </c>
      <c r="K86" t="s">
        <v>62</v>
      </c>
      <c r="L86">
        <v>5609</v>
      </c>
      <c r="M86" t="s">
        <v>23</v>
      </c>
    </row>
    <row r="87" spans="1:13" x14ac:dyDescent="0.35">
      <c r="A87" t="s">
        <v>1515</v>
      </c>
      <c r="B87" t="s">
        <v>317</v>
      </c>
      <c r="C87">
        <v>412401</v>
      </c>
      <c r="D87" t="s">
        <v>15</v>
      </c>
      <c r="E87" t="s">
        <v>1881</v>
      </c>
      <c r="F87" t="s">
        <v>319</v>
      </c>
      <c r="G87" t="s">
        <v>606</v>
      </c>
      <c r="H87" t="s">
        <v>19</v>
      </c>
      <c r="I87" t="s">
        <v>607</v>
      </c>
      <c r="J87" t="s">
        <v>21</v>
      </c>
      <c r="K87" t="s">
        <v>62</v>
      </c>
      <c r="L87">
        <v>7412</v>
      </c>
      <c r="M87" t="s">
        <v>23</v>
      </c>
    </row>
    <row r="88" spans="1:13" x14ac:dyDescent="0.35">
      <c r="A88" t="s">
        <v>626</v>
      </c>
      <c r="B88" t="s">
        <v>14</v>
      </c>
      <c r="C88">
        <v>368892</v>
      </c>
      <c r="D88" t="s">
        <v>15</v>
      </c>
      <c r="E88" t="s">
        <v>627</v>
      </c>
      <c r="F88" t="s">
        <v>17</v>
      </c>
      <c r="G88" t="s">
        <v>628</v>
      </c>
      <c r="H88" t="s">
        <v>19</v>
      </c>
      <c r="I88" t="s">
        <v>629</v>
      </c>
      <c r="J88" t="s">
        <v>21</v>
      </c>
      <c r="K88" t="s">
        <v>235</v>
      </c>
      <c r="L88">
        <v>5722</v>
      </c>
      <c r="M88" t="s">
        <v>23</v>
      </c>
    </row>
    <row r="89" spans="1:13" x14ac:dyDescent="0.35">
      <c r="A89" t="s">
        <v>640</v>
      </c>
      <c r="B89" t="s">
        <v>14</v>
      </c>
      <c r="C89">
        <v>370609</v>
      </c>
      <c r="D89" t="s">
        <v>15</v>
      </c>
      <c r="E89" t="s">
        <v>641</v>
      </c>
      <c r="F89" t="s">
        <v>17</v>
      </c>
      <c r="G89" t="s">
        <v>642</v>
      </c>
      <c r="H89" t="s">
        <v>19</v>
      </c>
      <c r="I89" t="s">
        <v>643</v>
      </c>
      <c r="J89" t="s">
        <v>21</v>
      </c>
      <c r="K89" t="s">
        <v>235</v>
      </c>
      <c r="L89">
        <v>5632</v>
      </c>
      <c r="M89" t="s">
        <v>23</v>
      </c>
    </row>
    <row r="90" spans="1:13" x14ac:dyDescent="0.35">
      <c r="A90" t="s">
        <v>845</v>
      </c>
      <c r="B90" t="s">
        <v>14</v>
      </c>
      <c r="C90">
        <v>376063</v>
      </c>
      <c r="D90" t="s">
        <v>15</v>
      </c>
      <c r="E90" t="s">
        <v>846</v>
      </c>
      <c r="F90" t="s">
        <v>17</v>
      </c>
      <c r="G90" t="s">
        <v>847</v>
      </c>
      <c r="H90" t="s">
        <v>19</v>
      </c>
      <c r="I90" t="s">
        <v>848</v>
      </c>
      <c r="J90" t="s">
        <v>21</v>
      </c>
      <c r="K90" t="s">
        <v>235</v>
      </c>
      <c r="L90">
        <v>5634</v>
      </c>
      <c r="M90" t="s">
        <v>23</v>
      </c>
    </row>
    <row r="91" spans="1:13" x14ac:dyDescent="0.35">
      <c r="A91" t="s">
        <v>854</v>
      </c>
      <c r="B91" t="s">
        <v>14</v>
      </c>
      <c r="C91">
        <v>376085</v>
      </c>
      <c r="D91" t="s">
        <v>15</v>
      </c>
      <c r="E91" t="s">
        <v>855</v>
      </c>
      <c r="F91" t="s">
        <v>17</v>
      </c>
      <c r="G91" t="s">
        <v>856</v>
      </c>
      <c r="H91" t="s">
        <v>19</v>
      </c>
      <c r="I91" t="s">
        <v>857</v>
      </c>
      <c r="J91" t="s">
        <v>21</v>
      </c>
      <c r="K91" t="s">
        <v>235</v>
      </c>
      <c r="L91">
        <v>5718</v>
      </c>
      <c r="M91" t="s">
        <v>23</v>
      </c>
    </row>
    <row r="92" spans="1:13" x14ac:dyDescent="0.35">
      <c r="A92" t="s">
        <v>904</v>
      </c>
      <c r="B92" t="s">
        <v>14</v>
      </c>
      <c r="C92">
        <v>377223</v>
      </c>
      <c r="D92" t="s">
        <v>15</v>
      </c>
      <c r="E92" t="s">
        <v>905</v>
      </c>
      <c r="F92" t="s">
        <v>17</v>
      </c>
      <c r="G92" t="s">
        <v>906</v>
      </c>
      <c r="H92" t="s">
        <v>19</v>
      </c>
      <c r="I92" t="s">
        <v>907</v>
      </c>
      <c r="J92" t="s">
        <v>21</v>
      </c>
      <c r="K92" t="s">
        <v>235</v>
      </c>
      <c r="L92">
        <v>5635</v>
      </c>
      <c r="M92" t="s">
        <v>23</v>
      </c>
    </row>
    <row r="93" spans="1:13" x14ac:dyDescent="0.35">
      <c r="A93" t="s">
        <v>1042</v>
      </c>
      <c r="B93" t="s">
        <v>14</v>
      </c>
      <c r="C93">
        <v>381396</v>
      </c>
      <c r="D93" t="s">
        <v>15</v>
      </c>
      <c r="E93" t="s">
        <v>1043</v>
      </c>
      <c r="F93" t="s">
        <v>17</v>
      </c>
      <c r="G93" t="s">
        <v>1044</v>
      </c>
      <c r="H93" t="s">
        <v>19</v>
      </c>
      <c r="I93" t="s">
        <v>1045</v>
      </c>
      <c r="J93" t="s">
        <v>21</v>
      </c>
      <c r="K93" t="s">
        <v>235</v>
      </c>
      <c r="L93">
        <v>3552</v>
      </c>
      <c r="M93" t="s">
        <v>23</v>
      </c>
    </row>
    <row r="94" spans="1:13" x14ac:dyDescent="0.35">
      <c r="A94" t="s">
        <v>1050</v>
      </c>
      <c r="B94" t="s">
        <v>14</v>
      </c>
      <c r="C94">
        <v>381401</v>
      </c>
      <c r="D94" t="s">
        <v>15</v>
      </c>
      <c r="E94" t="s">
        <v>1051</v>
      </c>
      <c r="F94" t="s">
        <v>17</v>
      </c>
      <c r="G94" t="s">
        <v>847</v>
      </c>
      <c r="H94" t="s">
        <v>19</v>
      </c>
      <c r="I94" t="s">
        <v>848</v>
      </c>
      <c r="J94" t="s">
        <v>21</v>
      </c>
      <c r="K94" t="s">
        <v>235</v>
      </c>
      <c r="L94">
        <v>5634</v>
      </c>
      <c r="M94" t="s">
        <v>23</v>
      </c>
    </row>
    <row r="95" spans="1:13" x14ac:dyDescent="0.35">
      <c r="A95" t="s">
        <v>1115</v>
      </c>
      <c r="B95" t="s">
        <v>14</v>
      </c>
      <c r="C95">
        <v>384469</v>
      </c>
      <c r="D95" t="s">
        <v>15</v>
      </c>
      <c r="E95" t="s">
        <v>1116</v>
      </c>
      <c r="F95" t="s">
        <v>17</v>
      </c>
      <c r="G95" t="s">
        <v>1117</v>
      </c>
      <c r="H95" t="s">
        <v>19</v>
      </c>
      <c r="I95" t="s">
        <v>1118</v>
      </c>
      <c r="J95" t="s">
        <v>21</v>
      </c>
      <c r="K95" t="s">
        <v>235</v>
      </c>
      <c r="L95">
        <v>5721</v>
      </c>
      <c r="M95" t="s">
        <v>23</v>
      </c>
    </row>
    <row r="96" spans="1:13" x14ac:dyDescent="0.35">
      <c r="A96" t="s">
        <v>1397</v>
      </c>
      <c r="B96" t="s">
        <v>14</v>
      </c>
      <c r="C96">
        <v>392435</v>
      </c>
      <c r="D96" t="s">
        <v>15</v>
      </c>
      <c r="E96" t="s">
        <v>1398</v>
      </c>
      <c r="F96" t="s">
        <v>17</v>
      </c>
      <c r="G96" t="s">
        <v>526</v>
      </c>
      <c r="H96" t="s">
        <v>19</v>
      </c>
      <c r="I96" t="s">
        <v>1399</v>
      </c>
      <c r="J96" t="s">
        <v>21</v>
      </c>
      <c r="K96" t="s">
        <v>235</v>
      </c>
      <c r="L96">
        <v>5628</v>
      </c>
      <c r="M96" t="s">
        <v>23</v>
      </c>
    </row>
    <row r="97" spans="1:13" x14ac:dyDescent="0.35">
      <c r="A97" t="s">
        <v>1400</v>
      </c>
      <c r="B97" t="s">
        <v>14</v>
      </c>
      <c r="C97">
        <v>392437</v>
      </c>
      <c r="D97" t="s">
        <v>15</v>
      </c>
      <c r="E97" t="s">
        <v>1401</v>
      </c>
      <c r="F97" t="s">
        <v>17</v>
      </c>
      <c r="G97" t="s">
        <v>1402</v>
      </c>
      <c r="H97" t="s">
        <v>19</v>
      </c>
      <c r="I97" t="s">
        <v>1403</v>
      </c>
      <c r="J97" t="s">
        <v>21</v>
      </c>
      <c r="K97" t="s">
        <v>235</v>
      </c>
      <c r="L97">
        <v>5629</v>
      </c>
      <c r="M97" t="s">
        <v>23</v>
      </c>
    </row>
    <row r="98" spans="1:13" x14ac:dyDescent="0.35">
      <c r="A98" t="s">
        <v>1413</v>
      </c>
      <c r="B98" t="s">
        <v>14</v>
      </c>
      <c r="C98">
        <v>392453</v>
      </c>
      <c r="D98" t="s">
        <v>15</v>
      </c>
      <c r="E98" t="s">
        <v>1414</v>
      </c>
      <c r="F98" t="s">
        <v>17</v>
      </c>
      <c r="G98" t="s">
        <v>526</v>
      </c>
      <c r="H98" t="s">
        <v>19</v>
      </c>
      <c r="I98" t="s">
        <v>1399</v>
      </c>
      <c r="J98" t="s">
        <v>21</v>
      </c>
      <c r="K98" t="s">
        <v>235</v>
      </c>
      <c r="L98">
        <v>5628</v>
      </c>
      <c r="M98" t="s">
        <v>23</v>
      </c>
    </row>
    <row r="99" spans="1:13" x14ac:dyDescent="0.35">
      <c r="A99" t="s">
        <v>1515</v>
      </c>
      <c r="B99" t="s">
        <v>14</v>
      </c>
      <c r="C99">
        <v>400051</v>
      </c>
      <c r="D99" t="s">
        <v>15</v>
      </c>
      <c r="E99" t="s">
        <v>1572</v>
      </c>
      <c r="F99" t="s">
        <v>17</v>
      </c>
      <c r="G99" t="s">
        <v>1402</v>
      </c>
      <c r="H99" t="s">
        <v>19</v>
      </c>
      <c r="I99" t="s">
        <v>1403</v>
      </c>
      <c r="J99" t="s">
        <v>21</v>
      </c>
      <c r="K99" t="s">
        <v>235</v>
      </c>
      <c r="L99">
        <v>5629</v>
      </c>
      <c r="M99" t="s">
        <v>23</v>
      </c>
    </row>
    <row r="100" spans="1:13" x14ac:dyDescent="0.35">
      <c r="A100" t="s">
        <v>1515</v>
      </c>
      <c r="B100" t="s">
        <v>14</v>
      </c>
      <c r="C100">
        <v>401625</v>
      </c>
      <c r="D100" t="s">
        <v>15</v>
      </c>
      <c r="E100" t="s">
        <v>1626</v>
      </c>
      <c r="F100" t="s">
        <v>17</v>
      </c>
      <c r="G100" t="s">
        <v>628</v>
      </c>
      <c r="H100" t="s">
        <v>19</v>
      </c>
      <c r="I100" t="s">
        <v>629</v>
      </c>
      <c r="J100" t="s">
        <v>21</v>
      </c>
      <c r="K100" t="s">
        <v>235</v>
      </c>
      <c r="L100">
        <v>5722</v>
      </c>
      <c r="M100" t="s">
        <v>23</v>
      </c>
    </row>
    <row r="101" spans="1:13" x14ac:dyDescent="0.35">
      <c r="A101" t="s">
        <v>1515</v>
      </c>
      <c r="B101" t="s">
        <v>14</v>
      </c>
      <c r="C101">
        <v>401627</v>
      </c>
      <c r="D101" t="s">
        <v>15</v>
      </c>
      <c r="E101" t="s">
        <v>1627</v>
      </c>
      <c r="F101" t="s">
        <v>17</v>
      </c>
      <c r="G101" t="s">
        <v>856</v>
      </c>
      <c r="H101" t="s">
        <v>19</v>
      </c>
      <c r="I101" t="s">
        <v>857</v>
      </c>
      <c r="J101" t="s">
        <v>21</v>
      </c>
      <c r="K101" t="s">
        <v>235</v>
      </c>
      <c r="L101">
        <v>5718</v>
      </c>
      <c r="M101" t="s">
        <v>23</v>
      </c>
    </row>
    <row r="102" spans="1:13" x14ac:dyDescent="0.35">
      <c r="A102" t="s">
        <v>1515</v>
      </c>
      <c r="B102" t="s">
        <v>14</v>
      </c>
      <c r="C102">
        <v>401685</v>
      </c>
      <c r="D102" t="s">
        <v>15</v>
      </c>
      <c r="E102" t="s">
        <v>1631</v>
      </c>
      <c r="F102" t="s">
        <v>17</v>
      </c>
      <c r="G102" t="s">
        <v>906</v>
      </c>
      <c r="H102" t="s">
        <v>19</v>
      </c>
      <c r="I102" t="s">
        <v>907</v>
      </c>
      <c r="J102" t="s">
        <v>21</v>
      </c>
      <c r="K102" t="s">
        <v>235</v>
      </c>
      <c r="L102">
        <v>5635</v>
      </c>
      <c r="M102" t="s">
        <v>23</v>
      </c>
    </row>
    <row r="103" spans="1:13" x14ac:dyDescent="0.35">
      <c r="A103" t="s">
        <v>1515</v>
      </c>
      <c r="B103" t="s">
        <v>14</v>
      </c>
      <c r="C103">
        <v>401821</v>
      </c>
      <c r="D103" t="s">
        <v>15</v>
      </c>
      <c r="E103" t="s">
        <v>1637</v>
      </c>
      <c r="F103" t="s">
        <v>17</v>
      </c>
      <c r="G103" t="s">
        <v>1044</v>
      </c>
      <c r="H103" t="s">
        <v>19</v>
      </c>
      <c r="I103" t="s">
        <v>1045</v>
      </c>
      <c r="J103" t="s">
        <v>21</v>
      </c>
      <c r="K103" t="s">
        <v>235</v>
      </c>
      <c r="L103">
        <v>3552</v>
      </c>
      <c r="M103" t="s">
        <v>23</v>
      </c>
    </row>
    <row r="104" spans="1:13" x14ac:dyDescent="0.35">
      <c r="A104" t="s">
        <v>1062</v>
      </c>
      <c r="B104" t="s">
        <v>317</v>
      </c>
      <c r="C104">
        <v>381527</v>
      </c>
      <c r="D104" t="s">
        <v>15</v>
      </c>
      <c r="E104" t="s">
        <v>1063</v>
      </c>
      <c r="F104" t="s">
        <v>319</v>
      </c>
      <c r="G104" t="s">
        <v>642</v>
      </c>
      <c r="H104" t="s">
        <v>19</v>
      </c>
      <c r="I104" t="s">
        <v>643</v>
      </c>
      <c r="J104" t="s">
        <v>21</v>
      </c>
      <c r="K104" t="s">
        <v>235</v>
      </c>
      <c r="L104">
        <v>5632</v>
      </c>
      <c r="M104" t="s">
        <v>673</v>
      </c>
    </row>
    <row r="105" spans="1:13" x14ac:dyDescent="0.35">
      <c r="A105" t="s">
        <v>1418</v>
      </c>
      <c r="B105" t="s">
        <v>317</v>
      </c>
      <c r="C105">
        <v>392513</v>
      </c>
      <c r="D105" t="s">
        <v>15</v>
      </c>
      <c r="E105" t="s">
        <v>1419</v>
      </c>
      <c r="F105" t="s">
        <v>319</v>
      </c>
      <c r="G105" t="s">
        <v>906</v>
      </c>
      <c r="H105" t="s">
        <v>19</v>
      </c>
      <c r="I105" t="s">
        <v>907</v>
      </c>
      <c r="J105" t="s">
        <v>21</v>
      </c>
      <c r="K105" t="s">
        <v>235</v>
      </c>
      <c r="L105">
        <v>5635</v>
      </c>
      <c r="M105" t="s">
        <v>673</v>
      </c>
    </row>
    <row r="106" spans="1:13" x14ac:dyDescent="0.35">
      <c r="A106">
        <v>0</v>
      </c>
      <c r="B106" t="s">
        <v>317</v>
      </c>
      <c r="C106">
        <v>401619</v>
      </c>
      <c r="D106" t="s">
        <v>15</v>
      </c>
      <c r="E106" t="s">
        <v>1623</v>
      </c>
      <c r="F106" t="s">
        <v>319</v>
      </c>
      <c r="G106" t="s">
        <v>1117</v>
      </c>
      <c r="H106" t="s">
        <v>19</v>
      </c>
      <c r="I106" t="s">
        <v>1118</v>
      </c>
      <c r="J106" t="s">
        <v>21</v>
      </c>
      <c r="K106" t="s">
        <v>235</v>
      </c>
      <c r="L106">
        <v>5721</v>
      </c>
      <c r="M106" t="s">
        <v>673</v>
      </c>
    </row>
    <row r="107" spans="1:13" x14ac:dyDescent="0.35">
      <c r="A107">
        <v>0</v>
      </c>
      <c r="B107" t="s">
        <v>317</v>
      </c>
      <c r="C107">
        <v>401622</v>
      </c>
      <c r="D107" t="s">
        <v>15</v>
      </c>
      <c r="E107" t="s">
        <v>1624</v>
      </c>
      <c r="F107" t="s">
        <v>319</v>
      </c>
      <c r="G107" t="s">
        <v>628</v>
      </c>
      <c r="H107" t="s">
        <v>19</v>
      </c>
      <c r="I107" t="s">
        <v>629</v>
      </c>
      <c r="J107" t="s">
        <v>21</v>
      </c>
      <c r="K107" t="s">
        <v>235</v>
      </c>
      <c r="L107">
        <v>5722</v>
      </c>
      <c r="M107" t="s">
        <v>673</v>
      </c>
    </row>
    <row r="108" spans="1:13" x14ac:dyDescent="0.35">
      <c r="A108">
        <v>0</v>
      </c>
      <c r="B108" t="s">
        <v>317</v>
      </c>
      <c r="C108">
        <v>401623</v>
      </c>
      <c r="D108" t="s">
        <v>15</v>
      </c>
      <c r="E108" t="s">
        <v>1625</v>
      </c>
      <c r="F108" t="s">
        <v>319</v>
      </c>
      <c r="G108" t="s">
        <v>856</v>
      </c>
      <c r="H108" t="s">
        <v>19</v>
      </c>
      <c r="I108" t="s">
        <v>857</v>
      </c>
      <c r="J108" t="s">
        <v>21</v>
      </c>
      <c r="K108" t="s">
        <v>235</v>
      </c>
      <c r="L108">
        <v>5718</v>
      </c>
      <c r="M108" t="s">
        <v>673</v>
      </c>
    </row>
    <row r="109" spans="1:13" x14ac:dyDescent="0.35">
      <c r="A109">
        <v>0</v>
      </c>
      <c r="B109" t="s">
        <v>317</v>
      </c>
      <c r="C109">
        <v>401628</v>
      </c>
      <c r="D109" t="s">
        <v>15</v>
      </c>
      <c r="E109" t="s">
        <v>1628</v>
      </c>
      <c r="F109" t="s">
        <v>319</v>
      </c>
      <c r="G109" t="s">
        <v>526</v>
      </c>
      <c r="H109" t="s">
        <v>19</v>
      </c>
      <c r="I109" t="s">
        <v>1399</v>
      </c>
      <c r="J109" t="s">
        <v>21</v>
      </c>
      <c r="K109" t="s">
        <v>235</v>
      </c>
      <c r="L109">
        <v>5628</v>
      </c>
      <c r="M109" t="s">
        <v>673</v>
      </c>
    </row>
    <row r="110" spans="1:13" x14ac:dyDescent="0.35">
      <c r="A110">
        <v>0</v>
      </c>
      <c r="B110" t="s">
        <v>317</v>
      </c>
      <c r="C110">
        <v>401877</v>
      </c>
      <c r="D110" t="s">
        <v>15</v>
      </c>
      <c r="E110" t="s">
        <v>1638</v>
      </c>
      <c r="F110" t="s">
        <v>319</v>
      </c>
      <c r="G110" t="s">
        <v>1044</v>
      </c>
      <c r="H110" t="s">
        <v>19</v>
      </c>
      <c r="I110" t="s">
        <v>1045</v>
      </c>
      <c r="J110" t="s">
        <v>21</v>
      </c>
      <c r="K110" t="s">
        <v>235</v>
      </c>
      <c r="L110">
        <v>3552</v>
      </c>
      <c r="M110" t="s">
        <v>673</v>
      </c>
    </row>
    <row r="111" spans="1:13" x14ac:dyDescent="0.35">
      <c r="A111">
        <v>0</v>
      </c>
      <c r="B111" t="s">
        <v>317</v>
      </c>
      <c r="C111">
        <v>406321</v>
      </c>
      <c r="D111" t="s">
        <v>15</v>
      </c>
      <c r="E111" t="s">
        <v>1759</v>
      </c>
      <c r="F111" t="s">
        <v>319</v>
      </c>
      <c r="G111" t="s">
        <v>1402</v>
      </c>
      <c r="H111" t="s">
        <v>19</v>
      </c>
      <c r="I111" t="s">
        <v>1403</v>
      </c>
      <c r="J111" t="s">
        <v>21</v>
      </c>
      <c r="K111" t="s">
        <v>235</v>
      </c>
      <c r="L111">
        <v>5629</v>
      </c>
      <c r="M111" t="s">
        <v>673</v>
      </c>
    </row>
    <row r="112" spans="1:13" x14ac:dyDescent="0.35">
      <c r="A112">
        <v>0</v>
      </c>
      <c r="B112" t="s">
        <v>317</v>
      </c>
      <c r="C112">
        <v>408923</v>
      </c>
      <c r="D112" t="s">
        <v>15</v>
      </c>
      <c r="E112" t="s">
        <v>1819</v>
      </c>
      <c r="F112" t="s">
        <v>319</v>
      </c>
      <c r="G112" t="s">
        <v>847</v>
      </c>
      <c r="H112" t="s">
        <v>19</v>
      </c>
      <c r="I112" t="s">
        <v>848</v>
      </c>
      <c r="J112" t="s">
        <v>21</v>
      </c>
      <c r="K112" t="s">
        <v>235</v>
      </c>
      <c r="L112">
        <v>5634</v>
      </c>
      <c r="M112" t="s">
        <v>673</v>
      </c>
    </row>
    <row r="113" spans="1:13" x14ac:dyDescent="0.35">
      <c r="A113">
        <v>0</v>
      </c>
      <c r="B113" t="s">
        <v>317</v>
      </c>
      <c r="C113">
        <v>410295</v>
      </c>
      <c r="D113" t="s">
        <v>15</v>
      </c>
      <c r="E113" t="s">
        <v>1850</v>
      </c>
      <c r="F113" t="s">
        <v>319</v>
      </c>
      <c r="G113" t="s">
        <v>906</v>
      </c>
      <c r="H113" t="s">
        <v>19</v>
      </c>
      <c r="I113" t="s">
        <v>907</v>
      </c>
      <c r="J113" t="s">
        <v>21</v>
      </c>
      <c r="K113" t="s">
        <v>235</v>
      </c>
      <c r="L113">
        <v>5635</v>
      </c>
      <c r="M113" t="s">
        <v>673</v>
      </c>
    </row>
    <row r="114" spans="1:13" x14ac:dyDescent="0.35">
      <c r="A114" t="s">
        <v>13</v>
      </c>
      <c r="B114" t="s">
        <v>14</v>
      </c>
      <c r="C114">
        <v>328351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 t="s">
        <v>20</v>
      </c>
      <c r="J114" t="s">
        <v>21</v>
      </c>
      <c r="K114" t="s">
        <v>22</v>
      </c>
      <c r="L114">
        <v>5638</v>
      </c>
      <c r="M114" t="s">
        <v>23</v>
      </c>
    </row>
    <row r="115" spans="1:13" x14ac:dyDescent="0.35">
      <c r="A115" t="s">
        <v>24</v>
      </c>
      <c r="B115" t="s">
        <v>14</v>
      </c>
      <c r="C115">
        <v>328354</v>
      </c>
      <c r="D115" t="s">
        <v>15</v>
      </c>
      <c r="E115" t="s">
        <v>25</v>
      </c>
      <c r="F115" t="s">
        <v>17</v>
      </c>
      <c r="G115" t="s">
        <v>26</v>
      </c>
      <c r="H115" t="s">
        <v>19</v>
      </c>
      <c r="I115" t="s">
        <v>27</v>
      </c>
      <c r="J115" t="s">
        <v>21</v>
      </c>
      <c r="K115" t="s">
        <v>22</v>
      </c>
      <c r="L115">
        <v>5647</v>
      </c>
      <c r="M115" t="s">
        <v>23</v>
      </c>
    </row>
    <row r="116" spans="1:13" x14ac:dyDescent="0.35">
      <c r="A116" t="s">
        <v>28</v>
      </c>
      <c r="B116" t="s">
        <v>14</v>
      </c>
      <c r="C116">
        <v>328357</v>
      </c>
      <c r="D116" t="s">
        <v>15</v>
      </c>
      <c r="E116" t="s">
        <v>29</v>
      </c>
      <c r="F116" t="s">
        <v>17</v>
      </c>
      <c r="G116" t="s">
        <v>30</v>
      </c>
      <c r="H116" t="s">
        <v>19</v>
      </c>
      <c r="I116" t="s">
        <v>31</v>
      </c>
      <c r="J116" t="s">
        <v>21</v>
      </c>
      <c r="K116" t="s">
        <v>22</v>
      </c>
      <c r="L116">
        <v>5645</v>
      </c>
      <c r="M116" t="s">
        <v>23</v>
      </c>
    </row>
    <row r="117" spans="1:13" x14ac:dyDescent="0.35">
      <c r="A117" t="s">
        <v>45</v>
      </c>
      <c r="B117" t="s">
        <v>14</v>
      </c>
      <c r="C117">
        <v>328367</v>
      </c>
      <c r="D117" t="s">
        <v>15</v>
      </c>
      <c r="E117" t="s">
        <v>46</v>
      </c>
      <c r="F117" t="s">
        <v>17</v>
      </c>
      <c r="G117" t="s">
        <v>18</v>
      </c>
      <c r="H117" t="s">
        <v>19</v>
      </c>
      <c r="I117" t="s">
        <v>20</v>
      </c>
      <c r="J117" t="s">
        <v>21</v>
      </c>
      <c r="K117" t="s">
        <v>22</v>
      </c>
      <c r="L117">
        <v>5638</v>
      </c>
      <c r="M117" t="s">
        <v>23</v>
      </c>
    </row>
    <row r="118" spans="1:13" x14ac:dyDescent="0.35">
      <c r="A118" t="s">
        <v>173</v>
      </c>
      <c r="B118" t="s">
        <v>14</v>
      </c>
      <c r="C118">
        <v>332919</v>
      </c>
      <c r="D118" t="s">
        <v>15</v>
      </c>
      <c r="E118" t="s">
        <v>174</v>
      </c>
      <c r="F118" t="s">
        <v>17</v>
      </c>
      <c r="G118" t="s">
        <v>175</v>
      </c>
      <c r="H118" t="s">
        <v>19</v>
      </c>
      <c r="I118" t="s">
        <v>176</v>
      </c>
      <c r="J118" t="s">
        <v>21</v>
      </c>
      <c r="K118" t="s">
        <v>22</v>
      </c>
      <c r="L118">
        <v>5644</v>
      </c>
      <c r="M118" t="s">
        <v>23</v>
      </c>
    </row>
    <row r="119" spans="1:13" x14ac:dyDescent="0.35">
      <c r="A119" t="s">
        <v>216</v>
      </c>
      <c r="B119" t="s">
        <v>14</v>
      </c>
      <c r="C119">
        <v>335631</v>
      </c>
      <c r="D119" t="s">
        <v>15</v>
      </c>
      <c r="E119" t="s">
        <v>217</v>
      </c>
      <c r="F119" t="s">
        <v>17</v>
      </c>
      <c r="G119" t="s">
        <v>218</v>
      </c>
      <c r="H119" t="s">
        <v>19</v>
      </c>
      <c r="I119" t="s">
        <v>219</v>
      </c>
      <c r="J119" t="s">
        <v>21</v>
      </c>
      <c r="K119" t="s">
        <v>22</v>
      </c>
      <c r="L119">
        <v>5641</v>
      </c>
      <c r="M119" t="s">
        <v>23</v>
      </c>
    </row>
    <row r="120" spans="1:13" x14ac:dyDescent="0.35">
      <c r="A120" t="s">
        <v>222</v>
      </c>
      <c r="B120" t="s">
        <v>14</v>
      </c>
      <c r="C120">
        <v>335634</v>
      </c>
      <c r="D120" t="s">
        <v>15</v>
      </c>
      <c r="E120" t="s">
        <v>223</v>
      </c>
      <c r="F120" t="s">
        <v>17</v>
      </c>
      <c r="G120" t="s">
        <v>224</v>
      </c>
      <c r="H120" t="s">
        <v>19</v>
      </c>
      <c r="I120" t="s">
        <v>225</v>
      </c>
      <c r="J120" t="s">
        <v>21</v>
      </c>
      <c r="K120" t="s">
        <v>22</v>
      </c>
      <c r="L120">
        <v>5643</v>
      </c>
      <c r="M120" t="s">
        <v>23</v>
      </c>
    </row>
    <row r="121" spans="1:13" x14ac:dyDescent="0.35">
      <c r="A121" t="s">
        <v>240</v>
      </c>
      <c r="B121" t="s">
        <v>14</v>
      </c>
      <c r="C121">
        <v>336811</v>
      </c>
      <c r="D121" t="s">
        <v>15</v>
      </c>
      <c r="E121" t="s">
        <v>241</v>
      </c>
      <c r="F121" t="s">
        <v>17</v>
      </c>
      <c r="G121" t="s">
        <v>242</v>
      </c>
      <c r="H121" t="s">
        <v>19</v>
      </c>
      <c r="I121" t="s">
        <v>243</v>
      </c>
      <c r="J121" t="s">
        <v>21</v>
      </c>
      <c r="K121" t="s">
        <v>22</v>
      </c>
      <c r="L121">
        <v>5636</v>
      </c>
      <c r="M121" t="s">
        <v>23</v>
      </c>
    </row>
    <row r="122" spans="1:13" x14ac:dyDescent="0.35">
      <c r="A122" t="s">
        <v>293</v>
      </c>
      <c r="B122" t="s">
        <v>14</v>
      </c>
      <c r="C122">
        <v>341494</v>
      </c>
      <c r="D122" t="s">
        <v>15</v>
      </c>
      <c r="E122" t="s">
        <v>294</v>
      </c>
      <c r="F122" t="s">
        <v>17</v>
      </c>
      <c r="G122" t="s">
        <v>175</v>
      </c>
      <c r="H122" t="s">
        <v>19</v>
      </c>
      <c r="I122" t="s">
        <v>176</v>
      </c>
      <c r="J122" t="s">
        <v>21</v>
      </c>
      <c r="K122" t="s">
        <v>22</v>
      </c>
      <c r="L122">
        <v>5644</v>
      </c>
      <c r="M122" t="s">
        <v>23</v>
      </c>
    </row>
    <row r="123" spans="1:13" x14ac:dyDescent="0.35">
      <c r="A123" t="s">
        <v>393</v>
      </c>
      <c r="B123" t="s">
        <v>14</v>
      </c>
      <c r="C123">
        <v>349665</v>
      </c>
      <c r="D123" t="s">
        <v>15</v>
      </c>
      <c r="E123" t="s">
        <v>394</v>
      </c>
      <c r="F123" t="s">
        <v>17</v>
      </c>
      <c r="G123" t="s">
        <v>395</v>
      </c>
      <c r="H123" t="s">
        <v>19</v>
      </c>
      <c r="I123" t="s">
        <v>396</v>
      </c>
      <c r="J123" t="s">
        <v>21</v>
      </c>
      <c r="K123" t="s">
        <v>22</v>
      </c>
      <c r="L123">
        <v>5640</v>
      </c>
      <c r="M123" t="s">
        <v>23</v>
      </c>
    </row>
    <row r="124" spans="1:13" x14ac:dyDescent="0.35">
      <c r="A124" t="s">
        <v>513</v>
      </c>
      <c r="B124" t="s">
        <v>14</v>
      </c>
      <c r="C124">
        <v>358095</v>
      </c>
      <c r="D124" t="s">
        <v>15</v>
      </c>
      <c r="E124" t="s">
        <v>514</v>
      </c>
      <c r="F124" t="s">
        <v>17</v>
      </c>
      <c r="G124" t="s">
        <v>224</v>
      </c>
      <c r="H124" t="s">
        <v>19</v>
      </c>
      <c r="I124" t="s">
        <v>225</v>
      </c>
      <c r="J124" t="s">
        <v>21</v>
      </c>
      <c r="K124" t="s">
        <v>22</v>
      </c>
      <c r="L124">
        <v>5643</v>
      </c>
      <c r="M124" t="s">
        <v>23</v>
      </c>
    </row>
    <row r="125" spans="1:13" x14ac:dyDescent="0.35">
      <c r="A125" t="s">
        <v>561</v>
      </c>
      <c r="B125" t="s">
        <v>14</v>
      </c>
      <c r="C125">
        <v>362107</v>
      </c>
      <c r="D125" t="s">
        <v>15</v>
      </c>
      <c r="E125" t="s">
        <v>562</v>
      </c>
      <c r="F125" t="s">
        <v>17</v>
      </c>
      <c r="G125" t="s">
        <v>563</v>
      </c>
      <c r="H125" t="s">
        <v>19</v>
      </c>
      <c r="I125" t="s">
        <v>564</v>
      </c>
      <c r="J125" t="s">
        <v>21</v>
      </c>
      <c r="K125" t="s">
        <v>22</v>
      </c>
      <c r="L125">
        <v>7217</v>
      </c>
      <c r="M125" t="s">
        <v>23</v>
      </c>
    </row>
    <row r="126" spans="1:13" x14ac:dyDescent="0.35">
      <c r="A126" t="s">
        <v>732</v>
      </c>
      <c r="B126" t="s">
        <v>14</v>
      </c>
      <c r="C126">
        <v>373713</v>
      </c>
      <c r="D126" t="s">
        <v>15</v>
      </c>
      <c r="E126" t="s">
        <v>733</v>
      </c>
      <c r="F126" t="s">
        <v>17</v>
      </c>
      <c r="G126" t="s">
        <v>734</v>
      </c>
      <c r="H126" t="s">
        <v>19</v>
      </c>
      <c r="I126" t="s">
        <v>735</v>
      </c>
      <c r="J126" t="s">
        <v>21</v>
      </c>
      <c r="K126" t="s">
        <v>22</v>
      </c>
      <c r="L126">
        <v>5637</v>
      </c>
      <c r="M126" t="s">
        <v>23</v>
      </c>
    </row>
    <row r="127" spans="1:13" x14ac:dyDescent="0.35">
      <c r="A127" t="s">
        <v>736</v>
      </c>
      <c r="B127" t="s">
        <v>14</v>
      </c>
      <c r="C127">
        <v>373714</v>
      </c>
      <c r="D127" t="s">
        <v>15</v>
      </c>
      <c r="E127" t="s">
        <v>737</v>
      </c>
      <c r="F127" t="s">
        <v>17</v>
      </c>
      <c r="G127" t="s">
        <v>734</v>
      </c>
      <c r="H127" t="s">
        <v>19</v>
      </c>
      <c r="I127" t="s">
        <v>735</v>
      </c>
      <c r="J127" t="s">
        <v>21</v>
      </c>
      <c r="K127" t="s">
        <v>22</v>
      </c>
      <c r="L127">
        <v>5637</v>
      </c>
      <c r="M127" t="s">
        <v>23</v>
      </c>
    </row>
    <row r="128" spans="1:13" x14ac:dyDescent="0.35">
      <c r="A128" t="s">
        <v>760</v>
      </c>
      <c r="B128" t="s">
        <v>14</v>
      </c>
      <c r="C128">
        <v>373883</v>
      </c>
      <c r="D128" t="s">
        <v>15</v>
      </c>
      <c r="E128" t="s">
        <v>761</v>
      </c>
      <c r="F128" t="s">
        <v>17</v>
      </c>
      <c r="G128" t="s">
        <v>762</v>
      </c>
      <c r="H128" t="s">
        <v>19</v>
      </c>
      <c r="I128" t="s">
        <v>763</v>
      </c>
      <c r="J128" t="s">
        <v>21</v>
      </c>
      <c r="K128" t="s">
        <v>22</v>
      </c>
      <c r="L128">
        <v>5648</v>
      </c>
      <c r="M128" t="s">
        <v>23</v>
      </c>
    </row>
    <row r="129" spans="1:13" x14ac:dyDescent="0.35">
      <c r="A129" t="s">
        <v>818</v>
      </c>
      <c r="B129" t="s">
        <v>14</v>
      </c>
      <c r="C129">
        <v>375634</v>
      </c>
      <c r="D129" t="s">
        <v>15</v>
      </c>
      <c r="E129" t="s">
        <v>819</v>
      </c>
      <c r="F129" t="s">
        <v>17</v>
      </c>
      <c r="G129" t="s">
        <v>395</v>
      </c>
      <c r="H129" t="s">
        <v>19</v>
      </c>
      <c r="I129" t="s">
        <v>396</v>
      </c>
      <c r="J129" t="s">
        <v>21</v>
      </c>
      <c r="K129" t="s">
        <v>22</v>
      </c>
      <c r="L129">
        <v>5640</v>
      </c>
      <c r="M129" t="s">
        <v>23</v>
      </c>
    </row>
    <row r="130" spans="1:13" x14ac:dyDescent="0.35">
      <c r="A130" t="s">
        <v>820</v>
      </c>
      <c r="B130" t="s">
        <v>14</v>
      </c>
      <c r="C130">
        <v>375665</v>
      </c>
      <c r="D130" t="s">
        <v>15</v>
      </c>
      <c r="E130" t="s">
        <v>821</v>
      </c>
      <c r="F130" t="s">
        <v>17</v>
      </c>
      <c r="G130" t="s">
        <v>26</v>
      </c>
      <c r="H130" t="s">
        <v>19</v>
      </c>
      <c r="I130" t="s">
        <v>27</v>
      </c>
      <c r="J130" t="s">
        <v>21</v>
      </c>
      <c r="K130" t="s">
        <v>22</v>
      </c>
      <c r="L130">
        <v>5647</v>
      </c>
      <c r="M130" t="s">
        <v>23</v>
      </c>
    </row>
    <row r="131" spans="1:13" x14ac:dyDescent="0.35">
      <c r="A131" t="s">
        <v>830</v>
      </c>
      <c r="B131" t="s">
        <v>14</v>
      </c>
      <c r="C131">
        <v>375892</v>
      </c>
      <c r="D131" t="s">
        <v>15</v>
      </c>
      <c r="E131" t="s">
        <v>831</v>
      </c>
      <c r="F131" t="s">
        <v>17</v>
      </c>
      <c r="G131" t="s">
        <v>832</v>
      </c>
      <c r="H131" t="s">
        <v>19</v>
      </c>
      <c r="I131" t="s">
        <v>833</v>
      </c>
      <c r="J131" t="s">
        <v>21</v>
      </c>
      <c r="K131" t="s">
        <v>22</v>
      </c>
      <c r="L131">
        <v>5642</v>
      </c>
      <c r="M131" t="s">
        <v>23</v>
      </c>
    </row>
    <row r="132" spans="1:13" x14ac:dyDescent="0.35">
      <c r="A132" t="s">
        <v>920</v>
      </c>
      <c r="B132" t="s">
        <v>14</v>
      </c>
      <c r="C132">
        <v>377491</v>
      </c>
      <c r="D132" t="s">
        <v>15</v>
      </c>
      <c r="E132" t="s">
        <v>921</v>
      </c>
      <c r="F132" t="s">
        <v>17</v>
      </c>
      <c r="G132" t="s">
        <v>922</v>
      </c>
      <c r="H132" t="s">
        <v>19</v>
      </c>
      <c r="I132" t="s">
        <v>923</v>
      </c>
      <c r="J132" t="s">
        <v>21</v>
      </c>
      <c r="K132" t="s">
        <v>22</v>
      </c>
      <c r="L132">
        <v>7786</v>
      </c>
      <c r="M132" t="s">
        <v>23</v>
      </c>
    </row>
    <row r="133" spans="1:13" x14ac:dyDescent="0.35">
      <c r="A133" t="s">
        <v>980</v>
      </c>
      <c r="B133" t="s">
        <v>14</v>
      </c>
      <c r="C133">
        <v>379506</v>
      </c>
      <c r="D133" t="s">
        <v>15</v>
      </c>
      <c r="E133" t="s">
        <v>981</v>
      </c>
      <c r="F133" t="s">
        <v>17</v>
      </c>
      <c r="G133" t="s">
        <v>922</v>
      </c>
      <c r="H133" t="s">
        <v>19</v>
      </c>
      <c r="I133" t="s">
        <v>923</v>
      </c>
      <c r="J133" t="s">
        <v>21</v>
      </c>
      <c r="K133" t="s">
        <v>22</v>
      </c>
      <c r="L133">
        <v>7786</v>
      </c>
      <c r="M133" t="s">
        <v>23</v>
      </c>
    </row>
    <row r="134" spans="1:13" x14ac:dyDescent="0.35">
      <c r="A134" t="s">
        <v>1064</v>
      </c>
      <c r="B134" t="s">
        <v>14</v>
      </c>
      <c r="C134">
        <v>381759</v>
      </c>
      <c r="D134" t="s">
        <v>15</v>
      </c>
      <c r="E134" t="s">
        <v>1065</v>
      </c>
      <c r="F134" t="s">
        <v>17</v>
      </c>
      <c r="G134" t="s">
        <v>1024</v>
      </c>
      <c r="H134" t="s">
        <v>19</v>
      </c>
      <c r="I134" t="s">
        <v>1025</v>
      </c>
      <c r="J134" t="s">
        <v>21</v>
      </c>
      <c r="K134" t="s">
        <v>22</v>
      </c>
      <c r="L134">
        <v>5646</v>
      </c>
      <c r="M134" t="s">
        <v>23</v>
      </c>
    </row>
    <row r="135" spans="1:13" x14ac:dyDescent="0.35">
      <c r="A135" t="s">
        <v>1190</v>
      </c>
      <c r="B135" t="s">
        <v>14</v>
      </c>
      <c r="C135">
        <v>385529</v>
      </c>
      <c r="D135" t="s">
        <v>15</v>
      </c>
      <c r="E135" t="s">
        <v>1191</v>
      </c>
      <c r="F135" t="s">
        <v>17</v>
      </c>
      <c r="G135" t="s">
        <v>30</v>
      </c>
      <c r="H135" t="s">
        <v>19</v>
      </c>
      <c r="I135" t="s">
        <v>31</v>
      </c>
      <c r="J135" t="s">
        <v>21</v>
      </c>
      <c r="K135" t="s">
        <v>22</v>
      </c>
      <c r="L135">
        <v>5645</v>
      </c>
      <c r="M135" t="s">
        <v>23</v>
      </c>
    </row>
    <row r="136" spans="1:13" x14ac:dyDescent="0.35">
      <c r="A136" t="s">
        <v>1233</v>
      </c>
      <c r="B136" t="s">
        <v>14</v>
      </c>
      <c r="C136">
        <v>387082</v>
      </c>
      <c r="D136" t="s">
        <v>15</v>
      </c>
      <c r="E136" t="s">
        <v>1234</v>
      </c>
      <c r="F136" t="s">
        <v>17</v>
      </c>
      <c r="G136" t="s">
        <v>1020</v>
      </c>
      <c r="H136" t="s">
        <v>19</v>
      </c>
      <c r="I136" t="s">
        <v>1021</v>
      </c>
      <c r="J136" t="s">
        <v>21</v>
      </c>
      <c r="K136" t="s">
        <v>22</v>
      </c>
      <c r="L136">
        <v>7785</v>
      </c>
      <c r="M136" t="s">
        <v>23</v>
      </c>
    </row>
    <row r="137" spans="1:13" x14ac:dyDescent="0.35">
      <c r="A137" t="s">
        <v>1515</v>
      </c>
      <c r="B137" t="s">
        <v>14</v>
      </c>
      <c r="C137">
        <v>399865</v>
      </c>
      <c r="D137" t="s">
        <v>15</v>
      </c>
      <c r="E137" t="s">
        <v>1565</v>
      </c>
      <c r="F137" t="s">
        <v>17</v>
      </c>
      <c r="G137" t="s">
        <v>762</v>
      </c>
      <c r="H137" t="s">
        <v>19</v>
      </c>
      <c r="I137" t="s">
        <v>763</v>
      </c>
      <c r="J137" t="s">
        <v>21</v>
      </c>
      <c r="K137" t="s">
        <v>22</v>
      </c>
      <c r="L137">
        <v>5648</v>
      </c>
      <c r="M137" t="s">
        <v>23</v>
      </c>
    </row>
    <row r="138" spans="1:13" x14ac:dyDescent="0.35">
      <c r="A138" t="s">
        <v>1515</v>
      </c>
      <c r="B138" t="s">
        <v>14</v>
      </c>
      <c r="C138">
        <v>403258</v>
      </c>
      <c r="D138" t="s">
        <v>15</v>
      </c>
      <c r="E138" t="s">
        <v>1662</v>
      </c>
      <c r="F138" t="s">
        <v>17</v>
      </c>
      <c r="G138" t="s">
        <v>563</v>
      </c>
      <c r="H138" t="s">
        <v>19</v>
      </c>
      <c r="I138" t="s">
        <v>564</v>
      </c>
      <c r="J138" t="s">
        <v>21</v>
      </c>
      <c r="K138" t="s">
        <v>22</v>
      </c>
      <c r="L138">
        <v>7217</v>
      </c>
      <c r="M138" t="s">
        <v>23</v>
      </c>
    </row>
    <row r="139" spans="1:13" x14ac:dyDescent="0.35">
      <c r="A139" t="s">
        <v>1515</v>
      </c>
      <c r="B139" t="s">
        <v>14</v>
      </c>
      <c r="C139">
        <v>403266</v>
      </c>
      <c r="D139" t="s">
        <v>15</v>
      </c>
      <c r="E139" t="s">
        <v>1663</v>
      </c>
      <c r="F139" t="s">
        <v>17</v>
      </c>
      <c r="G139" t="s">
        <v>242</v>
      </c>
      <c r="H139" t="s">
        <v>19</v>
      </c>
      <c r="I139" t="s">
        <v>243</v>
      </c>
      <c r="J139" t="s">
        <v>21</v>
      </c>
      <c r="K139" t="s">
        <v>22</v>
      </c>
      <c r="L139">
        <v>5636</v>
      </c>
      <c r="M139" t="s">
        <v>23</v>
      </c>
    </row>
    <row r="140" spans="1:13" x14ac:dyDescent="0.35">
      <c r="A140" t="s">
        <v>1515</v>
      </c>
      <c r="B140" t="s">
        <v>14</v>
      </c>
      <c r="C140">
        <v>404670</v>
      </c>
      <c r="D140" t="s">
        <v>15</v>
      </c>
      <c r="E140" t="s">
        <v>1707</v>
      </c>
      <c r="F140" t="s">
        <v>17</v>
      </c>
      <c r="G140" t="s">
        <v>1708</v>
      </c>
      <c r="H140" t="s">
        <v>19</v>
      </c>
      <c r="I140" t="s">
        <v>1709</v>
      </c>
      <c r="J140" t="s">
        <v>21</v>
      </c>
      <c r="K140" t="s">
        <v>22</v>
      </c>
      <c r="L140">
        <v>7432</v>
      </c>
      <c r="M140" t="s">
        <v>23</v>
      </c>
    </row>
    <row r="141" spans="1:13" x14ac:dyDescent="0.35">
      <c r="A141" t="s">
        <v>1515</v>
      </c>
      <c r="B141" t="s">
        <v>14</v>
      </c>
      <c r="C141">
        <v>406875</v>
      </c>
      <c r="D141" t="s">
        <v>15</v>
      </c>
      <c r="E141" t="s">
        <v>1766</v>
      </c>
      <c r="F141" t="s">
        <v>17</v>
      </c>
      <c r="G141" t="s">
        <v>1708</v>
      </c>
      <c r="H141" t="s">
        <v>19</v>
      </c>
      <c r="I141" t="s">
        <v>1709</v>
      </c>
      <c r="J141" t="s">
        <v>21</v>
      </c>
      <c r="K141" t="s">
        <v>22</v>
      </c>
      <c r="L141">
        <v>7432</v>
      </c>
      <c r="M141" t="s">
        <v>23</v>
      </c>
    </row>
    <row r="142" spans="1:13" x14ac:dyDescent="0.35">
      <c r="A142" t="s">
        <v>1515</v>
      </c>
      <c r="B142" t="s">
        <v>14</v>
      </c>
      <c r="C142">
        <v>406886</v>
      </c>
      <c r="D142" t="s">
        <v>15</v>
      </c>
      <c r="E142" t="s">
        <v>1774</v>
      </c>
      <c r="F142" t="s">
        <v>17</v>
      </c>
      <c r="G142" t="s">
        <v>832</v>
      </c>
      <c r="H142" t="s">
        <v>19</v>
      </c>
      <c r="I142" t="s">
        <v>833</v>
      </c>
      <c r="J142" t="s">
        <v>21</v>
      </c>
      <c r="K142" t="s">
        <v>22</v>
      </c>
      <c r="L142">
        <v>5642</v>
      </c>
      <c r="M142" t="s">
        <v>23</v>
      </c>
    </row>
    <row r="143" spans="1:13" x14ac:dyDescent="0.35">
      <c r="A143" t="s">
        <v>1515</v>
      </c>
      <c r="B143" t="s">
        <v>14</v>
      </c>
      <c r="C143">
        <v>411995</v>
      </c>
      <c r="D143" t="s">
        <v>15</v>
      </c>
      <c r="E143" t="s">
        <v>1876</v>
      </c>
      <c r="F143" t="s">
        <v>17</v>
      </c>
      <c r="G143" t="s">
        <v>1020</v>
      </c>
      <c r="H143" t="s">
        <v>19</v>
      </c>
      <c r="I143" t="s">
        <v>1021</v>
      </c>
      <c r="J143" t="s">
        <v>21</v>
      </c>
      <c r="K143" t="s">
        <v>22</v>
      </c>
      <c r="L143">
        <v>7785</v>
      </c>
      <c r="M143" t="s">
        <v>23</v>
      </c>
    </row>
    <row r="144" spans="1:13" x14ac:dyDescent="0.35">
      <c r="A144" t="s">
        <v>1515</v>
      </c>
      <c r="B144" t="s">
        <v>14</v>
      </c>
      <c r="C144">
        <v>413395</v>
      </c>
      <c r="D144" t="s">
        <v>15</v>
      </c>
      <c r="E144" t="s">
        <v>1900</v>
      </c>
      <c r="F144" t="s">
        <v>17</v>
      </c>
      <c r="G144" t="s">
        <v>1024</v>
      </c>
      <c r="H144" t="s">
        <v>19</v>
      </c>
      <c r="I144" t="s">
        <v>1025</v>
      </c>
      <c r="J144" t="s">
        <v>21</v>
      </c>
      <c r="K144" t="s">
        <v>22</v>
      </c>
      <c r="L144">
        <v>5646</v>
      </c>
      <c r="M144" t="s">
        <v>23</v>
      </c>
    </row>
    <row r="145" spans="1:13" x14ac:dyDescent="0.35">
      <c r="A145" t="s">
        <v>581</v>
      </c>
      <c r="B145" t="s">
        <v>317</v>
      </c>
      <c r="C145">
        <v>364794</v>
      </c>
      <c r="D145" t="s">
        <v>15</v>
      </c>
      <c r="E145" t="s">
        <v>582</v>
      </c>
      <c r="F145" t="s">
        <v>319</v>
      </c>
      <c r="G145" t="s">
        <v>18</v>
      </c>
      <c r="H145" t="s">
        <v>19</v>
      </c>
      <c r="I145" t="s">
        <v>20</v>
      </c>
      <c r="J145" t="s">
        <v>21</v>
      </c>
      <c r="K145" t="s">
        <v>22</v>
      </c>
      <c r="L145">
        <v>5638</v>
      </c>
      <c r="M145" t="s">
        <v>23</v>
      </c>
    </row>
    <row r="146" spans="1:13" x14ac:dyDescent="0.35">
      <c r="A146" t="s">
        <v>583</v>
      </c>
      <c r="B146" t="s">
        <v>317</v>
      </c>
      <c r="C146">
        <v>364799</v>
      </c>
      <c r="D146" t="s">
        <v>15</v>
      </c>
      <c r="E146" t="s">
        <v>584</v>
      </c>
      <c r="F146" t="s">
        <v>319</v>
      </c>
      <c r="G146" t="s">
        <v>175</v>
      </c>
      <c r="H146" t="s">
        <v>19</v>
      </c>
      <c r="I146" t="s">
        <v>176</v>
      </c>
      <c r="J146" t="s">
        <v>21</v>
      </c>
      <c r="K146" t="s">
        <v>22</v>
      </c>
      <c r="L146">
        <v>5644</v>
      </c>
      <c r="M146" t="s">
        <v>23</v>
      </c>
    </row>
    <row r="147" spans="1:13" x14ac:dyDescent="0.35">
      <c r="A147" t="s">
        <v>924</v>
      </c>
      <c r="B147" t="s">
        <v>317</v>
      </c>
      <c r="C147">
        <v>377536</v>
      </c>
      <c r="D147" t="s">
        <v>15</v>
      </c>
      <c r="E147" t="s">
        <v>925</v>
      </c>
      <c r="F147" t="s">
        <v>319</v>
      </c>
      <c r="G147" t="s">
        <v>734</v>
      </c>
      <c r="H147" t="s">
        <v>19</v>
      </c>
      <c r="I147" t="s">
        <v>735</v>
      </c>
      <c r="J147" t="s">
        <v>21</v>
      </c>
      <c r="K147" t="s">
        <v>22</v>
      </c>
      <c r="L147">
        <v>5637</v>
      </c>
      <c r="M147" t="s">
        <v>673</v>
      </c>
    </row>
    <row r="148" spans="1:13" x14ac:dyDescent="0.35">
      <c r="A148" t="s">
        <v>943</v>
      </c>
      <c r="B148" t="s">
        <v>317</v>
      </c>
      <c r="C148">
        <v>378374</v>
      </c>
      <c r="D148" t="s">
        <v>15</v>
      </c>
      <c r="E148" t="s">
        <v>944</v>
      </c>
      <c r="F148" t="s">
        <v>319</v>
      </c>
      <c r="G148" t="s">
        <v>922</v>
      </c>
      <c r="H148" t="s">
        <v>19</v>
      </c>
      <c r="I148" t="s">
        <v>923</v>
      </c>
      <c r="J148" t="s">
        <v>21</v>
      </c>
      <c r="K148" t="s">
        <v>22</v>
      </c>
      <c r="L148">
        <v>7786</v>
      </c>
      <c r="M148" t="s">
        <v>673</v>
      </c>
    </row>
    <row r="149" spans="1:13" x14ac:dyDescent="0.35">
      <c r="A149" t="s">
        <v>971</v>
      </c>
      <c r="B149" t="s">
        <v>317</v>
      </c>
      <c r="C149">
        <v>379454</v>
      </c>
      <c r="D149" t="s">
        <v>15</v>
      </c>
      <c r="E149" t="s">
        <v>972</v>
      </c>
      <c r="F149" t="s">
        <v>319</v>
      </c>
      <c r="G149" t="s">
        <v>26</v>
      </c>
      <c r="H149" t="s">
        <v>19</v>
      </c>
      <c r="I149" t="s">
        <v>27</v>
      </c>
      <c r="J149" t="s">
        <v>21</v>
      </c>
      <c r="K149" t="s">
        <v>22</v>
      </c>
      <c r="L149">
        <v>5647</v>
      </c>
      <c r="M149" t="s">
        <v>673</v>
      </c>
    </row>
    <row r="150" spans="1:13" x14ac:dyDescent="0.35">
      <c r="A150" t="s">
        <v>975</v>
      </c>
      <c r="B150" t="s">
        <v>317</v>
      </c>
      <c r="C150">
        <v>379456</v>
      </c>
      <c r="D150" t="s">
        <v>15</v>
      </c>
      <c r="E150" t="s">
        <v>976</v>
      </c>
      <c r="F150" t="s">
        <v>319</v>
      </c>
      <c r="G150" t="s">
        <v>395</v>
      </c>
      <c r="H150" t="s">
        <v>19</v>
      </c>
      <c r="I150" t="s">
        <v>396</v>
      </c>
      <c r="J150" t="s">
        <v>21</v>
      </c>
      <c r="K150" t="s">
        <v>22</v>
      </c>
      <c r="L150">
        <v>5640</v>
      </c>
      <c r="M150" t="s">
        <v>673</v>
      </c>
    </row>
    <row r="151" spans="1:13" x14ac:dyDescent="0.35">
      <c r="A151" t="s">
        <v>1018</v>
      </c>
      <c r="B151" t="s">
        <v>317</v>
      </c>
      <c r="C151">
        <v>381146</v>
      </c>
      <c r="D151" t="s">
        <v>15</v>
      </c>
      <c r="E151" t="s">
        <v>1019</v>
      </c>
      <c r="F151" t="s">
        <v>319</v>
      </c>
      <c r="G151" t="s">
        <v>1020</v>
      </c>
      <c r="H151" t="s">
        <v>19</v>
      </c>
      <c r="I151" t="s">
        <v>1021</v>
      </c>
      <c r="J151" t="s">
        <v>21</v>
      </c>
      <c r="K151" t="s">
        <v>22</v>
      </c>
      <c r="L151">
        <v>7785</v>
      </c>
      <c r="M151" t="s">
        <v>673</v>
      </c>
    </row>
    <row r="152" spans="1:13" x14ac:dyDescent="0.35">
      <c r="A152" t="s">
        <v>1022</v>
      </c>
      <c r="B152" t="s">
        <v>317</v>
      </c>
      <c r="C152">
        <v>381155</v>
      </c>
      <c r="D152" t="s">
        <v>15</v>
      </c>
      <c r="E152" t="s">
        <v>1023</v>
      </c>
      <c r="F152" t="s">
        <v>319</v>
      </c>
      <c r="G152" t="s">
        <v>1024</v>
      </c>
      <c r="H152" t="s">
        <v>19</v>
      </c>
      <c r="I152" t="s">
        <v>1025</v>
      </c>
      <c r="J152" t="s">
        <v>21</v>
      </c>
      <c r="K152" t="s">
        <v>22</v>
      </c>
      <c r="L152">
        <v>5646</v>
      </c>
      <c r="M152" t="s">
        <v>673</v>
      </c>
    </row>
    <row r="153" spans="1:13" x14ac:dyDescent="0.35">
      <c r="A153" t="s">
        <v>1037</v>
      </c>
      <c r="B153" t="s">
        <v>317</v>
      </c>
      <c r="C153">
        <v>381185</v>
      </c>
      <c r="D153" t="s">
        <v>15</v>
      </c>
      <c r="E153" t="s">
        <v>1038</v>
      </c>
      <c r="F153" t="s">
        <v>319</v>
      </c>
      <c r="G153" t="s">
        <v>563</v>
      </c>
      <c r="H153" t="s">
        <v>19</v>
      </c>
      <c r="I153" t="s">
        <v>564</v>
      </c>
      <c r="J153" t="s">
        <v>21</v>
      </c>
      <c r="K153" t="s">
        <v>22</v>
      </c>
      <c r="L153">
        <v>7217</v>
      </c>
      <c r="M153" t="s">
        <v>673</v>
      </c>
    </row>
    <row r="154" spans="1:13" x14ac:dyDescent="0.35">
      <c r="A154" t="s">
        <v>1106</v>
      </c>
      <c r="B154" t="s">
        <v>317</v>
      </c>
      <c r="C154">
        <v>383638</v>
      </c>
      <c r="D154" t="s">
        <v>15</v>
      </c>
      <c r="E154" t="s">
        <v>1107</v>
      </c>
      <c r="F154" t="s">
        <v>319</v>
      </c>
      <c r="G154" t="s">
        <v>762</v>
      </c>
      <c r="H154" t="s">
        <v>19</v>
      </c>
      <c r="I154" t="s">
        <v>763</v>
      </c>
      <c r="J154" t="s">
        <v>21</v>
      </c>
      <c r="K154" t="s">
        <v>22</v>
      </c>
      <c r="L154">
        <v>5648</v>
      </c>
      <c r="M154" t="s">
        <v>673</v>
      </c>
    </row>
    <row r="155" spans="1:13" x14ac:dyDescent="0.35">
      <c r="A155" t="s">
        <v>1142</v>
      </c>
      <c r="B155" t="s">
        <v>317</v>
      </c>
      <c r="C155">
        <v>385132</v>
      </c>
      <c r="D155" t="s">
        <v>15</v>
      </c>
      <c r="E155" t="s">
        <v>1143</v>
      </c>
      <c r="F155" t="s">
        <v>319</v>
      </c>
      <c r="G155" t="s">
        <v>224</v>
      </c>
      <c r="H155" t="s">
        <v>19</v>
      </c>
      <c r="I155" t="s">
        <v>225</v>
      </c>
      <c r="J155" t="s">
        <v>21</v>
      </c>
      <c r="K155" t="s">
        <v>22</v>
      </c>
      <c r="L155">
        <v>5643</v>
      </c>
      <c r="M155" t="s">
        <v>673</v>
      </c>
    </row>
    <row r="156" spans="1:13" x14ac:dyDescent="0.35">
      <c r="A156" t="s">
        <v>1186</v>
      </c>
      <c r="B156" t="s">
        <v>317</v>
      </c>
      <c r="C156">
        <v>385527</v>
      </c>
      <c r="D156" t="s">
        <v>15</v>
      </c>
      <c r="E156" t="s">
        <v>1187</v>
      </c>
      <c r="F156" t="s">
        <v>319</v>
      </c>
      <c r="G156" t="s">
        <v>762</v>
      </c>
      <c r="H156" t="s">
        <v>19</v>
      </c>
      <c r="I156" t="s">
        <v>763</v>
      </c>
      <c r="J156" t="s">
        <v>21</v>
      </c>
      <c r="K156" t="s">
        <v>22</v>
      </c>
      <c r="L156">
        <v>5648</v>
      </c>
      <c r="M156" t="s">
        <v>673</v>
      </c>
    </row>
    <row r="157" spans="1:13" x14ac:dyDescent="0.35">
      <c r="A157" t="s">
        <v>1188</v>
      </c>
      <c r="B157" t="s">
        <v>317</v>
      </c>
      <c r="C157">
        <v>385528</v>
      </c>
      <c r="D157" t="s">
        <v>15</v>
      </c>
      <c r="E157" t="s">
        <v>1189</v>
      </c>
      <c r="F157" t="s">
        <v>319</v>
      </c>
      <c r="G157" t="s">
        <v>30</v>
      </c>
      <c r="H157" t="s">
        <v>19</v>
      </c>
      <c r="I157" t="s">
        <v>31</v>
      </c>
      <c r="J157" t="s">
        <v>21</v>
      </c>
      <c r="K157" t="s">
        <v>22</v>
      </c>
      <c r="L157">
        <v>5645</v>
      </c>
      <c r="M157" t="s">
        <v>673</v>
      </c>
    </row>
    <row r="158" spans="1:13" x14ac:dyDescent="0.35">
      <c r="A158" t="s">
        <v>1269</v>
      </c>
      <c r="B158" t="s">
        <v>317</v>
      </c>
      <c r="C158">
        <v>388685</v>
      </c>
      <c r="D158" t="s">
        <v>15</v>
      </c>
      <c r="E158" t="s">
        <v>1270</v>
      </c>
      <c r="F158" t="s">
        <v>319</v>
      </c>
      <c r="G158" t="s">
        <v>832</v>
      </c>
      <c r="H158" t="s">
        <v>19</v>
      </c>
      <c r="I158" t="s">
        <v>833</v>
      </c>
      <c r="J158" t="s">
        <v>21</v>
      </c>
      <c r="K158" t="s">
        <v>22</v>
      </c>
      <c r="L158">
        <v>5642</v>
      </c>
      <c r="M158" t="s">
        <v>673</v>
      </c>
    </row>
    <row r="159" spans="1:13" x14ac:dyDescent="0.35">
      <c r="A159" t="s">
        <v>1493</v>
      </c>
      <c r="B159" t="s">
        <v>317</v>
      </c>
      <c r="C159">
        <v>394443</v>
      </c>
      <c r="D159" t="s">
        <v>15</v>
      </c>
      <c r="E159" t="s">
        <v>1494</v>
      </c>
      <c r="F159" t="s">
        <v>319</v>
      </c>
      <c r="G159" t="s">
        <v>242</v>
      </c>
      <c r="H159" t="s">
        <v>19</v>
      </c>
      <c r="I159" t="s">
        <v>243</v>
      </c>
      <c r="J159" t="s">
        <v>21</v>
      </c>
      <c r="K159" t="s">
        <v>22</v>
      </c>
      <c r="L159">
        <v>5636</v>
      </c>
      <c r="M159" t="s">
        <v>673</v>
      </c>
    </row>
    <row r="160" spans="1:13" x14ac:dyDescent="0.35">
      <c r="A160">
        <v>0</v>
      </c>
      <c r="B160" t="s">
        <v>317</v>
      </c>
      <c r="C160">
        <v>396870</v>
      </c>
      <c r="D160" t="s">
        <v>15</v>
      </c>
      <c r="E160" t="s">
        <v>1531</v>
      </c>
      <c r="F160" t="s">
        <v>319</v>
      </c>
      <c r="G160" t="s">
        <v>30</v>
      </c>
      <c r="H160" t="s">
        <v>19</v>
      </c>
      <c r="I160" t="s">
        <v>31</v>
      </c>
      <c r="J160" t="s">
        <v>21</v>
      </c>
      <c r="K160" t="s">
        <v>22</v>
      </c>
      <c r="L160">
        <v>5645</v>
      </c>
      <c r="M160" t="s">
        <v>673</v>
      </c>
    </row>
    <row r="161" spans="1:13" x14ac:dyDescent="0.35">
      <c r="A161">
        <v>0</v>
      </c>
      <c r="B161" t="s">
        <v>317</v>
      </c>
      <c r="C161">
        <v>404616</v>
      </c>
      <c r="D161" t="s">
        <v>15</v>
      </c>
      <c r="E161" t="s">
        <v>1691</v>
      </c>
      <c r="F161" t="s">
        <v>319</v>
      </c>
      <c r="G161" t="s">
        <v>218</v>
      </c>
      <c r="H161" t="s">
        <v>19</v>
      </c>
      <c r="I161" t="s">
        <v>219</v>
      </c>
      <c r="J161" t="s">
        <v>21</v>
      </c>
      <c r="K161" t="s">
        <v>22</v>
      </c>
      <c r="L161">
        <v>5641</v>
      </c>
      <c r="M161" t="s">
        <v>673</v>
      </c>
    </row>
    <row r="162" spans="1:13" x14ac:dyDescent="0.35">
      <c r="A162">
        <v>0</v>
      </c>
      <c r="B162" t="s">
        <v>317</v>
      </c>
      <c r="C162">
        <v>404672</v>
      </c>
      <c r="D162" t="s">
        <v>15</v>
      </c>
      <c r="E162" t="s">
        <v>1713</v>
      </c>
      <c r="F162" t="s">
        <v>319</v>
      </c>
      <c r="G162" t="s">
        <v>1708</v>
      </c>
      <c r="H162" t="s">
        <v>19</v>
      </c>
      <c r="I162" t="s">
        <v>1709</v>
      </c>
      <c r="J162" t="s">
        <v>21</v>
      </c>
      <c r="K162" t="s">
        <v>22</v>
      </c>
      <c r="L162">
        <v>7432</v>
      </c>
      <c r="M162" t="s">
        <v>673</v>
      </c>
    </row>
    <row r="163" spans="1:13" x14ac:dyDescent="0.35">
      <c r="A163">
        <v>0</v>
      </c>
      <c r="B163" t="s">
        <v>317</v>
      </c>
      <c r="C163">
        <v>404673</v>
      </c>
      <c r="D163" t="s">
        <v>15</v>
      </c>
      <c r="E163" t="s">
        <v>1714</v>
      </c>
      <c r="F163" t="s">
        <v>319</v>
      </c>
      <c r="G163" t="s">
        <v>224</v>
      </c>
      <c r="H163" t="s">
        <v>19</v>
      </c>
      <c r="I163" t="s">
        <v>225</v>
      </c>
      <c r="J163" t="s">
        <v>21</v>
      </c>
      <c r="K163" t="s">
        <v>22</v>
      </c>
      <c r="L163">
        <v>5643</v>
      </c>
      <c r="M163" t="s">
        <v>673</v>
      </c>
    </row>
    <row r="164" spans="1:13" x14ac:dyDescent="0.35">
      <c r="A164">
        <v>0</v>
      </c>
      <c r="B164" t="s">
        <v>317</v>
      </c>
      <c r="C164">
        <v>408323</v>
      </c>
      <c r="D164" t="s">
        <v>15</v>
      </c>
      <c r="E164" t="s">
        <v>1801</v>
      </c>
      <c r="F164" t="s">
        <v>319</v>
      </c>
      <c r="G164" t="s">
        <v>175</v>
      </c>
      <c r="H164" t="s">
        <v>19</v>
      </c>
      <c r="I164" t="s">
        <v>176</v>
      </c>
      <c r="J164" t="s">
        <v>21</v>
      </c>
      <c r="K164" t="s">
        <v>22</v>
      </c>
      <c r="L164">
        <v>5644</v>
      </c>
      <c r="M164" t="s">
        <v>673</v>
      </c>
    </row>
    <row r="165" spans="1:13" x14ac:dyDescent="0.35">
      <c r="A165">
        <v>0</v>
      </c>
      <c r="B165" t="s">
        <v>317</v>
      </c>
      <c r="C165">
        <v>408405</v>
      </c>
      <c r="D165" t="s">
        <v>15</v>
      </c>
      <c r="E165" t="s">
        <v>1802</v>
      </c>
      <c r="F165" t="s">
        <v>319</v>
      </c>
      <c r="G165" t="s">
        <v>18</v>
      </c>
      <c r="H165" t="s">
        <v>19</v>
      </c>
      <c r="I165" t="s">
        <v>20</v>
      </c>
      <c r="J165" t="s">
        <v>21</v>
      </c>
      <c r="K165" t="s">
        <v>22</v>
      </c>
      <c r="L165">
        <v>5638</v>
      </c>
      <c r="M165" t="s">
        <v>673</v>
      </c>
    </row>
    <row r="166" spans="1:13" x14ac:dyDescent="0.35">
      <c r="A166">
        <v>0</v>
      </c>
      <c r="B166" t="s">
        <v>317</v>
      </c>
      <c r="C166">
        <v>408960</v>
      </c>
      <c r="D166" t="s">
        <v>15</v>
      </c>
      <c r="E166" t="s">
        <v>1821</v>
      </c>
      <c r="F166" t="s">
        <v>319</v>
      </c>
      <c r="G166" t="s">
        <v>832</v>
      </c>
      <c r="H166" t="s">
        <v>19</v>
      </c>
      <c r="I166" t="s">
        <v>833</v>
      </c>
      <c r="J166" t="s">
        <v>21</v>
      </c>
      <c r="K166" t="s">
        <v>22</v>
      </c>
      <c r="L166">
        <v>5642</v>
      </c>
      <c r="M166" t="s">
        <v>673</v>
      </c>
    </row>
    <row r="167" spans="1:13" x14ac:dyDescent="0.35">
      <c r="A167">
        <v>0</v>
      </c>
      <c r="B167" t="s">
        <v>317</v>
      </c>
      <c r="C167">
        <v>411993</v>
      </c>
      <c r="D167" t="s">
        <v>15</v>
      </c>
      <c r="E167" t="s">
        <v>1875</v>
      </c>
      <c r="F167" t="s">
        <v>319</v>
      </c>
      <c r="G167" t="s">
        <v>734</v>
      </c>
      <c r="H167" t="s">
        <v>19</v>
      </c>
      <c r="I167" t="s">
        <v>735</v>
      </c>
      <c r="J167" t="s">
        <v>21</v>
      </c>
      <c r="K167" t="s">
        <v>22</v>
      </c>
      <c r="L167">
        <v>5637</v>
      </c>
      <c r="M167" t="s">
        <v>673</v>
      </c>
    </row>
    <row r="168" spans="1:13" x14ac:dyDescent="0.35">
      <c r="A168">
        <v>0</v>
      </c>
      <c r="B168" t="s">
        <v>317</v>
      </c>
      <c r="C168">
        <v>412139</v>
      </c>
      <c r="D168" t="s">
        <v>15</v>
      </c>
      <c r="E168" t="s">
        <v>1877</v>
      </c>
      <c r="F168" t="s">
        <v>319</v>
      </c>
      <c r="G168" t="s">
        <v>395</v>
      </c>
      <c r="H168" t="s">
        <v>19</v>
      </c>
      <c r="I168" t="s">
        <v>396</v>
      </c>
      <c r="J168" t="s">
        <v>21</v>
      </c>
      <c r="K168" t="s">
        <v>22</v>
      </c>
      <c r="L168">
        <v>5640</v>
      </c>
      <c r="M168" t="s">
        <v>673</v>
      </c>
    </row>
    <row r="169" spans="1:13" x14ac:dyDescent="0.35">
      <c r="A169">
        <v>0</v>
      </c>
      <c r="B169" t="s">
        <v>317</v>
      </c>
      <c r="C169">
        <v>413396</v>
      </c>
      <c r="D169" t="s">
        <v>15</v>
      </c>
      <c r="E169" t="s">
        <v>1901</v>
      </c>
      <c r="F169" t="s">
        <v>319</v>
      </c>
      <c r="G169" t="s">
        <v>26</v>
      </c>
      <c r="H169" t="s">
        <v>19</v>
      </c>
      <c r="I169" t="s">
        <v>27</v>
      </c>
      <c r="J169" t="s">
        <v>21</v>
      </c>
      <c r="K169" t="s">
        <v>22</v>
      </c>
      <c r="L169">
        <v>5647</v>
      </c>
      <c r="M169" t="s">
        <v>673</v>
      </c>
    </row>
    <row r="170" spans="1:13" x14ac:dyDescent="0.35">
      <c r="A170" t="s">
        <v>144</v>
      </c>
      <c r="B170" t="s">
        <v>14</v>
      </c>
      <c r="C170">
        <v>328684</v>
      </c>
      <c r="D170" t="s">
        <v>15</v>
      </c>
      <c r="E170" t="s">
        <v>145</v>
      </c>
      <c r="F170" t="s">
        <v>17</v>
      </c>
      <c r="G170" t="s">
        <v>146</v>
      </c>
      <c r="H170" t="s">
        <v>19</v>
      </c>
      <c r="I170" t="s">
        <v>147</v>
      </c>
      <c r="J170" t="s">
        <v>21</v>
      </c>
      <c r="K170" t="s">
        <v>148</v>
      </c>
      <c r="L170">
        <v>5670</v>
      </c>
      <c r="M170" t="s">
        <v>23</v>
      </c>
    </row>
    <row r="171" spans="1:13" x14ac:dyDescent="0.35">
      <c r="A171" t="s">
        <v>163</v>
      </c>
      <c r="B171" t="s">
        <v>14</v>
      </c>
      <c r="C171">
        <v>330957</v>
      </c>
      <c r="D171" t="s">
        <v>15</v>
      </c>
      <c r="E171" t="s">
        <v>164</v>
      </c>
      <c r="F171" t="s">
        <v>17</v>
      </c>
      <c r="G171" t="s">
        <v>165</v>
      </c>
      <c r="H171" t="s">
        <v>19</v>
      </c>
      <c r="I171" t="s">
        <v>166</v>
      </c>
      <c r="J171" t="s">
        <v>21</v>
      </c>
      <c r="K171" t="s">
        <v>148</v>
      </c>
      <c r="L171">
        <v>5666</v>
      </c>
      <c r="M171" t="s">
        <v>23</v>
      </c>
    </row>
    <row r="172" spans="1:13" x14ac:dyDescent="0.35">
      <c r="A172" t="s">
        <v>470</v>
      </c>
      <c r="B172" t="s">
        <v>14</v>
      </c>
      <c r="C172">
        <v>355153</v>
      </c>
      <c r="D172" t="s">
        <v>15</v>
      </c>
      <c r="E172" t="s">
        <v>471</v>
      </c>
      <c r="F172" t="s">
        <v>17</v>
      </c>
      <c r="G172" t="s">
        <v>165</v>
      </c>
      <c r="H172" t="s">
        <v>19</v>
      </c>
      <c r="I172" t="s">
        <v>166</v>
      </c>
      <c r="J172" t="s">
        <v>21</v>
      </c>
      <c r="K172" t="s">
        <v>148</v>
      </c>
      <c r="L172">
        <v>5666</v>
      </c>
      <c r="M172" t="s">
        <v>23</v>
      </c>
    </row>
    <row r="173" spans="1:13" x14ac:dyDescent="0.35">
      <c r="A173" t="s">
        <v>636</v>
      </c>
      <c r="B173" t="s">
        <v>14</v>
      </c>
      <c r="C173">
        <v>370032</v>
      </c>
      <c r="D173" t="s">
        <v>15</v>
      </c>
      <c r="E173" t="s">
        <v>637</v>
      </c>
      <c r="F173" t="s">
        <v>17</v>
      </c>
      <c r="G173" t="s">
        <v>638</v>
      </c>
      <c r="H173" t="s">
        <v>19</v>
      </c>
      <c r="I173" t="s">
        <v>639</v>
      </c>
      <c r="J173" t="s">
        <v>21</v>
      </c>
      <c r="K173" t="s">
        <v>148</v>
      </c>
      <c r="L173">
        <v>5667</v>
      </c>
      <c r="M173" t="s">
        <v>23</v>
      </c>
    </row>
    <row r="174" spans="1:13" x14ac:dyDescent="0.35">
      <c r="A174" t="s">
        <v>724</v>
      </c>
      <c r="B174" t="s">
        <v>14</v>
      </c>
      <c r="C174">
        <v>373588</v>
      </c>
      <c r="D174" t="s">
        <v>15</v>
      </c>
      <c r="E174" t="s">
        <v>725</v>
      </c>
      <c r="F174" t="s">
        <v>17</v>
      </c>
      <c r="G174" t="s">
        <v>726</v>
      </c>
      <c r="H174" t="s">
        <v>19</v>
      </c>
      <c r="I174" t="s">
        <v>727</v>
      </c>
      <c r="J174" t="s">
        <v>21</v>
      </c>
      <c r="K174" t="s">
        <v>148</v>
      </c>
      <c r="L174">
        <v>7850</v>
      </c>
      <c r="M174" t="s">
        <v>23</v>
      </c>
    </row>
    <row r="175" spans="1:13" x14ac:dyDescent="0.35">
      <c r="A175" t="s">
        <v>803</v>
      </c>
      <c r="B175" t="s">
        <v>14</v>
      </c>
      <c r="C175">
        <v>375380</v>
      </c>
      <c r="D175" t="s">
        <v>15</v>
      </c>
      <c r="E175" t="s">
        <v>804</v>
      </c>
      <c r="F175" t="s">
        <v>17</v>
      </c>
      <c r="G175" t="s">
        <v>805</v>
      </c>
      <c r="H175" t="s">
        <v>19</v>
      </c>
      <c r="I175" t="s">
        <v>806</v>
      </c>
      <c r="J175" t="s">
        <v>21</v>
      </c>
      <c r="K175" t="s">
        <v>148</v>
      </c>
      <c r="L175">
        <v>7104</v>
      </c>
      <c r="M175" t="s">
        <v>23</v>
      </c>
    </row>
    <row r="176" spans="1:13" x14ac:dyDescent="0.35">
      <c r="A176" t="s">
        <v>1052</v>
      </c>
      <c r="B176" t="s">
        <v>14</v>
      </c>
      <c r="C176">
        <v>381402</v>
      </c>
      <c r="D176" t="s">
        <v>15</v>
      </c>
      <c r="E176" t="s">
        <v>1053</v>
      </c>
      <c r="F176" t="s">
        <v>17</v>
      </c>
      <c r="G176" t="s">
        <v>1054</v>
      </c>
      <c r="H176" t="s">
        <v>19</v>
      </c>
      <c r="I176" t="s">
        <v>1055</v>
      </c>
      <c r="J176" t="s">
        <v>21</v>
      </c>
      <c r="K176" t="s">
        <v>148</v>
      </c>
      <c r="L176">
        <v>7288</v>
      </c>
      <c r="M176" t="s">
        <v>23</v>
      </c>
    </row>
    <row r="177" spans="1:13" x14ac:dyDescent="0.35">
      <c r="A177" t="s">
        <v>1153</v>
      </c>
      <c r="B177" t="s">
        <v>14</v>
      </c>
      <c r="C177">
        <v>385233</v>
      </c>
      <c r="D177" t="s">
        <v>15</v>
      </c>
      <c r="E177" t="s">
        <v>1154</v>
      </c>
      <c r="F177" t="s">
        <v>17</v>
      </c>
      <c r="G177" t="s">
        <v>1155</v>
      </c>
      <c r="H177" t="s">
        <v>19</v>
      </c>
      <c r="I177" t="s">
        <v>1156</v>
      </c>
      <c r="J177" t="s">
        <v>21</v>
      </c>
      <c r="K177" t="s">
        <v>148</v>
      </c>
      <c r="L177">
        <v>5671</v>
      </c>
      <c r="M177" t="s">
        <v>23</v>
      </c>
    </row>
    <row r="178" spans="1:13" x14ac:dyDescent="0.35">
      <c r="A178" t="s">
        <v>1157</v>
      </c>
      <c r="B178" t="s">
        <v>14</v>
      </c>
      <c r="C178">
        <v>385234</v>
      </c>
      <c r="D178" t="s">
        <v>15</v>
      </c>
      <c r="E178" t="s">
        <v>1158</v>
      </c>
      <c r="F178" t="s">
        <v>17</v>
      </c>
      <c r="G178" t="s">
        <v>638</v>
      </c>
      <c r="H178" t="s">
        <v>19</v>
      </c>
      <c r="I178" t="s">
        <v>639</v>
      </c>
      <c r="J178" t="s">
        <v>21</v>
      </c>
      <c r="K178" t="s">
        <v>148</v>
      </c>
      <c r="L178">
        <v>5667</v>
      </c>
      <c r="M178" t="s">
        <v>23</v>
      </c>
    </row>
    <row r="179" spans="1:13" x14ac:dyDescent="0.35">
      <c r="A179" t="s">
        <v>1163</v>
      </c>
      <c r="B179" t="s">
        <v>14</v>
      </c>
      <c r="C179">
        <v>385237</v>
      </c>
      <c r="D179" t="s">
        <v>15</v>
      </c>
      <c r="E179" t="s">
        <v>1164</v>
      </c>
      <c r="F179" t="s">
        <v>17</v>
      </c>
      <c r="G179" t="s">
        <v>1165</v>
      </c>
      <c r="H179" t="s">
        <v>19</v>
      </c>
      <c r="I179" t="s">
        <v>1166</v>
      </c>
      <c r="J179" t="s">
        <v>21</v>
      </c>
      <c r="K179" t="s">
        <v>148</v>
      </c>
      <c r="L179">
        <v>7289</v>
      </c>
      <c r="M179" t="s">
        <v>23</v>
      </c>
    </row>
    <row r="180" spans="1:13" x14ac:dyDescent="0.35">
      <c r="A180" t="s">
        <v>1177</v>
      </c>
      <c r="B180" t="s">
        <v>14</v>
      </c>
      <c r="C180">
        <v>385348</v>
      </c>
      <c r="D180" t="s">
        <v>15</v>
      </c>
      <c r="E180" t="s">
        <v>1178</v>
      </c>
      <c r="F180" t="s">
        <v>17</v>
      </c>
      <c r="G180" t="s">
        <v>1179</v>
      </c>
      <c r="H180" t="s">
        <v>19</v>
      </c>
      <c r="I180" t="s">
        <v>1180</v>
      </c>
      <c r="J180" t="s">
        <v>21</v>
      </c>
      <c r="K180" t="s">
        <v>148</v>
      </c>
      <c r="L180">
        <v>5668</v>
      </c>
      <c r="M180" t="s">
        <v>23</v>
      </c>
    </row>
    <row r="181" spans="1:13" x14ac:dyDescent="0.35">
      <c r="A181" t="s">
        <v>1184</v>
      </c>
      <c r="B181" t="s">
        <v>14</v>
      </c>
      <c r="C181">
        <v>385461</v>
      </c>
      <c r="D181" t="s">
        <v>15</v>
      </c>
      <c r="E181" t="s">
        <v>1185</v>
      </c>
      <c r="F181" t="s">
        <v>17</v>
      </c>
      <c r="G181" t="s">
        <v>146</v>
      </c>
      <c r="H181" t="s">
        <v>19</v>
      </c>
      <c r="I181" t="s">
        <v>147</v>
      </c>
      <c r="J181" t="s">
        <v>21</v>
      </c>
      <c r="K181" t="s">
        <v>148</v>
      </c>
      <c r="L181">
        <v>5670</v>
      </c>
      <c r="M181" t="s">
        <v>23</v>
      </c>
    </row>
    <row r="182" spans="1:13" x14ac:dyDescent="0.35">
      <c r="A182" t="s">
        <v>1282</v>
      </c>
      <c r="B182" t="s">
        <v>14</v>
      </c>
      <c r="C182">
        <v>388977</v>
      </c>
      <c r="D182" t="s">
        <v>15</v>
      </c>
      <c r="E182" t="s">
        <v>1283</v>
      </c>
      <c r="F182" t="s">
        <v>17</v>
      </c>
      <c r="G182" t="s">
        <v>1278</v>
      </c>
      <c r="H182" t="s">
        <v>19</v>
      </c>
      <c r="I182" t="s">
        <v>1279</v>
      </c>
      <c r="J182" t="s">
        <v>21</v>
      </c>
      <c r="K182" t="s">
        <v>148</v>
      </c>
      <c r="L182">
        <v>8144</v>
      </c>
      <c r="M182" t="s">
        <v>23</v>
      </c>
    </row>
    <row r="183" spans="1:13" x14ac:dyDescent="0.35">
      <c r="A183" t="s">
        <v>1515</v>
      </c>
      <c r="B183" t="s">
        <v>14</v>
      </c>
      <c r="C183">
        <v>402337</v>
      </c>
      <c r="D183" t="s">
        <v>15</v>
      </c>
      <c r="E183" t="s">
        <v>1646</v>
      </c>
      <c r="F183" t="s">
        <v>17</v>
      </c>
      <c r="G183" t="s">
        <v>1647</v>
      </c>
      <c r="H183" t="s">
        <v>19</v>
      </c>
      <c r="I183" t="s">
        <v>1648</v>
      </c>
      <c r="J183" t="s">
        <v>21</v>
      </c>
      <c r="K183" t="s">
        <v>148</v>
      </c>
      <c r="L183">
        <v>7080</v>
      </c>
      <c r="M183" t="s">
        <v>23</v>
      </c>
    </row>
    <row r="184" spans="1:13" x14ac:dyDescent="0.35">
      <c r="A184">
        <v>1</v>
      </c>
      <c r="B184" t="s">
        <v>14</v>
      </c>
      <c r="C184">
        <v>402338</v>
      </c>
      <c r="D184" t="s">
        <v>15</v>
      </c>
      <c r="E184" t="s">
        <v>1649</v>
      </c>
      <c r="F184" t="s">
        <v>17</v>
      </c>
      <c r="G184" t="s">
        <v>1472</v>
      </c>
      <c r="H184" t="s">
        <v>19</v>
      </c>
      <c r="I184" t="s">
        <v>1473</v>
      </c>
      <c r="J184" t="s">
        <v>21</v>
      </c>
      <c r="K184" t="s">
        <v>148</v>
      </c>
      <c r="L184">
        <v>7739</v>
      </c>
      <c r="M184" t="s">
        <v>23</v>
      </c>
    </row>
    <row r="185" spans="1:13" x14ac:dyDescent="0.35">
      <c r="A185" t="s">
        <v>1515</v>
      </c>
      <c r="B185" t="s">
        <v>14</v>
      </c>
      <c r="C185">
        <v>404302</v>
      </c>
      <c r="D185" t="s">
        <v>15</v>
      </c>
      <c r="E185" t="s">
        <v>1677</v>
      </c>
      <c r="F185" t="s">
        <v>17</v>
      </c>
      <c r="G185" t="s">
        <v>1678</v>
      </c>
      <c r="H185" t="s">
        <v>19</v>
      </c>
      <c r="I185" t="s">
        <v>1679</v>
      </c>
      <c r="J185" t="s">
        <v>21</v>
      </c>
      <c r="K185" t="s">
        <v>148</v>
      </c>
      <c r="L185">
        <v>5669</v>
      </c>
      <c r="M185" t="s">
        <v>23</v>
      </c>
    </row>
    <row r="186" spans="1:13" x14ac:dyDescent="0.35">
      <c r="A186" t="s">
        <v>1515</v>
      </c>
      <c r="B186" t="s">
        <v>14</v>
      </c>
      <c r="C186">
        <v>405305</v>
      </c>
      <c r="D186" t="s">
        <v>15</v>
      </c>
      <c r="E186" t="s">
        <v>1732</v>
      </c>
      <c r="F186" t="s">
        <v>17</v>
      </c>
      <c r="G186" t="s">
        <v>1730</v>
      </c>
      <c r="H186" t="s">
        <v>19</v>
      </c>
      <c r="I186" t="s">
        <v>1731</v>
      </c>
      <c r="J186" t="s">
        <v>21</v>
      </c>
      <c r="K186" t="s">
        <v>148</v>
      </c>
      <c r="L186">
        <v>7738</v>
      </c>
      <c r="M186" t="s">
        <v>23</v>
      </c>
    </row>
    <row r="187" spans="1:13" x14ac:dyDescent="0.35">
      <c r="A187" t="s">
        <v>1515</v>
      </c>
      <c r="B187" t="s">
        <v>14</v>
      </c>
      <c r="C187">
        <v>410350</v>
      </c>
      <c r="D187" t="s">
        <v>15</v>
      </c>
      <c r="E187" t="s">
        <v>1851</v>
      </c>
      <c r="F187" t="s">
        <v>17</v>
      </c>
      <c r="G187" t="s">
        <v>1472</v>
      </c>
      <c r="H187" t="s">
        <v>19</v>
      </c>
      <c r="I187" t="s">
        <v>1473</v>
      </c>
      <c r="J187" t="s">
        <v>21</v>
      </c>
      <c r="K187" t="s">
        <v>148</v>
      </c>
      <c r="L187">
        <v>7739</v>
      </c>
      <c r="M187" t="s">
        <v>23</v>
      </c>
    </row>
    <row r="188" spans="1:13" x14ac:dyDescent="0.35">
      <c r="A188" t="s">
        <v>1515</v>
      </c>
      <c r="B188" t="s">
        <v>14</v>
      </c>
      <c r="C188">
        <v>410352</v>
      </c>
      <c r="D188" t="s">
        <v>15</v>
      </c>
      <c r="E188" t="s">
        <v>1853</v>
      </c>
      <c r="F188" t="s">
        <v>17</v>
      </c>
      <c r="G188" t="s">
        <v>1179</v>
      </c>
      <c r="H188" t="s">
        <v>19</v>
      </c>
      <c r="I188" t="s">
        <v>1180</v>
      </c>
      <c r="J188" t="s">
        <v>21</v>
      </c>
      <c r="K188" t="s">
        <v>148</v>
      </c>
      <c r="L188">
        <v>5668</v>
      </c>
      <c r="M188" t="s">
        <v>23</v>
      </c>
    </row>
    <row r="189" spans="1:13" x14ac:dyDescent="0.35">
      <c r="A189" t="s">
        <v>1173</v>
      </c>
      <c r="B189" t="s">
        <v>317</v>
      </c>
      <c r="C189">
        <v>385245</v>
      </c>
      <c r="D189" t="s">
        <v>15</v>
      </c>
      <c r="E189" t="s">
        <v>1174</v>
      </c>
      <c r="F189" t="s">
        <v>319</v>
      </c>
      <c r="G189" t="s">
        <v>1155</v>
      </c>
      <c r="H189" t="s">
        <v>19</v>
      </c>
      <c r="I189" t="s">
        <v>1156</v>
      </c>
      <c r="J189" t="s">
        <v>21</v>
      </c>
      <c r="K189" t="s">
        <v>148</v>
      </c>
      <c r="L189">
        <v>5671</v>
      </c>
      <c r="M189" t="s">
        <v>673</v>
      </c>
    </row>
    <row r="190" spans="1:13" x14ac:dyDescent="0.35">
      <c r="A190" t="s">
        <v>1271</v>
      </c>
      <c r="B190" t="s">
        <v>317</v>
      </c>
      <c r="C190">
        <v>388688</v>
      </c>
      <c r="D190" t="s">
        <v>15</v>
      </c>
      <c r="E190" t="s">
        <v>1272</v>
      </c>
      <c r="F190" t="s">
        <v>319</v>
      </c>
      <c r="G190" t="s">
        <v>1054</v>
      </c>
      <c r="H190" t="s">
        <v>19</v>
      </c>
      <c r="I190" t="s">
        <v>1055</v>
      </c>
      <c r="J190" t="s">
        <v>21</v>
      </c>
      <c r="K190" t="s">
        <v>148</v>
      </c>
      <c r="L190">
        <v>7288</v>
      </c>
      <c r="M190" t="s">
        <v>673</v>
      </c>
    </row>
    <row r="191" spans="1:13" x14ac:dyDescent="0.35">
      <c r="A191" t="s">
        <v>1276</v>
      </c>
      <c r="B191" t="s">
        <v>317</v>
      </c>
      <c r="C191">
        <v>388714</v>
      </c>
      <c r="D191" t="s">
        <v>15</v>
      </c>
      <c r="E191" t="s">
        <v>1277</v>
      </c>
      <c r="F191" t="s">
        <v>319</v>
      </c>
      <c r="G191" t="s">
        <v>1278</v>
      </c>
      <c r="H191" t="s">
        <v>19</v>
      </c>
      <c r="I191" t="s">
        <v>1279</v>
      </c>
      <c r="J191" t="s">
        <v>21</v>
      </c>
      <c r="K191" t="s">
        <v>148</v>
      </c>
      <c r="L191">
        <v>8144</v>
      </c>
      <c r="M191" t="s">
        <v>673</v>
      </c>
    </row>
    <row r="192" spans="1:13" x14ac:dyDescent="0.35">
      <c r="A192" t="s">
        <v>1470</v>
      </c>
      <c r="B192" t="s">
        <v>317</v>
      </c>
      <c r="C192">
        <v>393452</v>
      </c>
      <c r="D192" t="s">
        <v>15</v>
      </c>
      <c r="E192" t="s">
        <v>1471</v>
      </c>
      <c r="F192" t="s">
        <v>319</v>
      </c>
      <c r="G192" t="s">
        <v>1472</v>
      </c>
      <c r="H192" t="s">
        <v>19</v>
      </c>
      <c r="I192" t="s">
        <v>1473</v>
      </c>
      <c r="J192" t="s">
        <v>21</v>
      </c>
      <c r="K192" t="s">
        <v>148</v>
      </c>
      <c r="L192">
        <v>7739</v>
      </c>
      <c r="M192" t="s">
        <v>673</v>
      </c>
    </row>
    <row r="193" spans="1:13" x14ac:dyDescent="0.35">
      <c r="A193">
        <v>0</v>
      </c>
      <c r="B193" t="s">
        <v>317</v>
      </c>
      <c r="C193">
        <v>401345</v>
      </c>
      <c r="D193" t="s">
        <v>15</v>
      </c>
      <c r="E193" t="s">
        <v>1618</v>
      </c>
      <c r="F193" t="s">
        <v>319</v>
      </c>
      <c r="G193" t="s">
        <v>1165</v>
      </c>
      <c r="H193" t="s">
        <v>19</v>
      </c>
      <c r="I193" t="s">
        <v>1166</v>
      </c>
      <c r="J193" t="s">
        <v>21</v>
      </c>
      <c r="K193" t="s">
        <v>148</v>
      </c>
      <c r="L193">
        <v>7289</v>
      </c>
      <c r="M193" t="s">
        <v>673</v>
      </c>
    </row>
    <row r="194" spans="1:13" x14ac:dyDescent="0.35">
      <c r="A194">
        <v>0</v>
      </c>
      <c r="B194" t="s">
        <v>317</v>
      </c>
      <c r="C194">
        <v>401943</v>
      </c>
      <c r="D194" t="s">
        <v>15</v>
      </c>
      <c r="E194" t="s">
        <v>1640</v>
      </c>
      <c r="F194" t="s">
        <v>319</v>
      </c>
      <c r="G194" t="s">
        <v>165</v>
      </c>
      <c r="H194" t="s">
        <v>19</v>
      </c>
      <c r="I194" t="s">
        <v>166</v>
      </c>
      <c r="J194" t="s">
        <v>21</v>
      </c>
      <c r="K194" t="s">
        <v>148</v>
      </c>
      <c r="L194">
        <v>5666</v>
      </c>
      <c r="M194" t="s">
        <v>673</v>
      </c>
    </row>
    <row r="195" spans="1:13" x14ac:dyDescent="0.35">
      <c r="A195">
        <v>0</v>
      </c>
      <c r="B195" t="s">
        <v>317</v>
      </c>
      <c r="C195">
        <v>403427</v>
      </c>
      <c r="D195" t="s">
        <v>15</v>
      </c>
      <c r="E195" t="s">
        <v>1671</v>
      </c>
      <c r="F195" t="s">
        <v>319</v>
      </c>
      <c r="G195" t="s">
        <v>726</v>
      </c>
      <c r="H195" t="s">
        <v>19</v>
      </c>
      <c r="I195" t="s">
        <v>727</v>
      </c>
      <c r="J195" t="s">
        <v>21</v>
      </c>
      <c r="K195" t="s">
        <v>148</v>
      </c>
      <c r="L195">
        <v>7850</v>
      </c>
      <c r="M195" t="s">
        <v>673</v>
      </c>
    </row>
    <row r="196" spans="1:13" x14ac:dyDescent="0.35">
      <c r="A196">
        <v>0</v>
      </c>
      <c r="B196" t="s">
        <v>317</v>
      </c>
      <c r="C196">
        <v>405304</v>
      </c>
      <c r="D196" t="s">
        <v>15</v>
      </c>
      <c r="E196" t="s">
        <v>1729</v>
      </c>
      <c r="F196" t="s">
        <v>319</v>
      </c>
      <c r="G196" t="s">
        <v>1730</v>
      </c>
      <c r="H196" t="s">
        <v>19</v>
      </c>
      <c r="I196" t="s">
        <v>1731</v>
      </c>
      <c r="J196" t="s">
        <v>21</v>
      </c>
      <c r="K196" t="s">
        <v>148</v>
      </c>
      <c r="L196">
        <v>7738</v>
      </c>
      <c r="M196" t="s">
        <v>673</v>
      </c>
    </row>
    <row r="197" spans="1:13" x14ac:dyDescent="0.35">
      <c r="A197">
        <v>0</v>
      </c>
      <c r="B197" t="s">
        <v>317</v>
      </c>
      <c r="C197">
        <v>405307</v>
      </c>
      <c r="D197" t="s">
        <v>15</v>
      </c>
      <c r="E197" t="s">
        <v>1734</v>
      </c>
      <c r="F197" t="s">
        <v>319</v>
      </c>
      <c r="G197" t="s">
        <v>1647</v>
      </c>
      <c r="H197" t="s">
        <v>19</v>
      </c>
      <c r="I197" t="s">
        <v>1648</v>
      </c>
      <c r="J197" t="s">
        <v>21</v>
      </c>
      <c r="K197" t="s">
        <v>148</v>
      </c>
      <c r="L197">
        <v>7080</v>
      </c>
      <c r="M197" t="s">
        <v>673</v>
      </c>
    </row>
    <row r="198" spans="1:13" x14ac:dyDescent="0.35">
      <c r="A198">
        <v>0</v>
      </c>
      <c r="B198" t="s">
        <v>317</v>
      </c>
      <c r="C198">
        <v>407729</v>
      </c>
      <c r="D198" t="s">
        <v>15</v>
      </c>
      <c r="E198" t="s">
        <v>1791</v>
      </c>
      <c r="F198" t="s">
        <v>319</v>
      </c>
      <c r="G198" t="s">
        <v>146</v>
      </c>
      <c r="H198" t="s">
        <v>19</v>
      </c>
      <c r="I198" t="s">
        <v>147</v>
      </c>
      <c r="J198" t="s">
        <v>21</v>
      </c>
      <c r="K198" t="s">
        <v>148</v>
      </c>
      <c r="L198">
        <v>5670</v>
      </c>
      <c r="M198" t="s">
        <v>673</v>
      </c>
    </row>
    <row r="199" spans="1:13" x14ac:dyDescent="0.35">
      <c r="A199">
        <v>0</v>
      </c>
      <c r="B199" t="s">
        <v>317</v>
      </c>
      <c r="C199">
        <v>409891</v>
      </c>
      <c r="D199" t="s">
        <v>15</v>
      </c>
      <c r="E199" t="s">
        <v>1846</v>
      </c>
      <c r="F199" t="s">
        <v>319</v>
      </c>
      <c r="G199" t="s">
        <v>1179</v>
      </c>
      <c r="H199" t="s">
        <v>19</v>
      </c>
      <c r="I199" t="s">
        <v>1180</v>
      </c>
      <c r="J199" t="s">
        <v>21</v>
      </c>
      <c r="K199" t="s">
        <v>148</v>
      </c>
      <c r="L199">
        <v>5668</v>
      </c>
      <c r="M199" t="s">
        <v>673</v>
      </c>
    </row>
    <row r="200" spans="1:13" x14ac:dyDescent="0.35">
      <c r="A200" t="s">
        <v>1515</v>
      </c>
      <c r="B200" t="s">
        <v>317</v>
      </c>
      <c r="C200">
        <v>410351</v>
      </c>
      <c r="D200" t="s">
        <v>15</v>
      </c>
      <c r="E200" t="s">
        <v>1852</v>
      </c>
      <c r="F200" t="s">
        <v>319</v>
      </c>
      <c r="G200" t="s">
        <v>805</v>
      </c>
      <c r="H200" t="s">
        <v>19</v>
      </c>
      <c r="I200" t="s">
        <v>806</v>
      </c>
      <c r="J200" t="s">
        <v>21</v>
      </c>
      <c r="K200" t="s">
        <v>148</v>
      </c>
      <c r="L200">
        <v>7104</v>
      </c>
      <c r="M200" t="s">
        <v>23</v>
      </c>
    </row>
    <row r="201" spans="1:13" x14ac:dyDescent="0.35">
      <c r="A201">
        <v>0</v>
      </c>
      <c r="B201" t="s">
        <v>317</v>
      </c>
      <c r="C201">
        <v>412865</v>
      </c>
      <c r="D201" t="s">
        <v>15</v>
      </c>
      <c r="E201" t="s">
        <v>1887</v>
      </c>
      <c r="F201" t="s">
        <v>319</v>
      </c>
      <c r="G201" t="s">
        <v>638</v>
      </c>
      <c r="H201" t="s">
        <v>19</v>
      </c>
      <c r="I201" t="s">
        <v>639</v>
      </c>
      <c r="J201" t="s">
        <v>21</v>
      </c>
      <c r="K201" t="s">
        <v>148</v>
      </c>
      <c r="L201">
        <v>5667</v>
      </c>
      <c r="M201" t="s">
        <v>673</v>
      </c>
    </row>
    <row r="202" spans="1:13" x14ac:dyDescent="0.35">
      <c r="A202">
        <v>0</v>
      </c>
      <c r="B202" t="s">
        <v>317</v>
      </c>
      <c r="C202">
        <v>413241</v>
      </c>
      <c r="D202" t="s">
        <v>15</v>
      </c>
      <c r="E202" t="s">
        <v>1896</v>
      </c>
      <c r="F202" t="s">
        <v>319</v>
      </c>
      <c r="G202" t="s">
        <v>1678</v>
      </c>
      <c r="H202" t="s">
        <v>19</v>
      </c>
      <c r="I202" t="s">
        <v>1679</v>
      </c>
      <c r="J202" t="s">
        <v>21</v>
      </c>
      <c r="K202" t="s">
        <v>148</v>
      </c>
      <c r="L202">
        <v>5669</v>
      </c>
      <c r="M202" t="s">
        <v>673</v>
      </c>
    </row>
    <row r="203" spans="1:13" x14ac:dyDescent="0.35">
      <c r="A203" t="s">
        <v>96</v>
      </c>
      <c r="B203" t="s">
        <v>14</v>
      </c>
      <c r="C203">
        <v>328542</v>
      </c>
      <c r="D203" t="s">
        <v>15</v>
      </c>
      <c r="E203" t="s">
        <v>97</v>
      </c>
      <c r="F203" t="s">
        <v>17</v>
      </c>
      <c r="G203" t="s">
        <v>98</v>
      </c>
      <c r="H203" t="s">
        <v>19</v>
      </c>
      <c r="I203" t="s">
        <v>99</v>
      </c>
      <c r="J203" t="s">
        <v>21</v>
      </c>
      <c r="K203" t="s">
        <v>78</v>
      </c>
      <c r="L203">
        <v>5675</v>
      </c>
      <c r="M203" t="s">
        <v>23</v>
      </c>
    </row>
    <row r="204" spans="1:13" x14ac:dyDescent="0.35">
      <c r="A204" t="s">
        <v>100</v>
      </c>
      <c r="B204" t="s">
        <v>14</v>
      </c>
      <c r="C204">
        <v>328543</v>
      </c>
      <c r="D204" t="s">
        <v>15</v>
      </c>
      <c r="E204" t="s">
        <v>101</v>
      </c>
      <c r="F204" t="s">
        <v>17</v>
      </c>
      <c r="G204" t="s">
        <v>102</v>
      </c>
      <c r="H204" t="s">
        <v>19</v>
      </c>
      <c r="I204" t="s">
        <v>103</v>
      </c>
      <c r="J204" t="s">
        <v>21</v>
      </c>
      <c r="K204" t="s">
        <v>78</v>
      </c>
      <c r="L204">
        <v>7461</v>
      </c>
      <c r="M204" t="s">
        <v>23</v>
      </c>
    </row>
    <row r="205" spans="1:13" x14ac:dyDescent="0.35">
      <c r="A205" t="s">
        <v>427</v>
      </c>
      <c r="B205" t="s">
        <v>14</v>
      </c>
      <c r="C205">
        <v>350331</v>
      </c>
      <c r="D205" t="s">
        <v>15</v>
      </c>
      <c r="E205" t="s">
        <v>428</v>
      </c>
      <c r="F205" t="s">
        <v>17</v>
      </c>
      <c r="G205" t="s">
        <v>102</v>
      </c>
      <c r="H205" t="s">
        <v>19</v>
      </c>
      <c r="I205" t="s">
        <v>103</v>
      </c>
      <c r="J205" t="s">
        <v>21</v>
      </c>
      <c r="K205" t="s">
        <v>78</v>
      </c>
      <c r="L205">
        <v>7461</v>
      </c>
      <c r="M205" t="s">
        <v>23</v>
      </c>
    </row>
    <row r="206" spans="1:13" x14ac:dyDescent="0.35">
      <c r="A206" t="s">
        <v>574</v>
      </c>
      <c r="B206" t="s">
        <v>14</v>
      </c>
      <c r="C206">
        <v>364355</v>
      </c>
      <c r="D206" t="s">
        <v>15</v>
      </c>
      <c r="E206" t="s">
        <v>575</v>
      </c>
      <c r="F206" t="s">
        <v>17</v>
      </c>
      <c r="G206" t="s">
        <v>106</v>
      </c>
      <c r="H206" t="s">
        <v>19</v>
      </c>
      <c r="I206" t="s">
        <v>576</v>
      </c>
      <c r="J206" t="s">
        <v>21</v>
      </c>
      <c r="K206" t="s">
        <v>78</v>
      </c>
      <c r="L206">
        <v>3550</v>
      </c>
      <c r="M206" t="s">
        <v>23</v>
      </c>
    </row>
    <row r="207" spans="1:13" x14ac:dyDescent="0.35">
      <c r="A207" t="s">
        <v>745</v>
      </c>
      <c r="B207" t="s">
        <v>14</v>
      </c>
      <c r="C207">
        <v>373719</v>
      </c>
      <c r="D207" t="s">
        <v>15</v>
      </c>
      <c r="E207" t="s">
        <v>746</v>
      </c>
      <c r="F207" t="s">
        <v>17</v>
      </c>
      <c r="G207" t="s">
        <v>747</v>
      </c>
      <c r="H207" t="s">
        <v>19</v>
      </c>
      <c r="I207" t="s">
        <v>748</v>
      </c>
      <c r="J207" t="s">
        <v>21</v>
      </c>
      <c r="K207" t="s">
        <v>78</v>
      </c>
      <c r="L207">
        <v>5673</v>
      </c>
      <c r="M207" t="s">
        <v>23</v>
      </c>
    </row>
    <row r="208" spans="1:13" x14ac:dyDescent="0.35">
      <c r="A208" t="s">
        <v>1014</v>
      </c>
      <c r="B208" t="s">
        <v>14</v>
      </c>
      <c r="C208">
        <v>381002</v>
      </c>
      <c r="D208" t="s">
        <v>15</v>
      </c>
      <c r="E208" t="s">
        <v>1015</v>
      </c>
      <c r="F208" t="s">
        <v>17</v>
      </c>
      <c r="G208" t="s">
        <v>1016</v>
      </c>
      <c r="H208" t="s">
        <v>19</v>
      </c>
      <c r="I208" t="s">
        <v>1017</v>
      </c>
      <c r="J208" t="s">
        <v>21</v>
      </c>
      <c r="K208" t="s">
        <v>78</v>
      </c>
      <c r="L208">
        <v>5672</v>
      </c>
      <c r="M208" t="s">
        <v>23</v>
      </c>
    </row>
    <row r="209" spans="1:13" x14ac:dyDescent="0.35">
      <c r="A209" t="s">
        <v>1377</v>
      </c>
      <c r="B209" t="s">
        <v>14</v>
      </c>
      <c r="C209">
        <v>392401</v>
      </c>
      <c r="D209" t="s">
        <v>15</v>
      </c>
      <c r="E209" t="s">
        <v>1378</v>
      </c>
      <c r="F209" t="s">
        <v>17</v>
      </c>
      <c r="G209" t="s">
        <v>98</v>
      </c>
      <c r="H209" t="s">
        <v>19</v>
      </c>
      <c r="I209" t="s">
        <v>99</v>
      </c>
      <c r="J209" t="s">
        <v>21</v>
      </c>
      <c r="K209" t="s">
        <v>78</v>
      </c>
      <c r="L209">
        <v>5675</v>
      </c>
      <c r="M209" t="s">
        <v>23</v>
      </c>
    </row>
    <row r="210" spans="1:13" x14ac:dyDescent="0.35">
      <c r="A210" t="s">
        <v>1379</v>
      </c>
      <c r="B210" t="s">
        <v>14</v>
      </c>
      <c r="C210">
        <v>392402</v>
      </c>
      <c r="D210" t="s">
        <v>15</v>
      </c>
      <c r="E210" t="s">
        <v>1380</v>
      </c>
      <c r="F210" t="s">
        <v>17</v>
      </c>
      <c r="G210" t="s">
        <v>1381</v>
      </c>
      <c r="H210" t="s">
        <v>19</v>
      </c>
      <c r="I210" t="s">
        <v>1382</v>
      </c>
      <c r="J210" t="s">
        <v>21</v>
      </c>
      <c r="K210" t="s">
        <v>78</v>
      </c>
      <c r="L210">
        <v>5674</v>
      </c>
      <c r="M210" t="s">
        <v>23</v>
      </c>
    </row>
    <row r="211" spans="1:13" x14ac:dyDescent="0.35">
      <c r="A211" t="s">
        <v>1395</v>
      </c>
      <c r="B211" t="s">
        <v>14</v>
      </c>
      <c r="C211">
        <v>392428</v>
      </c>
      <c r="D211" t="s">
        <v>15</v>
      </c>
      <c r="E211" t="s">
        <v>1396</v>
      </c>
      <c r="F211" t="s">
        <v>17</v>
      </c>
      <c r="G211" t="s">
        <v>812</v>
      </c>
      <c r="H211" t="s">
        <v>19</v>
      </c>
      <c r="I211" t="s">
        <v>1029</v>
      </c>
      <c r="J211" t="s">
        <v>21</v>
      </c>
      <c r="K211" t="s">
        <v>78</v>
      </c>
      <c r="L211">
        <v>3393</v>
      </c>
      <c r="M211" t="s">
        <v>23</v>
      </c>
    </row>
    <row r="212" spans="1:13" x14ac:dyDescent="0.35">
      <c r="A212" t="s">
        <v>823</v>
      </c>
      <c r="B212" t="s">
        <v>317</v>
      </c>
      <c r="C212">
        <v>375677</v>
      </c>
      <c r="D212" t="s">
        <v>15</v>
      </c>
      <c r="E212" t="s">
        <v>824</v>
      </c>
      <c r="F212" t="s">
        <v>319</v>
      </c>
      <c r="G212" t="s">
        <v>747</v>
      </c>
      <c r="H212" t="s">
        <v>19</v>
      </c>
      <c r="I212" t="s">
        <v>748</v>
      </c>
      <c r="J212" t="s">
        <v>21</v>
      </c>
      <c r="K212" t="s">
        <v>78</v>
      </c>
      <c r="L212">
        <v>5673</v>
      </c>
      <c r="M212" t="s">
        <v>673</v>
      </c>
    </row>
    <row r="213" spans="1:13" x14ac:dyDescent="0.35">
      <c r="A213" t="s">
        <v>1027</v>
      </c>
      <c r="B213" t="s">
        <v>317</v>
      </c>
      <c r="C213">
        <v>381179</v>
      </c>
      <c r="D213" t="s">
        <v>15</v>
      </c>
      <c r="E213" t="s">
        <v>1028</v>
      </c>
      <c r="F213" t="s">
        <v>319</v>
      </c>
      <c r="G213" t="s">
        <v>812</v>
      </c>
      <c r="H213" t="s">
        <v>19</v>
      </c>
      <c r="I213" t="s">
        <v>1029</v>
      </c>
      <c r="J213" t="s">
        <v>21</v>
      </c>
      <c r="K213" t="s">
        <v>78</v>
      </c>
      <c r="L213">
        <v>3393</v>
      </c>
      <c r="M213" t="s">
        <v>673</v>
      </c>
    </row>
    <row r="214" spans="1:13" x14ac:dyDescent="0.35">
      <c r="A214" t="s">
        <v>1035</v>
      </c>
      <c r="B214" t="s">
        <v>317</v>
      </c>
      <c r="C214">
        <v>381184</v>
      </c>
      <c r="D214" t="s">
        <v>15</v>
      </c>
      <c r="E214" t="s">
        <v>1036</v>
      </c>
      <c r="F214" t="s">
        <v>319</v>
      </c>
      <c r="G214" t="s">
        <v>1016</v>
      </c>
      <c r="H214" t="s">
        <v>19</v>
      </c>
      <c r="I214" t="s">
        <v>1017</v>
      </c>
      <c r="J214" t="s">
        <v>21</v>
      </c>
      <c r="K214" t="s">
        <v>78</v>
      </c>
      <c r="L214">
        <v>5672</v>
      </c>
      <c r="M214" t="s">
        <v>673</v>
      </c>
    </row>
    <row r="215" spans="1:13" x14ac:dyDescent="0.35">
      <c r="A215" t="s">
        <v>1280</v>
      </c>
      <c r="B215" t="s">
        <v>317</v>
      </c>
      <c r="C215">
        <v>388715</v>
      </c>
      <c r="D215" t="s">
        <v>15</v>
      </c>
      <c r="E215" t="s">
        <v>1281</v>
      </c>
      <c r="F215" t="s">
        <v>319</v>
      </c>
      <c r="G215" t="s">
        <v>812</v>
      </c>
      <c r="H215" t="s">
        <v>19</v>
      </c>
      <c r="I215" t="s">
        <v>1029</v>
      </c>
      <c r="J215" t="s">
        <v>21</v>
      </c>
      <c r="K215" t="s">
        <v>78</v>
      </c>
      <c r="L215">
        <v>3393</v>
      </c>
      <c r="M215" t="s">
        <v>673</v>
      </c>
    </row>
    <row r="216" spans="1:13" x14ac:dyDescent="0.35">
      <c r="A216" t="s">
        <v>1341</v>
      </c>
      <c r="B216" t="s">
        <v>317</v>
      </c>
      <c r="C216">
        <v>390768</v>
      </c>
      <c r="D216" t="s">
        <v>15</v>
      </c>
      <c r="E216" t="s">
        <v>1342</v>
      </c>
      <c r="F216" t="s">
        <v>319</v>
      </c>
      <c r="G216" t="s">
        <v>102</v>
      </c>
      <c r="H216" t="s">
        <v>19</v>
      </c>
      <c r="I216" t="s">
        <v>103</v>
      </c>
      <c r="J216" t="s">
        <v>21</v>
      </c>
      <c r="K216" t="s">
        <v>78</v>
      </c>
      <c r="L216">
        <v>7461</v>
      </c>
      <c r="M216" t="s">
        <v>673</v>
      </c>
    </row>
    <row r="217" spans="1:13" x14ac:dyDescent="0.35">
      <c r="A217" t="s">
        <v>1385</v>
      </c>
      <c r="B217" t="s">
        <v>317</v>
      </c>
      <c r="C217">
        <v>392406</v>
      </c>
      <c r="D217" t="s">
        <v>15</v>
      </c>
      <c r="E217" t="s">
        <v>1386</v>
      </c>
      <c r="F217" t="s">
        <v>319</v>
      </c>
      <c r="G217" t="s">
        <v>98</v>
      </c>
      <c r="H217" t="s">
        <v>19</v>
      </c>
      <c r="I217" t="s">
        <v>99</v>
      </c>
      <c r="J217" t="s">
        <v>21</v>
      </c>
      <c r="K217" t="s">
        <v>78</v>
      </c>
      <c r="L217">
        <v>5675</v>
      </c>
      <c r="M217" t="s">
        <v>23</v>
      </c>
    </row>
    <row r="218" spans="1:13" x14ac:dyDescent="0.35">
      <c r="A218" t="s">
        <v>1391</v>
      </c>
      <c r="B218" t="s">
        <v>317</v>
      </c>
      <c r="C218">
        <v>392410</v>
      </c>
      <c r="D218" t="s">
        <v>15</v>
      </c>
      <c r="E218" t="s">
        <v>1392</v>
      </c>
      <c r="F218" t="s">
        <v>319</v>
      </c>
      <c r="G218" t="s">
        <v>1381</v>
      </c>
      <c r="H218" t="s">
        <v>19</v>
      </c>
      <c r="I218" t="s">
        <v>1382</v>
      </c>
      <c r="J218" t="s">
        <v>21</v>
      </c>
      <c r="K218" t="s">
        <v>78</v>
      </c>
      <c r="L218">
        <v>5674</v>
      </c>
      <c r="M218" t="s">
        <v>23</v>
      </c>
    </row>
    <row r="219" spans="1:13" x14ac:dyDescent="0.35">
      <c r="A219" t="s">
        <v>1393</v>
      </c>
      <c r="B219" t="s">
        <v>317</v>
      </c>
      <c r="C219">
        <v>392412</v>
      </c>
      <c r="D219" t="s">
        <v>15</v>
      </c>
      <c r="E219" t="s">
        <v>1394</v>
      </c>
      <c r="F219" t="s">
        <v>319</v>
      </c>
      <c r="G219" t="s">
        <v>106</v>
      </c>
      <c r="H219" t="s">
        <v>19</v>
      </c>
      <c r="I219" t="s">
        <v>576</v>
      </c>
      <c r="J219" t="s">
        <v>21</v>
      </c>
      <c r="K219" t="s">
        <v>78</v>
      </c>
      <c r="L219">
        <v>3550</v>
      </c>
      <c r="M219" t="s">
        <v>23</v>
      </c>
    </row>
    <row r="220" spans="1:13" x14ac:dyDescent="0.35">
      <c r="A220">
        <v>0</v>
      </c>
      <c r="B220" t="s">
        <v>317</v>
      </c>
      <c r="C220">
        <v>401188</v>
      </c>
      <c r="D220" t="s">
        <v>15</v>
      </c>
      <c r="E220" t="s">
        <v>1615</v>
      </c>
      <c r="F220" t="s">
        <v>319</v>
      </c>
      <c r="G220" t="s">
        <v>98</v>
      </c>
      <c r="H220" t="s">
        <v>19</v>
      </c>
      <c r="I220" t="s">
        <v>99</v>
      </c>
      <c r="J220" t="s">
        <v>21</v>
      </c>
      <c r="K220" t="s">
        <v>78</v>
      </c>
      <c r="L220">
        <v>5675</v>
      </c>
      <c r="M220" t="s">
        <v>673</v>
      </c>
    </row>
    <row r="221" spans="1:13" x14ac:dyDescent="0.35">
      <c r="A221" t="s">
        <v>139</v>
      </c>
      <c r="B221" t="s">
        <v>14</v>
      </c>
      <c r="C221">
        <v>328658</v>
      </c>
      <c r="D221" t="s">
        <v>15</v>
      </c>
      <c r="E221" t="s">
        <v>140</v>
      </c>
      <c r="F221" t="s">
        <v>17</v>
      </c>
      <c r="G221" t="s">
        <v>141</v>
      </c>
      <c r="H221" t="s">
        <v>19</v>
      </c>
      <c r="I221" t="s">
        <v>142</v>
      </c>
      <c r="J221" t="s">
        <v>21</v>
      </c>
      <c r="K221" t="s">
        <v>143</v>
      </c>
      <c r="L221">
        <v>7045</v>
      </c>
      <c r="M221" t="s">
        <v>23</v>
      </c>
    </row>
    <row r="222" spans="1:13" x14ac:dyDescent="0.35">
      <c r="A222" t="s">
        <v>149</v>
      </c>
      <c r="B222" t="s">
        <v>14</v>
      </c>
      <c r="C222">
        <v>328689</v>
      </c>
      <c r="D222" t="s">
        <v>15</v>
      </c>
      <c r="E222" t="s">
        <v>150</v>
      </c>
      <c r="F222" t="s">
        <v>17</v>
      </c>
      <c r="G222" t="s">
        <v>151</v>
      </c>
      <c r="H222" t="s">
        <v>19</v>
      </c>
      <c r="I222" t="s">
        <v>152</v>
      </c>
      <c r="J222" t="s">
        <v>21</v>
      </c>
      <c r="K222" t="s">
        <v>143</v>
      </c>
      <c r="L222">
        <v>5682</v>
      </c>
      <c r="M222" t="s">
        <v>23</v>
      </c>
    </row>
    <row r="223" spans="1:13" x14ac:dyDescent="0.35">
      <c r="A223" t="s">
        <v>252</v>
      </c>
      <c r="B223" t="s">
        <v>14</v>
      </c>
      <c r="C223">
        <v>336914</v>
      </c>
      <c r="D223" t="s">
        <v>15</v>
      </c>
      <c r="E223" t="s">
        <v>253</v>
      </c>
      <c r="F223" t="s">
        <v>17</v>
      </c>
      <c r="G223" t="s">
        <v>254</v>
      </c>
      <c r="H223" t="s">
        <v>19</v>
      </c>
      <c r="I223" t="s">
        <v>255</v>
      </c>
      <c r="J223" t="s">
        <v>21</v>
      </c>
      <c r="K223" t="s">
        <v>143</v>
      </c>
      <c r="L223">
        <v>5683</v>
      </c>
      <c r="M223" t="s">
        <v>23</v>
      </c>
    </row>
    <row r="224" spans="1:13" x14ac:dyDescent="0.35">
      <c r="A224" t="s">
        <v>256</v>
      </c>
      <c r="B224" t="s">
        <v>14</v>
      </c>
      <c r="C224">
        <v>336918</v>
      </c>
      <c r="D224" t="s">
        <v>15</v>
      </c>
      <c r="E224" t="s">
        <v>257</v>
      </c>
      <c r="F224" t="s">
        <v>17</v>
      </c>
      <c r="G224" t="s">
        <v>258</v>
      </c>
      <c r="H224" t="s">
        <v>19</v>
      </c>
      <c r="I224" t="s">
        <v>259</v>
      </c>
      <c r="J224" t="s">
        <v>21</v>
      </c>
      <c r="K224" t="s">
        <v>143</v>
      </c>
      <c r="L224">
        <v>5677</v>
      </c>
      <c r="M224" t="s">
        <v>23</v>
      </c>
    </row>
    <row r="225" spans="1:13" x14ac:dyDescent="0.35">
      <c r="A225" t="s">
        <v>327</v>
      </c>
      <c r="B225" t="s">
        <v>14</v>
      </c>
      <c r="C225">
        <v>343451</v>
      </c>
      <c r="D225" t="s">
        <v>15</v>
      </c>
      <c r="E225" t="s">
        <v>328</v>
      </c>
      <c r="F225" t="s">
        <v>17</v>
      </c>
      <c r="G225" t="s">
        <v>329</v>
      </c>
      <c r="H225" t="s">
        <v>19</v>
      </c>
      <c r="I225" t="s">
        <v>330</v>
      </c>
      <c r="J225" t="s">
        <v>21</v>
      </c>
      <c r="K225" t="s">
        <v>143</v>
      </c>
      <c r="L225">
        <v>5680</v>
      </c>
      <c r="M225" t="s">
        <v>23</v>
      </c>
    </row>
    <row r="226" spans="1:13" x14ac:dyDescent="0.35">
      <c r="A226" t="s">
        <v>453</v>
      </c>
      <c r="B226" t="s">
        <v>14</v>
      </c>
      <c r="C226">
        <v>353181</v>
      </c>
      <c r="D226" t="s">
        <v>15</v>
      </c>
      <c r="E226" t="s">
        <v>454</v>
      </c>
      <c r="F226" t="s">
        <v>17</v>
      </c>
      <c r="G226" t="s">
        <v>329</v>
      </c>
      <c r="H226" t="s">
        <v>19</v>
      </c>
      <c r="I226" t="s">
        <v>330</v>
      </c>
      <c r="J226" t="s">
        <v>21</v>
      </c>
      <c r="K226" t="s">
        <v>143</v>
      </c>
      <c r="L226">
        <v>5680</v>
      </c>
      <c r="M226" t="s">
        <v>23</v>
      </c>
    </row>
    <row r="227" spans="1:13" x14ac:dyDescent="0.35">
      <c r="A227" t="s">
        <v>696</v>
      </c>
      <c r="B227" t="s">
        <v>14</v>
      </c>
      <c r="C227">
        <v>372926</v>
      </c>
      <c r="D227" t="s">
        <v>15</v>
      </c>
      <c r="E227" t="s">
        <v>697</v>
      </c>
      <c r="F227" t="s">
        <v>17</v>
      </c>
      <c r="G227" t="s">
        <v>698</v>
      </c>
      <c r="H227" t="s">
        <v>19</v>
      </c>
      <c r="I227" t="s">
        <v>699</v>
      </c>
      <c r="J227" t="s">
        <v>21</v>
      </c>
      <c r="K227" t="s">
        <v>143</v>
      </c>
      <c r="L227">
        <v>5679</v>
      </c>
      <c r="M227" t="s">
        <v>23</v>
      </c>
    </row>
    <row r="228" spans="1:13" x14ac:dyDescent="0.35">
      <c r="A228" t="s">
        <v>700</v>
      </c>
      <c r="B228" t="s">
        <v>14</v>
      </c>
      <c r="C228">
        <v>372929</v>
      </c>
      <c r="D228" t="s">
        <v>15</v>
      </c>
      <c r="E228" t="s">
        <v>701</v>
      </c>
      <c r="F228" t="s">
        <v>17</v>
      </c>
      <c r="G228" t="s">
        <v>702</v>
      </c>
      <c r="H228" t="s">
        <v>19</v>
      </c>
      <c r="I228" t="s">
        <v>703</v>
      </c>
      <c r="J228" t="s">
        <v>21</v>
      </c>
      <c r="K228" t="s">
        <v>143</v>
      </c>
      <c r="L228">
        <v>5676</v>
      </c>
      <c r="M228" t="s">
        <v>23</v>
      </c>
    </row>
    <row r="229" spans="1:13" x14ac:dyDescent="0.35">
      <c r="A229" t="s">
        <v>716</v>
      </c>
      <c r="B229" t="s">
        <v>14</v>
      </c>
      <c r="C229">
        <v>373536</v>
      </c>
      <c r="D229" t="s">
        <v>15</v>
      </c>
      <c r="E229" t="s">
        <v>717</v>
      </c>
      <c r="F229" t="s">
        <v>17</v>
      </c>
      <c r="G229" t="s">
        <v>141</v>
      </c>
      <c r="H229" t="s">
        <v>19</v>
      </c>
      <c r="I229" t="s">
        <v>142</v>
      </c>
      <c r="J229" t="s">
        <v>21</v>
      </c>
      <c r="K229" t="s">
        <v>143</v>
      </c>
      <c r="L229">
        <v>7045</v>
      </c>
      <c r="M229" t="s">
        <v>23</v>
      </c>
    </row>
    <row r="230" spans="1:13" x14ac:dyDescent="0.35">
      <c r="A230" t="s">
        <v>816</v>
      </c>
      <c r="B230" t="s">
        <v>14</v>
      </c>
      <c r="C230">
        <v>375525</v>
      </c>
      <c r="D230" t="s">
        <v>15</v>
      </c>
      <c r="E230" t="s">
        <v>817</v>
      </c>
      <c r="F230" t="s">
        <v>17</v>
      </c>
      <c r="G230" t="s">
        <v>702</v>
      </c>
      <c r="H230" t="s">
        <v>19</v>
      </c>
      <c r="I230" t="s">
        <v>703</v>
      </c>
      <c r="J230" t="s">
        <v>21</v>
      </c>
      <c r="K230" t="s">
        <v>143</v>
      </c>
      <c r="L230">
        <v>5676</v>
      </c>
      <c r="M230" t="s">
        <v>23</v>
      </c>
    </row>
    <row r="231" spans="1:13" x14ac:dyDescent="0.35">
      <c r="A231" t="s">
        <v>1073</v>
      </c>
      <c r="B231" t="s">
        <v>14</v>
      </c>
      <c r="C231">
        <v>381906</v>
      </c>
      <c r="D231" t="s">
        <v>15</v>
      </c>
      <c r="E231" t="s">
        <v>1074</v>
      </c>
      <c r="F231" t="s">
        <v>17</v>
      </c>
      <c r="G231" t="s">
        <v>1075</v>
      </c>
      <c r="H231" t="s">
        <v>19</v>
      </c>
      <c r="I231" t="s">
        <v>1076</v>
      </c>
      <c r="J231" t="s">
        <v>21</v>
      </c>
      <c r="K231" t="s">
        <v>143</v>
      </c>
      <c r="L231">
        <v>7606</v>
      </c>
      <c r="M231" t="s">
        <v>23</v>
      </c>
    </row>
    <row r="232" spans="1:13" x14ac:dyDescent="0.35">
      <c r="A232" t="s">
        <v>1197</v>
      </c>
      <c r="B232" t="s">
        <v>14</v>
      </c>
      <c r="C232">
        <v>386442</v>
      </c>
      <c r="D232" t="s">
        <v>15</v>
      </c>
      <c r="E232" t="s">
        <v>1198</v>
      </c>
      <c r="F232" t="s">
        <v>17</v>
      </c>
      <c r="G232" t="s">
        <v>1199</v>
      </c>
      <c r="H232" t="s">
        <v>19</v>
      </c>
      <c r="I232" t="s">
        <v>1200</v>
      </c>
      <c r="J232" t="s">
        <v>21</v>
      </c>
      <c r="K232" t="s">
        <v>143</v>
      </c>
      <c r="L232">
        <v>7607</v>
      </c>
      <c r="M232" t="s">
        <v>23</v>
      </c>
    </row>
    <row r="233" spans="1:13" x14ac:dyDescent="0.35">
      <c r="A233" t="s">
        <v>1242</v>
      </c>
      <c r="B233" t="s">
        <v>14</v>
      </c>
      <c r="C233">
        <v>387969</v>
      </c>
      <c r="D233" t="s">
        <v>15</v>
      </c>
      <c r="E233" t="s">
        <v>1243</v>
      </c>
      <c r="F233" t="s">
        <v>17</v>
      </c>
      <c r="G233" t="s">
        <v>258</v>
      </c>
      <c r="H233" t="s">
        <v>19</v>
      </c>
      <c r="I233" t="s">
        <v>259</v>
      </c>
      <c r="J233" t="s">
        <v>21</v>
      </c>
      <c r="K233" t="s">
        <v>143</v>
      </c>
      <c r="L233">
        <v>5677</v>
      </c>
      <c r="M233" t="s">
        <v>23</v>
      </c>
    </row>
    <row r="234" spans="1:13" x14ac:dyDescent="0.35">
      <c r="A234" t="s">
        <v>1434</v>
      </c>
      <c r="B234" t="s">
        <v>14</v>
      </c>
      <c r="C234">
        <v>392873</v>
      </c>
      <c r="D234" t="s">
        <v>15</v>
      </c>
      <c r="E234" t="s">
        <v>1435</v>
      </c>
      <c r="F234" t="s">
        <v>17</v>
      </c>
      <c r="G234" t="s">
        <v>1436</v>
      </c>
      <c r="H234" t="s">
        <v>19</v>
      </c>
      <c r="I234" t="s">
        <v>1437</v>
      </c>
      <c r="J234" t="s">
        <v>21</v>
      </c>
      <c r="K234" t="s">
        <v>143</v>
      </c>
      <c r="L234">
        <v>7046</v>
      </c>
      <c r="M234" t="s">
        <v>23</v>
      </c>
    </row>
    <row r="235" spans="1:13" x14ac:dyDescent="0.35">
      <c r="A235" t="s">
        <v>1515</v>
      </c>
      <c r="B235" t="s">
        <v>14</v>
      </c>
      <c r="C235">
        <v>396576</v>
      </c>
      <c r="D235" t="s">
        <v>15</v>
      </c>
      <c r="E235" t="s">
        <v>1516</v>
      </c>
      <c r="F235" t="s">
        <v>17</v>
      </c>
      <c r="G235" t="s">
        <v>1436</v>
      </c>
      <c r="H235" t="s">
        <v>19</v>
      </c>
      <c r="I235" t="s">
        <v>1437</v>
      </c>
      <c r="J235" t="s">
        <v>21</v>
      </c>
      <c r="K235" t="s">
        <v>143</v>
      </c>
      <c r="L235">
        <v>7046</v>
      </c>
      <c r="M235" t="s">
        <v>23</v>
      </c>
    </row>
    <row r="236" spans="1:13" x14ac:dyDescent="0.35">
      <c r="A236" t="s">
        <v>1515</v>
      </c>
      <c r="B236" t="s">
        <v>14</v>
      </c>
      <c r="C236">
        <v>396821</v>
      </c>
      <c r="D236" t="s">
        <v>15</v>
      </c>
      <c r="E236" t="s">
        <v>1519</v>
      </c>
      <c r="F236" t="s">
        <v>17</v>
      </c>
      <c r="G236" t="s">
        <v>1520</v>
      </c>
      <c r="H236" t="s">
        <v>19</v>
      </c>
      <c r="I236" t="s">
        <v>1521</v>
      </c>
      <c r="J236" t="s">
        <v>21</v>
      </c>
      <c r="K236" t="s">
        <v>143</v>
      </c>
      <c r="L236">
        <v>5681</v>
      </c>
      <c r="M236" t="s">
        <v>23</v>
      </c>
    </row>
    <row r="237" spans="1:13" x14ac:dyDescent="0.35">
      <c r="A237" t="s">
        <v>1515</v>
      </c>
      <c r="B237" t="s">
        <v>14</v>
      </c>
      <c r="C237">
        <v>396822</v>
      </c>
      <c r="D237" t="s">
        <v>15</v>
      </c>
      <c r="E237" t="s">
        <v>1522</v>
      </c>
      <c r="F237" t="s">
        <v>17</v>
      </c>
      <c r="G237" t="s">
        <v>1523</v>
      </c>
      <c r="H237" t="s">
        <v>19</v>
      </c>
      <c r="I237" t="s">
        <v>1524</v>
      </c>
      <c r="J237" t="s">
        <v>21</v>
      </c>
      <c r="K237" t="s">
        <v>143</v>
      </c>
      <c r="L237">
        <v>5678</v>
      </c>
      <c r="M237" t="s">
        <v>23</v>
      </c>
    </row>
    <row r="238" spans="1:13" x14ac:dyDescent="0.35">
      <c r="A238" t="s">
        <v>1515</v>
      </c>
      <c r="B238" t="s">
        <v>14</v>
      </c>
      <c r="C238">
        <v>401370</v>
      </c>
      <c r="D238" t="s">
        <v>15</v>
      </c>
      <c r="E238" t="s">
        <v>1619</v>
      </c>
      <c r="F238" t="s">
        <v>17</v>
      </c>
      <c r="G238" t="s">
        <v>1534</v>
      </c>
      <c r="H238" t="s">
        <v>19</v>
      </c>
      <c r="I238" t="s">
        <v>1535</v>
      </c>
      <c r="J238" t="s">
        <v>21</v>
      </c>
      <c r="K238" t="s">
        <v>143</v>
      </c>
      <c r="L238">
        <v>8058</v>
      </c>
      <c r="M238" t="s">
        <v>23</v>
      </c>
    </row>
    <row r="239" spans="1:13" x14ac:dyDescent="0.35">
      <c r="A239" t="s">
        <v>1515</v>
      </c>
      <c r="B239" t="s">
        <v>14</v>
      </c>
      <c r="C239">
        <v>401371</v>
      </c>
      <c r="D239" t="s">
        <v>15</v>
      </c>
      <c r="E239" t="s">
        <v>1620</v>
      </c>
      <c r="F239" t="s">
        <v>17</v>
      </c>
      <c r="G239" t="s">
        <v>254</v>
      </c>
      <c r="H239" t="s">
        <v>19</v>
      </c>
      <c r="I239" t="s">
        <v>255</v>
      </c>
      <c r="J239" t="s">
        <v>21</v>
      </c>
      <c r="K239" t="s">
        <v>143</v>
      </c>
      <c r="L239">
        <v>5683</v>
      </c>
      <c r="M239" t="s">
        <v>23</v>
      </c>
    </row>
    <row r="240" spans="1:13" x14ac:dyDescent="0.35">
      <c r="A240" t="s">
        <v>1515</v>
      </c>
      <c r="B240" t="s">
        <v>14</v>
      </c>
      <c r="C240">
        <v>401373</v>
      </c>
      <c r="D240" t="s">
        <v>15</v>
      </c>
      <c r="E240" t="s">
        <v>1621</v>
      </c>
      <c r="F240" t="s">
        <v>17</v>
      </c>
      <c r="G240" t="s">
        <v>698</v>
      </c>
      <c r="H240" t="s">
        <v>19</v>
      </c>
      <c r="I240" t="s">
        <v>699</v>
      </c>
      <c r="J240" t="s">
        <v>21</v>
      </c>
      <c r="K240" t="s">
        <v>143</v>
      </c>
      <c r="L240">
        <v>5679</v>
      </c>
      <c r="M240" t="s">
        <v>23</v>
      </c>
    </row>
    <row r="241" spans="1:13" x14ac:dyDescent="0.35">
      <c r="A241" t="s">
        <v>1515</v>
      </c>
      <c r="B241" t="s">
        <v>14</v>
      </c>
      <c r="C241">
        <v>404622</v>
      </c>
      <c r="D241" t="s">
        <v>15</v>
      </c>
      <c r="E241" t="s">
        <v>1695</v>
      </c>
      <c r="F241" t="s">
        <v>17</v>
      </c>
      <c r="G241" t="s">
        <v>1520</v>
      </c>
      <c r="H241" t="s">
        <v>19</v>
      </c>
      <c r="I241" t="s">
        <v>1521</v>
      </c>
      <c r="J241" t="s">
        <v>21</v>
      </c>
      <c r="K241" t="s">
        <v>143</v>
      </c>
      <c r="L241">
        <v>5681</v>
      </c>
      <c r="M241" t="s">
        <v>23</v>
      </c>
    </row>
    <row r="242" spans="1:13" x14ac:dyDescent="0.35">
      <c r="A242" t="s">
        <v>1515</v>
      </c>
      <c r="B242" t="s">
        <v>14</v>
      </c>
      <c r="C242">
        <v>407726</v>
      </c>
      <c r="D242" t="s">
        <v>15</v>
      </c>
      <c r="E242" t="s">
        <v>1788</v>
      </c>
      <c r="F242" t="s">
        <v>17</v>
      </c>
      <c r="G242" t="s">
        <v>1720</v>
      </c>
      <c r="H242" t="s">
        <v>19</v>
      </c>
      <c r="I242" t="s">
        <v>1721</v>
      </c>
      <c r="J242" t="s">
        <v>21</v>
      </c>
      <c r="K242" t="s">
        <v>143</v>
      </c>
      <c r="L242">
        <v>8057</v>
      </c>
      <c r="M242" t="s">
        <v>23</v>
      </c>
    </row>
    <row r="243" spans="1:13" x14ac:dyDescent="0.35">
      <c r="A243" t="s">
        <v>1515</v>
      </c>
      <c r="B243" t="s">
        <v>14</v>
      </c>
      <c r="C243">
        <v>407727</v>
      </c>
      <c r="D243" t="s">
        <v>15</v>
      </c>
      <c r="E243" t="s">
        <v>1789</v>
      </c>
      <c r="F243" t="s">
        <v>17</v>
      </c>
      <c r="G243" t="s">
        <v>1634</v>
      </c>
      <c r="H243" t="s">
        <v>19</v>
      </c>
      <c r="I243" t="s">
        <v>1635</v>
      </c>
      <c r="J243" t="s">
        <v>21</v>
      </c>
      <c r="K243" t="s">
        <v>143</v>
      </c>
      <c r="L243">
        <v>8056</v>
      </c>
      <c r="M243" t="s">
        <v>23</v>
      </c>
    </row>
    <row r="244" spans="1:13" x14ac:dyDescent="0.35">
      <c r="A244" t="s">
        <v>1515</v>
      </c>
      <c r="B244" t="s">
        <v>14</v>
      </c>
      <c r="C244">
        <v>410604</v>
      </c>
      <c r="D244" t="s">
        <v>15</v>
      </c>
      <c r="E244" t="s">
        <v>1858</v>
      </c>
      <c r="F244" t="s">
        <v>17</v>
      </c>
      <c r="G244" t="s">
        <v>1523</v>
      </c>
      <c r="H244" t="s">
        <v>19</v>
      </c>
      <c r="I244" t="s">
        <v>1524</v>
      </c>
      <c r="J244" t="s">
        <v>21</v>
      </c>
      <c r="K244" t="s">
        <v>143</v>
      </c>
      <c r="L244">
        <v>5678</v>
      </c>
      <c r="M244" t="s">
        <v>23</v>
      </c>
    </row>
    <row r="245" spans="1:13" x14ac:dyDescent="0.35">
      <c r="A245" t="s">
        <v>1515</v>
      </c>
      <c r="B245" t="s">
        <v>14</v>
      </c>
      <c r="C245">
        <v>410697</v>
      </c>
      <c r="D245" t="s">
        <v>15</v>
      </c>
      <c r="E245" t="s">
        <v>1863</v>
      </c>
      <c r="F245" t="s">
        <v>17</v>
      </c>
      <c r="G245" t="s">
        <v>151</v>
      </c>
      <c r="H245" t="s">
        <v>19</v>
      </c>
      <c r="I245" t="s">
        <v>152</v>
      </c>
      <c r="J245" t="s">
        <v>21</v>
      </c>
      <c r="K245" t="s">
        <v>143</v>
      </c>
      <c r="L245">
        <v>5682</v>
      </c>
      <c r="M245" t="s">
        <v>23</v>
      </c>
    </row>
    <row r="246" spans="1:13" x14ac:dyDescent="0.35">
      <c r="A246" t="s">
        <v>1128</v>
      </c>
      <c r="B246" t="s">
        <v>317</v>
      </c>
      <c r="C246">
        <v>384565</v>
      </c>
      <c r="D246" t="s">
        <v>15</v>
      </c>
      <c r="E246" t="s">
        <v>1129</v>
      </c>
      <c r="F246" t="s">
        <v>319</v>
      </c>
      <c r="G246" t="s">
        <v>151</v>
      </c>
      <c r="H246" t="s">
        <v>19</v>
      </c>
      <c r="I246" t="s">
        <v>152</v>
      </c>
      <c r="J246" t="s">
        <v>21</v>
      </c>
      <c r="K246" t="s">
        <v>143</v>
      </c>
      <c r="L246">
        <v>5682</v>
      </c>
      <c r="M246" t="s">
        <v>673</v>
      </c>
    </row>
    <row r="247" spans="1:13" x14ac:dyDescent="0.35">
      <c r="A247" t="s">
        <v>1221</v>
      </c>
      <c r="B247" t="s">
        <v>317</v>
      </c>
      <c r="C247">
        <v>386995</v>
      </c>
      <c r="D247" t="s">
        <v>15</v>
      </c>
      <c r="E247" t="s">
        <v>1222</v>
      </c>
      <c r="F247" t="s">
        <v>319</v>
      </c>
      <c r="G247" t="s">
        <v>329</v>
      </c>
      <c r="H247" t="s">
        <v>19</v>
      </c>
      <c r="I247" t="s">
        <v>330</v>
      </c>
      <c r="J247" t="s">
        <v>21</v>
      </c>
      <c r="K247" t="s">
        <v>143</v>
      </c>
      <c r="L247">
        <v>5680</v>
      </c>
      <c r="M247" t="s">
        <v>673</v>
      </c>
    </row>
    <row r="248" spans="1:13" x14ac:dyDescent="0.35">
      <c r="A248">
        <v>0</v>
      </c>
      <c r="B248" t="s">
        <v>317</v>
      </c>
      <c r="C248">
        <v>397038</v>
      </c>
      <c r="D248" t="s">
        <v>15</v>
      </c>
      <c r="E248" t="s">
        <v>1533</v>
      </c>
      <c r="F248" t="s">
        <v>319</v>
      </c>
      <c r="G248" t="s">
        <v>1534</v>
      </c>
      <c r="H248" t="s">
        <v>19</v>
      </c>
      <c r="I248" t="s">
        <v>1535</v>
      </c>
      <c r="J248" t="s">
        <v>21</v>
      </c>
      <c r="K248" t="s">
        <v>143</v>
      </c>
      <c r="L248">
        <v>8058</v>
      </c>
      <c r="M248" t="s">
        <v>673</v>
      </c>
    </row>
    <row r="249" spans="1:13" x14ac:dyDescent="0.35">
      <c r="A249">
        <v>0</v>
      </c>
      <c r="B249" t="s">
        <v>317</v>
      </c>
      <c r="C249">
        <v>401738</v>
      </c>
      <c r="D249" t="s">
        <v>15</v>
      </c>
      <c r="E249" t="s">
        <v>1632</v>
      </c>
      <c r="F249" t="s">
        <v>319</v>
      </c>
      <c r="G249" t="s">
        <v>1523</v>
      </c>
      <c r="H249" t="s">
        <v>19</v>
      </c>
      <c r="I249" t="s">
        <v>1524</v>
      </c>
      <c r="J249" t="s">
        <v>21</v>
      </c>
      <c r="K249" t="s">
        <v>143</v>
      </c>
      <c r="L249">
        <v>5678</v>
      </c>
      <c r="M249" t="s">
        <v>673</v>
      </c>
    </row>
    <row r="250" spans="1:13" x14ac:dyDescent="0.35">
      <c r="A250">
        <v>0</v>
      </c>
      <c r="B250" t="s">
        <v>317</v>
      </c>
      <c r="C250">
        <v>401739</v>
      </c>
      <c r="D250" t="s">
        <v>15</v>
      </c>
      <c r="E250" t="s">
        <v>1633</v>
      </c>
      <c r="F250" t="s">
        <v>319</v>
      </c>
      <c r="G250" t="s">
        <v>1634</v>
      </c>
      <c r="H250" t="s">
        <v>19</v>
      </c>
      <c r="I250" t="s">
        <v>1635</v>
      </c>
      <c r="J250" t="s">
        <v>21</v>
      </c>
      <c r="K250" t="s">
        <v>143</v>
      </c>
      <c r="L250">
        <v>8056</v>
      </c>
      <c r="M250" t="s">
        <v>673</v>
      </c>
    </row>
    <row r="251" spans="1:13" x14ac:dyDescent="0.35">
      <c r="A251">
        <v>0</v>
      </c>
      <c r="B251" t="s">
        <v>317</v>
      </c>
      <c r="C251">
        <v>401805</v>
      </c>
      <c r="D251" t="s">
        <v>15</v>
      </c>
      <c r="E251" t="s">
        <v>1636</v>
      </c>
      <c r="F251" t="s">
        <v>319</v>
      </c>
      <c r="G251" t="s">
        <v>698</v>
      </c>
      <c r="H251" t="s">
        <v>19</v>
      </c>
      <c r="I251" t="s">
        <v>699</v>
      </c>
      <c r="J251" t="s">
        <v>21</v>
      </c>
      <c r="K251" t="s">
        <v>143</v>
      </c>
      <c r="L251">
        <v>5679</v>
      </c>
      <c r="M251" t="s">
        <v>673</v>
      </c>
    </row>
    <row r="252" spans="1:13" x14ac:dyDescent="0.35">
      <c r="A252">
        <v>0</v>
      </c>
      <c r="B252" t="s">
        <v>317</v>
      </c>
      <c r="C252">
        <v>404878</v>
      </c>
      <c r="D252" t="s">
        <v>15</v>
      </c>
      <c r="E252" t="s">
        <v>1719</v>
      </c>
      <c r="F252" t="s">
        <v>319</v>
      </c>
      <c r="G252" t="s">
        <v>1720</v>
      </c>
      <c r="H252" t="s">
        <v>19</v>
      </c>
      <c r="I252" t="s">
        <v>1721</v>
      </c>
      <c r="J252" t="s">
        <v>21</v>
      </c>
      <c r="K252" t="s">
        <v>143</v>
      </c>
      <c r="L252">
        <v>8057</v>
      </c>
      <c r="M252" t="s">
        <v>673</v>
      </c>
    </row>
    <row r="253" spans="1:13" x14ac:dyDescent="0.35">
      <c r="A253">
        <v>0</v>
      </c>
      <c r="B253" t="s">
        <v>317</v>
      </c>
      <c r="C253">
        <v>404879</v>
      </c>
      <c r="D253" t="s">
        <v>15</v>
      </c>
      <c r="E253" t="s">
        <v>1722</v>
      </c>
      <c r="F253" t="s">
        <v>319</v>
      </c>
      <c r="G253" t="s">
        <v>258</v>
      </c>
      <c r="H253" t="s">
        <v>19</v>
      </c>
      <c r="I253" t="s">
        <v>259</v>
      </c>
      <c r="J253" t="s">
        <v>21</v>
      </c>
      <c r="K253" t="s">
        <v>143</v>
      </c>
      <c r="L253">
        <v>5677</v>
      </c>
      <c r="M253" t="s">
        <v>673</v>
      </c>
    </row>
    <row r="254" spans="1:13" x14ac:dyDescent="0.35">
      <c r="A254" t="s">
        <v>1515</v>
      </c>
      <c r="B254" t="s">
        <v>317</v>
      </c>
      <c r="C254">
        <v>407728</v>
      </c>
      <c r="D254" t="s">
        <v>15</v>
      </c>
      <c r="E254" t="s">
        <v>1790</v>
      </c>
      <c r="F254" t="s">
        <v>319</v>
      </c>
      <c r="G254" t="s">
        <v>702</v>
      </c>
      <c r="H254" t="s">
        <v>19</v>
      </c>
      <c r="I254" t="s">
        <v>703</v>
      </c>
      <c r="J254" t="s">
        <v>21</v>
      </c>
      <c r="K254" t="s">
        <v>143</v>
      </c>
      <c r="L254">
        <v>5676</v>
      </c>
      <c r="M254" t="s">
        <v>23</v>
      </c>
    </row>
    <row r="255" spans="1:13" x14ac:dyDescent="0.35">
      <c r="A255">
        <v>0</v>
      </c>
      <c r="B255" t="s">
        <v>317</v>
      </c>
      <c r="C255">
        <v>407981</v>
      </c>
      <c r="D255" t="s">
        <v>15</v>
      </c>
      <c r="E255" t="s">
        <v>1792</v>
      </c>
      <c r="F255" t="s">
        <v>319</v>
      </c>
      <c r="G255" t="s">
        <v>1199</v>
      </c>
      <c r="H255" t="s">
        <v>19</v>
      </c>
      <c r="I255" t="s">
        <v>1200</v>
      </c>
      <c r="J255" t="s">
        <v>21</v>
      </c>
      <c r="K255" t="s">
        <v>143</v>
      </c>
      <c r="L255">
        <v>7607</v>
      </c>
      <c r="M255" t="s">
        <v>673</v>
      </c>
    </row>
    <row r="256" spans="1:13" x14ac:dyDescent="0.35">
      <c r="A256">
        <v>0</v>
      </c>
      <c r="B256" t="s">
        <v>317</v>
      </c>
      <c r="C256">
        <v>409566</v>
      </c>
      <c r="D256" t="s">
        <v>15</v>
      </c>
      <c r="E256" t="s">
        <v>1844</v>
      </c>
      <c r="F256" t="s">
        <v>319</v>
      </c>
      <c r="G256" t="s">
        <v>141</v>
      </c>
      <c r="H256" t="s">
        <v>19</v>
      </c>
      <c r="I256" t="s">
        <v>142</v>
      </c>
      <c r="J256" t="s">
        <v>21</v>
      </c>
      <c r="K256" t="s">
        <v>143</v>
      </c>
      <c r="L256">
        <v>7045</v>
      </c>
      <c r="M256" t="s">
        <v>673</v>
      </c>
    </row>
    <row r="257" spans="1:13" x14ac:dyDescent="0.35">
      <c r="A257">
        <v>0</v>
      </c>
      <c r="B257" t="s">
        <v>317</v>
      </c>
      <c r="C257">
        <v>409567</v>
      </c>
      <c r="D257" t="s">
        <v>15</v>
      </c>
      <c r="E257" t="s">
        <v>1845</v>
      </c>
      <c r="F257" t="s">
        <v>319</v>
      </c>
      <c r="G257" t="s">
        <v>1520</v>
      </c>
      <c r="H257" t="s">
        <v>19</v>
      </c>
      <c r="I257" t="s">
        <v>1521</v>
      </c>
      <c r="J257" t="s">
        <v>21</v>
      </c>
      <c r="K257" t="s">
        <v>143</v>
      </c>
      <c r="L257">
        <v>5681</v>
      </c>
      <c r="M257" t="s">
        <v>673</v>
      </c>
    </row>
    <row r="258" spans="1:13" x14ac:dyDescent="0.35">
      <c r="A258" t="s">
        <v>1515</v>
      </c>
      <c r="B258" t="s">
        <v>317</v>
      </c>
      <c r="C258">
        <v>410605</v>
      </c>
      <c r="D258" t="s">
        <v>15</v>
      </c>
      <c r="E258" t="s">
        <v>1859</v>
      </c>
      <c r="F258" t="s">
        <v>319</v>
      </c>
      <c r="G258" t="s">
        <v>1075</v>
      </c>
      <c r="H258" t="s">
        <v>19</v>
      </c>
      <c r="I258" t="s">
        <v>1076</v>
      </c>
      <c r="J258" t="s">
        <v>21</v>
      </c>
      <c r="K258" t="s">
        <v>143</v>
      </c>
      <c r="L258">
        <v>7606</v>
      </c>
      <c r="M258" t="s">
        <v>23</v>
      </c>
    </row>
    <row r="259" spans="1:13" x14ac:dyDescent="0.35">
      <c r="A259">
        <v>0</v>
      </c>
      <c r="B259" t="s">
        <v>317</v>
      </c>
      <c r="C259">
        <v>411660</v>
      </c>
      <c r="D259" t="s">
        <v>15</v>
      </c>
      <c r="E259" t="s">
        <v>1870</v>
      </c>
      <c r="F259" t="s">
        <v>319</v>
      </c>
      <c r="G259" t="s">
        <v>254</v>
      </c>
      <c r="H259" t="s">
        <v>19</v>
      </c>
      <c r="I259" t="s">
        <v>255</v>
      </c>
      <c r="J259" t="s">
        <v>21</v>
      </c>
      <c r="K259" t="s">
        <v>143</v>
      </c>
      <c r="L259">
        <v>5683</v>
      </c>
      <c r="M259" t="s">
        <v>673</v>
      </c>
    </row>
    <row r="260" spans="1:13" x14ac:dyDescent="0.35">
      <c r="A260" t="s">
        <v>323</v>
      </c>
      <c r="B260" t="s">
        <v>14</v>
      </c>
      <c r="C260">
        <v>343354</v>
      </c>
      <c r="D260" t="s">
        <v>15</v>
      </c>
      <c r="E260" t="s">
        <v>324</v>
      </c>
      <c r="F260" t="s">
        <v>17</v>
      </c>
      <c r="G260" t="s">
        <v>325</v>
      </c>
      <c r="H260" t="s">
        <v>19</v>
      </c>
      <c r="I260" t="s">
        <v>326</v>
      </c>
      <c r="J260" t="s">
        <v>21</v>
      </c>
      <c r="K260" t="s">
        <v>322</v>
      </c>
      <c r="L260">
        <v>5716</v>
      </c>
      <c r="M260" t="s">
        <v>23</v>
      </c>
    </row>
    <row r="261" spans="1:13" x14ac:dyDescent="0.35">
      <c r="A261" t="s">
        <v>449</v>
      </c>
      <c r="B261" t="s">
        <v>14</v>
      </c>
      <c r="C261">
        <v>352692</v>
      </c>
      <c r="D261" t="s">
        <v>15</v>
      </c>
      <c r="E261" t="s">
        <v>450</v>
      </c>
      <c r="F261" t="s">
        <v>17</v>
      </c>
      <c r="G261" t="s">
        <v>451</v>
      </c>
      <c r="H261" t="s">
        <v>19</v>
      </c>
      <c r="I261" t="s">
        <v>452</v>
      </c>
      <c r="J261" t="s">
        <v>21</v>
      </c>
      <c r="K261" t="s">
        <v>322</v>
      </c>
      <c r="L261">
        <v>7048</v>
      </c>
      <c r="M261" t="s">
        <v>23</v>
      </c>
    </row>
    <row r="262" spans="1:13" x14ac:dyDescent="0.35">
      <c r="A262" t="s">
        <v>476</v>
      </c>
      <c r="B262" t="s">
        <v>14</v>
      </c>
      <c r="C262">
        <v>355527</v>
      </c>
      <c r="D262" t="s">
        <v>15</v>
      </c>
      <c r="E262" t="s">
        <v>477</v>
      </c>
      <c r="F262" t="s">
        <v>17</v>
      </c>
      <c r="G262" t="s">
        <v>478</v>
      </c>
      <c r="H262" t="s">
        <v>19</v>
      </c>
      <c r="I262" t="s">
        <v>479</v>
      </c>
      <c r="J262" t="s">
        <v>21</v>
      </c>
      <c r="K262" t="s">
        <v>322</v>
      </c>
      <c r="L262">
        <v>5715</v>
      </c>
      <c r="M262" t="s">
        <v>23</v>
      </c>
    </row>
    <row r="263" spans="1:13" x14ac:dyDescent="0.35">
      <c r="A263" t="s">
        <v>685</v>
      </c>
      <c r="B263" t="s">
        <v>14</v>
      </c>
      <c r="C263">
        <v>371976</v>
      </c>
      <c r="D263" t="s">
        <v>15</v>
      </c>
      <c r="E263" t="s">
        <v>686</v>
      </c>
      <c r="F263" t="s">
        <v>17</v>
      </c>
      <c r="G263" t="s">
        <v>687</v>
      </c>
      <c r="H263" t="s">
        <v>19</v>
      </c>
      <c r="I263" t="s">
        <v>688</v>
      </c>
      <c r="J263" t="s">
        <v>21</v>
      </c>
      <c r="K263" t="s">
        <v>322</v>
      </c>
      <c r="L263">
        <v>5720</v>
      </c>
      <c r="M263" t="s">
        <v>23</v>
      </c>
    </row>
    <row r="264" spans="1:13" x14ac:dyDescent="0.35">
      <c r="A264" t="s">
        <v>796</v>
      </c>
      <c r="B264" t="s">
        <v>14</v>
      </c>
      <c r="C264">
        <v>374997</v>
      </c>
      <c r="D264" t="s">
        <v>15</v>
      </c>
      <c r="E264" t="s">
        <v>797</v>
      </c>
      <c r="F264" t="s">
        <v>17</v>
      </c>
      <c r="G264" t="s">
        <v>325</v>
      </c>
      <c r="H264" t="s">
        <v>19</v>
      </c>
      <c r="I264" t="s">
        <v>326</v>
      </c>
      <c r="J264" t="s">
        <v>21</v>
      </c>
      <c r="K264" t="s">
        <v>322</v>
      </c>
      <c r="L264">
        <v>5716</v>
      </c>
      <c r="M264" t="s">
        <v>23</v>
      </c>
    </row>
    <row r="265" spans="1:13" x14ac:dyDescent="0.35">
      <c r="A265" t="s">
        <v>989</v>
      </c>
      <c r="B265" t="s">
        <v>14</v>
      </c>
      <c r="C265">
        <v>380075</v>
      </c>
      <c r="D265" t="s">
        <v>15</v>
      </c>
      <c r="E265" t="s">
        <v>990</v>
      </c>
      <c r="F265" t="s">
        <v>17</v>
      </c>
      <c r="G265" t="s">
        <v>991</v>
      </c>
      <c r="H265" t="s">
        <v>19</v>
      </c>
      <c r="I265" t="s">
        <v>992</v>
      </c>
      <c r="J265" t="s">
        <v>21</v>
      </c>
      <c r="K265" t="s">
        <v>322</v>
      </c>
      <c r="L265">
        <v>3553</v>
      </c>
      <c r="M265" t="s">
        <v>23</v>
      </c>
    </row>
    <row r="266" spans="1:13" x14ac:dyDescent="0.35">
      <c r="A266" t="s">
        <v>993</v>
      </c>
      <c r="B266" t="s">
        <v>14</v>
      </c>
      <c r="C266">
        <v>380076</v>
      </c>
      <c r="D266" t="s">
        <v>15</v>
      </c>
      <c r="E266" t="s">
        <v>994</v>
      </c>
      <c r="F266" t="s">
        <v>17</v>
      </c>
      <c r="G266" t="s">
        <v>995</v>
      </c>
      <c r="H266" t="s">
        <v>19</v>
      </c>
      <c r="I266" t="s">
        <v>996</v>
      </c>
      <c r="J266" t="s">
        <v>21</v>
      </c>
      <c r="K266" t="s">
        <v>322</v>
      </c>
      <c r="L266">
        <v>5719</v>
      </c>
      <c r="M266" t="s">
        <v>23</v>
      </c>
    </row>
    <row r="267" spans="1:13" x14ac:dyDescent="0.35">
      <c r="A267" t="s">
        <v>997</v>
      </c>
      <c r="B267" t="s">
        <v>14</v>
      </c>
      <c r="C267">
        <v>380077</v>
      </c>
      <c r="D267" t="s">
        <v>15</v>
      </c>
      <c r="E267" t="s">
        <v>998</v>
      </c>
      <c r="F267" t="s">
        <v>17</v>
      </c>
      <c r="G267" t="s">
        <v>478</v>
      </c>
      <c r="H267" t="s">
        <v>19</v>
      </c>
      <c r="I267" t="s">
        <v>479</v>
      </c>
      <c r="J267" t="s">
        <v>21</v>
      </c>
      <c r="K267" t="s">
        <v>322</v>
      </c>
      <c r="L267">
        <v>5715</v>
      </c>
      <c r="M267" t="s">
        <v>23</v>
      </c>
    </row>
    <row r="268" spans="1:13" x14ac:dyDescent="0.35">
      <c r="A268" t="s">
        <v>1343</v>
      </c>
      <c r="B268" t="s">
        <v>14</v>
      </c>
      <c r="C268">
        <v>391124</v>
      </c>
      <c r="D268" t="s">
        <v>15</v>
      </c>
      <c r="E268" t="s">
        <v>1344</v>
      </c>
      <c r="F268" t="s">
        <v>17</v>
      </c>
      <c r="G268" t="s">
        <v>1345</v>
      </c>
      <c r="H268" t="s">
        <v>19</v>
      </c>
      <c r="I268" t="s">
        <v>1346</v>
      </c>
      <c r="J268" t="s">
        <v>21</v>
      </c>
      <c r="K268" t="s">
        <v>322</v>
      </c>
      <c r="L268">
        <v>5717</v>
      </c>
      <c r="M268" t="s">
        <v>23</v>
      </c>
    </row>
    <row r="269" spans="1:13" x14ac:dyDescent="0.35">
      <c r="A269" t="s">
        <v>1347</v>
      </c>
      <c r="B269" t="s">
        <v>14</v>
      </c>
      <c r="C269">
        <v>391127</v>
      </c>
      <c r="D269" t="s">
        <v>15</v>
      </c>
      <c r="E269" t="s">
        <v>1348</v>
      </c>
      <c r="F269" t="s">
        <v>17</v>
      </c>
      <c r="G269" t="s">
        <v>1349</v>
      </c>
      <c r="H269" t="s">
        <v>19</v>
      </c>
      <c r="I269" t="s">
        <v>1350</v>
      </c>
      <c r="J269" t="s">
        <v>21</v>
      </c>
      <c r="K269" t="s">
        <v>322</v>
      </c>
      <c r="L269">
        <v>7049</v>
      </c>
      <c r="M269" t="s">
        <v>23</v>
      </c>
    </row>
    <row r="270" spans="1:13" x14ac:dyDescent="0.35">
      <c r="A270" t="s">
        <v>1515</v>
      </c>
      <c r="B270" t="s">
        <v>14</v>
      </c>
      <c r="C270">
        <v>400432</v>
      </c>
      <c r="D270" t="s">
        <v>15</v>
      </c>
      <c r="E270" t="s">
        <v>1576</v>
      </c>
      <c r="F270" t="s">
        <v>17</v>
      </c>
      <c r="G270" t="s">
        <v>1577</v>
      </c>
      <c r="H270" t="s">
        <v>19</v>
      </c>
      <c r="I270" t="s">
        <v>1578</v>
      </c>
      <c r="J270" t="s">
        <v>21</v>
      </c>
      <c r="K270" t="s">
        <v>322</v>
      </c>
      <c r="L270">
        <v>7106</v>
      </c>
      <c r="M270" t="s">
        <v>23</v>
      </c>
    </row>
    <row r="271" spans="1:13" x14ac:dyDescent="0.35">
      <c r="A271" t="s">
        <v>1515</v>
      </c>
      <c r="B271" t="s">
        <v>14</v>
      </c>
      <c r="C271">
        <v>405847</v>
      </c>
      <c r="D271" t="s">
        <v>15</v>
      </c>
      <c r="E271" t="s">
        <v>1743</v>
      </c>
      <c r="F271" t="s">
        <v>17</v>
      </c>
      <c r="G271" t="s">
        <v>1744</v>
      </c>
      <c r="H271" t="s">
        <v>19</v>
      </c>
      <c r="I271" t="s">
        <v>1745</v>
      </c>
      <c r="J271" t="s">
        <v>21</v>
      </c>
      <c r="K271" t="s">
        <v>322</v>
      </c>
      <c r="L271">
        <v>7915</v>
      </c>
      <c r="M271" t="s">
        <v>23</v>
      </c>
    </row>
    <row r="272" spans="1:13" x14ac:dyDescent="0.35">
      <c r="A272" t="s">
        <v>1515</v>
      </c>
      <c r="B272" t="s">
        <v>14</v>
      </c>
      <c r="C272">
        <v>405854</v>
      </c>
      <c r="D272" t="s">
        <v>15</v>
      </c>
      <c r="E272" t="s">
        <v>1746</v>
      </c>
      <c r="F272" t="s">
        <v>17</v>
      </c>
      <c r="G272" t="s">
        <v>1744</v>
      </c>
      <c r="H272" t="s">
        <v>19</v>
      </c>
      <c r="I272" t="s">
        <v>1745</v>
      </c>
      <c r="J272" t="s">
        <v>21</v>
      </c>
      <c r="K272" t="s">
        <v>322</v>
      </c>
      <c r="L272">
        <v>7915</v>
      </c>
      <c r="M272" t="s">
        <v>23</v>
      </c>
    </row>
    <row r="273" spans="1:13" x14ac:dyDescent="0.35">
      <c r="A273" t="s">
        <v>1515</v>
      </c>
      <c r="B273" t="s">
        <v>14</v>
      </c>
      <c r="C273">
        <v>405855</v>
      </c>
      <c r="D273" t="s">
        <v>15</v>
      </c>
      <c r="E273" t="s">
        <v>1747</v>
      </c>
      <c r="F273" t="s">
        <v>17</v>
      </c>
      <c r="G273" t="s">
        <v>687</v>
      </c>
      <c r="H273" t="s">
        <v>19</v>
      </c>
      <c r="I273" t="s">
        <v>688</v>
      </c>
      <c r="J273" t="s">
        <v>21</v>
      </c>
      <c r="K273" t="s">
        <v>322</v>
      </c>
      <c r="L273">
        <v>5720</v>
      </c>
      <c r="M273" t="s">
        <v>23</v>
      </c>
    </row>
    <row r="274" spans="1:13" x14ac:dyDescent="0.35">
      <c r="A274" t="s">
        <v>1515</v>
      </c>
      <c r="B274" t="s">
        <v>14</v>
      </c>
      <c r="C274">
        <v>406874</v>
      </c>
      <c r="D274" t="s">
        <v>15</v>
      </c>
      <c r="E274" t="s">
        <v>1765</v>
      </c>
      <c r="F274" t="s">
        <v>17</v>
      </c>
      <c r="G274" t="s">
        <v>320</v>
      </c>
      <c r="H274" t="s">
        <v>19</v>
      </c>
      <c r="I274" t="s">
        <v>321</v>
      </c>
      <c r="J274" t="s">
        <v>21</v>
      </c>
      <c r="K274" t="s">
        <v>322</v>
      </c>
      <c r="L274">
        <v>5713</v>
      </c>
      <c r="M274" t="s">
        <v>23</v>
      </c>
    </row>
    <row r="275" spans="1:13" x14ac:dyDescent="0.35">
      <c r="A275" t="s">
        <v>1515</v>
      </c>
      <c r="B275" t="s">
        <v>14</v>
      </c>
      <c r="C275">
        <v>408657</v>
      </c>
      <c r="D275" t="s">
        <v>15</v>
      </c>
      <c r="E275" t="s">
        <v>1813</v>
      </c>
      <c r="F275" t="s">
        <v>17</v>
      </c>
      <c r="G275" t="s">
        <v>1345</v>
      </c>
      <c r="H275" t="s">
        <v>19</v>
      </c>
      <c r="I275" t="s">
        <v>1346</v>
      </c>
      <c r="J275" t="s">
        <v>21</v>
      </c>
      <c r="K275" t="s">
        <v>322</v>
      </c>
      <c r="L275">
        <v>5717</v>
      </c>
      <c r="M275" t="s">
        <v>23</v>
      </c>
    </row>
    <row r="276" spans="1:13" x14ac:dyDescent="0.35">
      <c r="A276" t="s">
        <v>1515</v>
      </c>
      <c r="B276" t="s">
        <v>14</v>
      </c>
      <c r="C276">
        <v>408660</v>
      </c>
      <c r="D276" t="s">
        <v>15</v>
      </c>
      <c r="E276" t="s">
        <v>1814</v>
      </c>
      <c r="F276" t="s">
        <v>17</v>
      </c>
      <c r="G276" t="s">
        <v>991</v>
      </c>
      <c r="H276" t="s">
        <v>19</v>
      </c>
      <c r="I276" t="s">
        <v>992</v>
      </c>
      <c r="J276" t="s">
        <v>21</v>
      </c>
      <c r="K276" t="s">
        <v>322</v>
      </c>
      <c r="L276">
        <v>3553</v>
      </c>
      <c r="M276" t="s">
        <v>23</v>
      </c>
    </row>
    <row r="277" spans="1:13" x14ac:dyDescent="0.35">
      <c r="A277" t="s">
        <v>316</v>
      </c>
      <c r="B277" t="s">
        <v>317</v>
      </c>
      <c r="C277">
        <v>343353</v>
      </c>
      <c r="D277" t="s">
        <v>15</v>
      </c>
      <c r="E277" t="s">
        <v>318</v>
      </c>
      <c r="F277" t="s">
        <v>319</v>
      </c>
      <c r="G277" t="s">
        <v>320</v>
      </c>
      <c r="H277" t="s">
        <v>19</v>
      </c>
      <c r="I277" t="s">
        <v>321</v>
      </c>
      <c r="J277" t="s">
        <v>21</v>
      </c>
      <c r="K277" t="s">
        <v>322</v>
      </c>
      <c r="L277">
        <v>5713</v>
      </c>
      <c r="M277" t="s">
        <v>23</v>
      </c>
    </row>
    <row r="278" spans="1:13" x14ac:dyDescent="0.35">
      <c r="A278" t="s">
        <v>1002</v>
      </c>
      <c r="B278" t="s">
        <v>317</v>
      </c>
      <c r="C278">
        <v>380143</v>
      </c>
      <c r="D278" t="s">
        <v>15</v>
      </c>
      <c r="E278" t="s">
        <v>1003</v>
      </c>
      <c r="F278" t="s">
        <v>319</v>
      </c>
      <c r="G278" t="s">
        <v>995</v>
      </c>
      <c r="H278" t="s">
        <v>19</v>
      </c>
      <c r="I278" t="s">
        <v>996</v>
      </c>
      <c r="J278" t="s">
        <v>21</v>
      </c>
      <c r="K278" t="s">
        <v>322</v>
      </c>
      <c r="L278">
        <v>5719</v>
      </c>
      <c r="M278" t="s">
        <v>673</v>
      </c>
    </row>
    <row r="279" spans="1:13" x14ac:dyDescent="0.35">
      <c r="A279" t="s">
        <v>1353</v>
      </c>
      <c r="B279" t="s">
        <v>317</v>
      </c>
      <c r="C279">
        <v>391157</v>
      </c>
      <c r="D279" t="s">
        <v>15</v>
      </c>
      <c r="E279" t="s">
        <v>1354</v>
      </c>
      <c r="F279" t="s">
        <v>319</v>
      </c>
      <c r="G279" t="s">
        <v>451</v>
      </c>
      <c r="H279" t="s">
        <v>19</v>
      </c>
      <c r="I279" t="s">
        <v>452</v>
      </c>
      <c r="J279" t="s">
        <v>21</v>
      </c>
      <c r="K279" t="s">
        <v>322</v>
      </c>
      <c r="L279">
        <v>7048</v>
      </c>
      <c r="M279" t="s">
        <v>673</v>
      </c>
    </row>
    <row r="280" spans="1:13" x14ac:dyDescent="0.35">
      <c r="A280" t="s">
        <v>1356</v>
      </c>
      <c r="B280" t="s">
        <v>317</v>
      </c>
      <c r="C280">
        <v>391164</v>
      </c>
      <c r="D280" t="s">
        <v>15</v>
      </c>
      <c r="E280" t="s">
        <v>1357</v>
      </c>
      <c r="F280" t="s">
        <v>319</v>
      </c>
      <c r="G280" t="s">
        <v>1349</v>
      </c>
      <c r="H280" t="s">
        <v>19</v>
      </c>
      <c r="I280" t="s">
        <v>1350</v>
      </c>
      <c r="J280" t="s">
        <v>21</v>
      </c>
      <c r="K280" t="s">
        <v>322</v>
      </c>
      <c r="L280">
        <v>7049</v>
      </c>
      <c r="M280" t="s">
        <v>673</v>
      </c>
    </row>
    <row r="281" spans="1:13" x14ac:dyDescent="0.35">
      <c r="A281">
        <v>0</v>
      </c>
      <c r="B281" t="s">
        <v>317</v>
      </c>
      <c r="C281">
        <v>400499</v>
      </c>
      <c r="D281" t="s">
        <v>15</v>
      </c>
      <c r="E281" t="s">
        <v>1593</v>
      </c>
      <c r="F281" t="s">
        <v>319</v>
      </c>
      <c r="G281" t="s">
        <v>1577</v>
      </c>
      <c r="H281" t="s">
        <v>19</v>
      </c>
      <c r="I281" t="s">
        <v>1578</v>
      </c>
      <c r="J281" t="s">
        <v>21</v>
      </c>
      <c r="K281" t="s">
        <v>322</v>
      </c>
      <c r="L281">
        <v>7106</v>
      </c>
      <c r="M281" t="s">
        <v>673</v>
      </c>
    </row>
    <row r="282" spans="1:13" x14ac:dyDescent="0.35">
      <c r="A282">
        <v>0</v>
      </c>
      <c r="B282" t="s">
        <v>317</v>
      </c>
      <c r="C282">
        <v>400500</v>
      </c>
      <c r="D282" t="s">
        <v>15</v>
      </c>
      <c r="E282" t="s">
        <v>1594</v>
      </c>
      <c r="F282" t="s">
        <v>319</v>
      </c>
      <c r="G282" t="s">
        <v>1345</v>
      </c>
      <c r="H282" t="s">
        <v>19</v>
      </c>
      <c r="I282" t="s">
        <v>1346</v>
      </c>
      <c r="J282" t="s">
        <v>21</v>
      </c>
      <c r="K282" t="s">
        <v>322</v>
      </c>
      <c r="L282">
        <v>5717</v>
      </c>
      <c r="M282" t="s">
        <v>673</v>
      </c>
    </row>
    <row r="283" spans="1:13" x14ac:dyDescent="0.35">
      <c r="A283">
        <v>0</v>
      </c>
      <c r="B283" t="s">
        <v>317</v>
      </c>
      <c r="C283">
        <v>400505</v>
      </c>
      <c r="D283" t="s">
        <v>15</v>
      </c>
      <c r="E283" t="s">
        <v>1595</v>
      </c>
      <c r="F283" t="s">
        <v>319</v>
      </c>
      <c r="G283" t="s">
        <v>991</v>
      </c>
      <c r="H283" t="s">
        <v>19</v>
      </c>
      <c r="I283" t="s">
        <v>992</v>
      </c>
      <c r="J283" t="s">
        <v>21</v>
      </c>
      <c r="K283" t="s">
        <v>322</v>
      </c>
      <c r="L283">
        <v>3553</v>
      </c>
      <c r="M283" t="s">
        <v>673</v>
      </c>
    </row>
    <row r="284" spans="1:13" x14ac:dyDescent="0.35">
      <c r="A284">
        <v>0</v>
      </c>
      <c r="B284" t="s">
        <v>317</v>
      </c>
      <c r="C284">
        <v>405955</v>
      </c>
      <c r="D284" t="s">
        <v>15</v>
      </c>
      <c r="E284" t="s">
        <v>1750</v>
      </c>
      <c r="F284" t="s">
        <v>319</v>
      </c>
      <c r="G284" t="s">
        <v>478</v>
      </c>
      <c r="H284" t="s">
        <v>19</v>
      </c>
      <c r="I284" t="s">
        <v>479</v>
      </c>
      <c r="J284" t="s">
        <v>21</v>
      </c>
      <c r="K284" t="s">
        <v>322</v>
      </c>
      <c r="L284">
        <v>5715</v>
      </c>
      <c r="M284" t="s">
        <v>673</v>
      </c>
    </row>
    <row r="285" spans="1:13" x14ac:dyDescent="0.35">
      <c r="A285">
        <v>0</v>
      </c>
      <c r="B285" t="s">
        <v>317</v>
      </c>
      <c r="C285">
        <v>405958</v>
      </c>
      <c r="D285" t="s">
        <v>15</v>
      </c>
      <c r="E285" t="s">
        <v>1753</v>
      </c>
      <c r="F285" t="s">
        <v>319</v>
      </c>
      <c r="G285" t="s">
        <v>1744</v>
      </c>
      <c r="H285" t="s">
        <v>19</v>
      </c>
      <c r="I285" t="s">
        <v>1745</v>
      </c>
      <c r="J285" t="s">
        <v>21</v>
      </c>
      <c r="K285" t="s">
        <v>322</v>
      </c>
      <c r="L285">
        <v>7915</v>
      </c>
      <c r="M285" t="s">
        <v>673</v>
      </c>
    </row>
    <row r="286" spans="1:13" x14ac:dyDescent="0.35">
      <c r="A286">
        <v>0</v>
      </c>
      <c r="B286" t="s">
        <v>317</v>
      </c>
      <c r="C286">
        <v>405959</v>
      </c>
      <c r="D286" t="s">
        <v>15</v>
      </c>
      <c r="E286" t="s">
        <v>1754</v>
      </c>
      <c r="F286" t="s">
        <v>319</v>
      </c>
      <c r="G286" t="s">
        <v>325</v>
      </c>
      <c r="H286" t="s">
        <v>19</v>
      </c>
      <c r="I286" t="s">
        <v>326</v>
      </c>
      <c r="J286" t="s">
        <v>21</v>
      </c>
      <c r="K286" t="s">
        <v>322</v>
      </c>
      <c r="L286">
        <v>5716</v>
      </c>
      <c r="M286" t="s">
        <v>673</v>
      </c>
    </row>
    <row r="287" spans="1:13" x14ac:dyDescent="0.35">
      <c r="A287">
        <v>0</v>
      </c>
      <c r="B287" t="s">
        <v>317</v>
      </c>
      <c r="C287">
        <v>412974</v>
      </c>
      <c r="D287" t="s">
        <v>15</v>
      </c>
      <c r="E287" t="s">
        <v>1891</v>
      </c>
      <c r="F287" t="s">
        <v>319</v>
      </c>
      <c r="G287" t="s">
        <v>687</v>
      </c>
      <c r="H287" t="s">
        <v>19</v>
      </c>
      <c r="I287" t="s">
        <v>688</v>
      </c>
      <c r="J287" t="s">
        <v>21</v>
      </c>
      <c r="K287" t="s">
        <v>322</v>
      </c>
      <c r="L287">
        <v>5720</v>
      </c>
      <c r="M287" t="s">
        <v>673</v>
      </c>
    </row>
    <row r="288" spans="1:13" x14ac:dyDescent="0.35">
      <c r="A288" t="s">
        <v>346</v>
      </c>
      <c r="B288" t="s">
        <v>14</v>
      </c>
      <c r="C288">
        <v>344833</v>
      </c>
      <c r="D288" t="s">
        <v>15</v>
      </c>
      <c r="E288" t="s">
        <v>347</v>
      </c>
      <c r="F288" t="s">
        <v>17</v>
      </c>
      <c r="G288" t="s">
        <v>348</v>
      </c>
      <c r="H288" t="s">
        <v>19</v>
      </c>
      <c r="I288" t="s">
        <v>349</v>
      </c>
      <c r="J288" t="s">
        <v>21</v>
      </c>
      <c r="K288" t="s">
        <v>169</v>
      </c>
      <c r="L288">
        <v>7177</v>
      </c>
      <c r="M288" t="s">
        <v>23</v>
      </c>
    </row>
    <row r="289" spans="1:13" x14ac:dyDescent="0.35">
      <c r="A289" t="s">
        <v>361</v>
      </c>
      <c r="B289" t="s">
        <v>14</v>
      </c>
      <c r="C289">
        <v>345703</v>
      </c>
      <c r="D289" t="s">
        <v>15</v>
      </c>
      <c r="E289" t="s">
        <v>362</v>
      </c>
      <c r="F289" t="s">
        <v>17</v>
      </c>
      <c r="G289" t="s">
        <v>363</v>
      </c>
      <c r="H289" t="s">
        <v>19</v>
      </c>
      <c r="I289" t="s">
        <v>364</v>
      </c>
      <c r="J289" t="s">
        <v>21</v>
      </c>
      <c r="K289" t="s">
        <v>169</v>
      </c>
      <c r="L289">
        <v>8152</v>
      </c>
      <c r="M289" t="s">
        <v>23</v>
      </c>
    </row>
    <row r="290" spans="1:13" x14ac:dyDescent="0.35">
      <c r="A290" t="s">
        <v>489</v>
      </c>
      <c r="B290" t="s">
        <v>14</v>
      </c>
      <c r="C290">
        <v>356734</v>
      </c>
      <c r="D290" t="s">
        <v>15</v>
      </c>
      <c r="E290" t="s">
        <v>490</v>
      </c>
      <c r="F290" t="s">
        <v>17</v>
      </c>
      <c r="G290" t="s">
        <v>491</v>
      </c>
      <c r="H290" t="s">
        <v>19</v>
      </c>
      <c r="I290" t="s">
        <v>492</v>
      </c>
      <c r="J290" t="s">
        <v>21</v>
      </c>
      <c r="K290" t="s">
        <v>169</v>
      </c>
      <c r="L290">
        <v>5723</v>
      </c>
      <c r="M290" t="s">
        <v>23</v>
      </c>
    </row>
    <row r="291" spans="1:13" x14ac:dyDescent="0.35">
      <c r="A291" t="s">
        <v>499</v>
      </c>
      <c r="B291" t="s">
        <v>14</v>
      </c>
      <c r="C291">
        <v>357573</v>
      </c>
      <c r="D291" t="s">
        <v>15</v>
      </c>
      <c r="E291" t="s">
        <v>500</v>
      </c>
      <c r="F291" t="s">
        <v>17</v>
      </c>
      <c r="G291" t="s">
        <v>501</v>
      </c>
      <c r="H291" t="s">
        <v>19</v>
      </c>
      <c r="I291" t="s">
        <v>502</v>
      </c>
      <c r="J291" t="s">
        <v>21</v>
      </c>
      <c r="K291" t="s">
        <v>169</v>
      </c>
      <c r="L291">
        <v>5724</v>
      </c>
      <c r="M291" t="s">
        <v>23</v>
      </c>
    </row>
    <row r="292" spans="1:13" x14ac:dyDescent="0.35">
      <c r="A292" t="s">
        <v>689</v>
      </c>
      <c r="B292" t="s">
        <v>14</v>
      </c>
      <c r="C292">
        <v>372242</v>
      </c>
      <c r="D292" t="s">
        <v>15</v>
      </c>
      <c r="E292" t="s">
        <v>690</v>
      </c>
      <c r="F292" t="s">
        <v>17</v>
      </c>
      <c r="G292" t="s">
        <v>491</v>
      </c>
      <c r="H292" t="s">
        <v>19</v>
      </c>
      <c r="I292" t="s">
        <v>492</v>
      </c>
      <c r="J292" t="s">
        <v>21</v>
      </c>
      <c r="K292" t="s">
        <v>169</v>
      </c>
      <c r="L292">
        <v>5723</v>
      </c>
      <c r="M292" t="s">
        <v>23</v>
      </c>
    </row>
    <row r="293" spans="1:13" x14ac:dyDescent="0.35">
      <c r="A293" t="s">
        <v>1130</v>
      </c>
      <c r="B293" t="s">
        <v>14</v>
      </c>
      <c r="C293">
        <v>384668</v>
      </c>
      <c r="D293" t="s">
        <v>15</v>
      </c>
      <c r="E293" t="s">
        <v>1131</v>
      </c>
      <c r="F293" t="s">
        <v>17</v>
      </c>
      <c r="G293" t="s">
        <v>501</v>
      </c>
      <c r="H293" t="s">
        <v>19</v>
      </c>
      <c r="I293" t="s">
        <v>502</v>
      </c>
      <c r="J293" t="s">
        <v>21</v>
      </c>
      <c r="K293" t="s">
        <v>169</v>
      </c>
      <c r="L293">
        <v>5724</v>
      </c>
      <c r="M293" t="s">
        <v>23</v>
      </c>
    </row>
    <row r="294" spans="1:13" x14ac:dyDescent="0.35">
      <c r="A294" t="s">
        <v>1149</v>
      </c>
      <c r="B294" t="s">
        <v>14</v>
      </c>
      <c r="C294">
        <v>385204</v>
      </c>
      <c r="D294" t="s">
        <v>15</v>
      </c>
      <c r="E294" t="s">
        <v>1150</v>
      </c>
      <c r="F294" t="s">
        <v>17</v>
      </c>
      <c r="G294" t="s">
        <v>1151</v>
      </c>
      <c r="H294" t="s">
        <v>19</v>
      </c>
      <c r="I294" t="s">
        <v>1152</v>
      </c>
      <c r="J294" t="s">
        <v>21</v>
      </c>
      <c r="K294" t="s">
        <v>169</v>
      </c>
      <c r="L294">
        <v>8153</v>
      </c>
      <c r="M294" t="s">
        <v>23</v>
      </c>
    </row>
    <row r="295" spans="1:13" x14ac:dyDescent="0.35">
      <c r="A295" t="s">
        <v>1169</v>
      </c>
      <c r="B295" t="s">
        <v>14</v>
      </c>
      <c r="C295">
        <v>385242</v>
      </c>
      <c r="D295" t="s">
        <v>15</v>
      </c>
      <c r="E295" t="s">
        <v>1170</v>
      </c>
      <c r="F295" t="s">
        <v>17</v>
      </c>
      <c r="G295" t="s">
        <v>1171</v>
      </c>
      <c r="H295" t="s">
        <v>19</v>
      </c>
      <c r="I295" t="s">
        <v>1172</v>
      </c>
      <c r="J295" t="s">
        <v>21</v>
      </c>
      <c r="K295" t="s">
        <v>169</v>
      </c>
      <c r="L295">
        <v>7462</v>
      </c>
      <c r="M295" t="s">
        <v>23</v>
      </c>
    </row>
    <row r="296" spans="1:13" x14ac:dyDescent="0.35">
      <c r="A296" t="s">
        <v>1515</v>
      </c>
      <c r="B296" t="s">
        <v>14</v>
      </c>
      <c r="C296">
        <v>402248</v>
      </c>
      <c r="D296" t="s">
        <v>15</v>
      </c>
      <c r="E296" t="s">
        <v>1645</v>
      </c>
      <c r="F296" t="s">
        <v>17</v>
      </c>
      <c r="G296" t="s">
        <v>1590</v>
      </c>
      <c r="H296" t="s">
        <v>19</v>
      </c>
      <c r="I296" t="s">
        <v>1591</v>
      </c>
      <c r="J296" t="s">
        <v>21</v>
      </c>
      <c r="K296" t="s">
        <v>169</v>
      </c>
      <c r="L296">
        <v>7047</v>
      </c>
      <c r="M296" t="s">
        <v>23</v>
      </c>
    </row>
    <row r="297" spans="1:13" x14ac:dyDescent="0.35">
      <c r="A297" t="s">
        <v>1515</v>
      </c>
      <c r="B297" t="s">
        <v>14</v>
      </c>
      <c r="C297">
        <v>412863</v>
      </c>
      <c r="D297" t="s">
        <v>15</v>
      </c>
      <c r="E297" t="s">
        <v>1885</v>
      </c>
      <c r="F297" t="s">
        <v>17</v>
      </c>
      <c r="G297" t="s">
        <v>1587</v>
      </c>
      <c r="H297" t="s">
        <v>19</v>
      </c>
      <c r="I297" t="s">
        <v>1588</v>
      </c>
      <c r="J297" t="s">
        <v>21</v>
      </c>
      <c r="K297" t="s">
        <v>169</v>
      </c>
      <c r="L297">
        <v>8151</v>
      </c>
      <c r="M297" t="s">
        <v>23</v>
      </c>
    </row>
    <row r="298" spans="1:13" x14ac:dyDescent="0.35">
      <c r="A298" t="s">
        <v>908</v>
      </c>
      <c r="B298" t="s">
        <v>317</v>
      </c>
      <c r="C298">
        <v>377260</v>
      </c>
      <c r="D298" t="s">
        <v>15</v>
      </c>
      <c r="E298" t="s">
        <v>909</v>
      </c>
      <c r="F298" t="s">
        <v>319</v>
      </c>
      <c r="G298" t="s">
        <v>363</v>
      </c>
      <c r="H298" t="s">
        <v>19</v>
      </c>
      <c r="I298" t="s">
        <v>364</v>
      </c>
      <c r="J298" t="s">
        <v>21</v>
      </c>
      <c r="K298" t="s">
        <v>169</v>
      </c>
      <c r="L298">
        <v>8152</v>
      </c>
      <c r="M298" t="s">
        <v>673</v>
      </c>
    </row>
    <row r="299" spans="1:13" x14ac:dyDescent="0.35">
      <c r="A299">
        <v>0</v>
      </c>
      <c r="B299" t="s">
        <v>317</v>
      </c>
      <c r="C299">
        <v>400463</v>
      </c>
      <c r="D299" t="s">
        <v>15</v>
      </c>
      <c r="E299" t="s">
        <v>1586</v>
      </c>
      <c r="F299" t="s">
        <v>319</v>
      </c>
      <c r="G299" t="s">
        <v>1587</v>
      </c>
      <c r="H299" t="s">
        <v>19</v>
      </c>
      <c r="I299" t="s">
        <v>1588</v>
      </c>
      <c r="J299" t="s">
        <v>21</v>
      </c>
      <c r="K299" t="s">
        <v>169</v>
      </c>
      <c r="L299">
        <v>8151</v>
      </c>
      <c r="M299" t="s">
        <v>673</v>
      </c>
    </row>
    <row r="300" spans="1:13" x14ac:dyDescent="0.35">
      <c r="A300">
        <v>0</v>
      </c>
      <c r="B300" t="s">
        <v>317</v>
      </c>
      <c r="C300">
        <v>400464</v>
      </c>
      <c r="D300" t="s">
        <v>15</v>
      </c>
      <c r="E300" t="s">
        <v>1589</v>
      </c>
      <c r="F300" t="s">
        <v>319</v>
      </c>
      <c r="G300" t="s">
        <v>1590</v>
      </c>
      <c r="H300" t="s">
        <v>19</v>
      </c>
      <c r="I300" t="s">
        <v>1591</v>
      </c>
      <c r="J300" t="s">
        <v>21</v>
      </c>
      <c r="K300" t="s">
        <v>169</v>
      </c>
      <c r="L300">
        <v>7047</v>
      </c>
      <c r="M300" t="s">
        <v>673</v>
      </c>
    </row>
    <row r="301" spans="1:13" x14ac:dyDescent="0.35">
      <c r="A301">
        <v>0</v>
      </c>
      <c r="B301" t="s">
        <v>317</v>
      </c>
      <c r="C301">
        <v>400465</v>
      </c>
      <c r="D301" t="s">
        <v>15</v>
      </c>
      <c r="E301" t="s">
        <v>1592</v>
      </c>
      <c r="F301" t="s">
        <v>319</v>
      </c>
      <c r="G301" t="s">
        <v>501</v>
      </c>
      <c r="H301" t="s">
        <v>19</v>
      </c>
      <c r="I301" t="s">
        <v>502</v>
      </c>
      <c r="J301" t="s">
        <v>21</v>
      </c>
      <c r="K301" t="s">
        <v>169</v>
      </c>
      <c r="L301">
        <v>5724</v>
      </c>
      <c r="M301" t="s">
        <v>673</v>
      </c>
    </row>
    <row r="302" spans="1:13" x14ac:dyDescent="0.35">
      <c r="A302">
        <v>0</v>
      </c>
      <c r="B302" t="s">
        <v>317</v>
      </c>
      <c r="C302">
        <v>403411</v>
      </c>
      <c r="D302" t="s">
        <v>15</v>
      </c>
      <c r="E302" t="s">
        <v>1670</v>
      </c>
      <c r="F302" t="s">
        <v>319</v>
      </c>
      <c r="G302" t="s">
        <v>491</v>
      </c>
      <c r="H302" t="s">
        <v>19</v>
      </c>
      <c r="I302" t="s">
        <v>492</v>
      </c>
      <c r="J302" t="s">
        <v>21</v>
      </c>
      <c r="K302" t="s">
        <v>169</v>
      </c>
      <c r="L302">
        <v>5723</v>
      </c>
      <c r="M302" t="s">
        <v>673</v>
      </c>
    </row>
    <row r="303" spans="1:13" x14ac:dyDescent="0.35">
      <c r="A303">
        <v>0</v>
      </c>
      <c r="B303" t="s">
        <v>317</v>
      </c>
      <c r="C303">
        <v>407982</v>
      </c>
      <c r="D303" t="s">
        <v>15</v>
      </c>
      <c r="E303" t="s">
        <v>1793</v>
      </c>
      <c r="F303" t="s">
        <v>319</v>
      </c>
      <c r="G303" t="s">
        <v>348</v>
      </c>
      <c r="H303" t="s">
        <v>19</v>
      </c>
      <c r="I303" t="s">
        <v>349</v>
      </c>
      <c r="J303" t="s">
        <v>21</v>
      </c>
      <c r="K303" t="s">
        <v>169</v>
      </c>
      <c r="L303">
        <v>7177</v>
      </c>
      <c r="M303" t="s">
        <v>673</v>
      </c>
    </row>
    <row r="304" spans="1:13" x14ac:dyDescent="0.35">
      <c r="A304">
        <v>0</v>
      </c>
      <c r="B304" t="s">
        <v>317</v>
      </c>
      <c r="C304">
        <v>409266</v>
      </c>
      <c r="D304" t="s">
        <v>15</v>
      </c>
      <c r="E304" t="s">
        <v>1830</v>
      </c>
      <c r="F304" t="s">
        <v>319</v>
      </c>
      <c r="G304" t="s">
        <v>1171</v>
      </c>
      <c r="H304" t="s">
        <v>19</v>
      </c>
      <c r="I304" t="s">
        <v>1172</v>
      </c>
      <c r="J304" t="s">
        <v>21</v>
      </c>
      <c r="K304" t="s">
        <v>169</v>
      </c>
      <c r="L304">
        <v>7462</v>
      </c>
      <c r="M304" t="s">
        <v>673</v>
      </c>
    </row>
    <row r="305" spans="1:13" x14ac:dyDescent="0.35">
      <c r="A305">
        <v>0</v>
      </c>
      <c r="B305" t="s">
        <v>317</v>
      </c>
      <c r="C305">
        <v>409267</v>
      </c>
      <c r="D305" t="s">
        <v>15</v>
      </c>
      <c r="E305" t="s">
        <v>1831</v>
      </c>
      <c r="F305" t="s">
        <v>319</v>
      </c>
      <c r="G305" t="s">
        <v>1151</v>
      </c>
      <c r="H305" t="s">
        <v>19</v>
      </c>
      <c r="I305" t="s">
        <v>1152</v>
      </c>
      <c r="J305" t="s">
        <v>21</v>
      </c>
      <c r="K305" t="s">
        <v>169</v>
      </c>
      <c r="L305">
        <v>8153</v>
      </c>
      <c r="M305" t="s">
        <v>673</v>
      </c>
    </row>
    <row r="306" spans="1:13" x14ac:dyDescent="0.35">
      <c r="A306">
        <v>0</v>
      </c>
      <c r="B306" t="s">
        <v>317</v>
      </c>
      <c r="C306">
        <v>412866</v>
      </c>
      <c r="D306" t="s">
        <v>15</v>
      </c>
      <c r="E306" t="s">
        <v>1888</v>
      </c>
      <c r="F306" t="s">
        <v>319</v>
      </c>
      <c r="G306" t="s">
        <v>501</v>
      </c>
      <c r="H306" t="s">
        <v>19</v>
      </c>
      <c r="I306" t="s">
        <v>502</v>
      </c>
      <c r="J306" t="s">
        <v>21</v>
      </c>
      <c r="K306" t="s">
        <v>169</v>
      </c>
      <c r="L306">
        <v>5724</v>
      </c>
      <c r="M306" t="s">
        <v>673</v>
      </c>
    </row>
    <row r="307" spans="1:13" x14ac:dyDescent="0.35">
      <c r="A307" t="s">
        <v>37</v>
      </c>
      <c r="B307" t="s">
        <v>14</v>
      </c>
      <c r="C307">
        <v>328361</v>
      </c>
      <c r="D307" t="s">
        <v>15</v>
      </c>
      <c r="E307" t="s">
        <v>38</v>
      </c>
      <c r="F307" t="s">
        <v>17</v>
      </c>
      <c r="G307" t="s">
        <v>39</v>
      </c>
      <c r="H307" t="s">
        <v>19</v>
      </c>
      <c r="I307" t="s">
        <v>40</v>
      </c>
      <c r="J307" t="s">
        <v>21</v>
      </c>
      <c r="K307" t="s">
        <v>36</v>
      </c>
      <c r="L307">
        <v>5730</v>
      </c>
      <c r="M307" t="s">
        <v>23</v>
      </c>
    </row>
    <row r="308" spans="1:13" x14ac:dyDescent="0.35">
      <c r="A308" t="s">
        <v>41</v>
      </c>
      <c r="B308" t="s">
        <v>14</v>
      </c>
      <c r="C308">
        <v>328363</v>
      </c>
      <c r="D308" t="s">
        <v>15</v>
      </c>
      <c r="E308" t="s">
        <v>42</v>
      </c>
      <c r="F308" t="s">
        <v>17</v>
      </c>
      <c r="G308" t="s">
        <v>43</v>
      </c>
      <c r="H308" t="s">
        <v>19</v>
      </c>
      <c r="I308" t="s">
        <v>44</v>
      </c>
      <c r="J308" t="s">
        <v>21</v>
      </c>
      <c r="K308" t="s">
        <v>36</v>
      </c>
      <c r="L308">
        <v>5731</v>
      </c>
      <c r="M308" t="s">
        <v>23</v>
      </c>
    </row>
    <row r="309" spans="1:13" x14ac:dyDescent="0.35">
      <c r="A309" t="s">
        <v>210</v>
      </c>
      <c r="B309" t="s">
        <v>14</v>
      </c>
      <c r="C309">
        <v>335531</v>
      </c>
      <c r="D309" t="s">
        <v>15</v>
      </c>
      <c r="E309" t="s">
        <v>211</v>
      </c>
      <c r="F309" t="s">
        <v>17</v>
      </c>
      <c r="G309" t="s">
        <v>39</v>
      </c>
      <c r="H309" t="s">
        <v>19</v>
      </c>
      <c r="I309" t="s">
        <v>40</v>
      </c>
      <c r="J309" t="s">
        <v>21</v>
      </c>
      <c r="K309" t="s">
        <v>36</v>
      </c>
      <c r="L309">
        <v>5730</v>
      </c>
      <c r="M309" t="s">
        <v>23</v>
      </c>
    </row>
    <row r="310" spans="1:13" x14ac:dyDescent="0.35">
      <c r="A310" t="s">
        <v>295</v>
      </c>
      <c r="B310" t="s">
        <v>14</v>
      </c>
      <c r="C310">
        <v>341599</v>
      </c>
      <c r="D310" t="s">
        <v>15</v>
      </c>
      <c r="E310" t="s">
        <v>296</v>
      </c>
      <c r="F310" t="s">
        <v>17</v>
      </c>
      <c r="G310" t="s">
        <v>297</v>
      </c>
      <c r="H310" t="s">
        <v>19</v>
      </c>
      <c r="I310" t="s">
        <v>298</v>
      </c>
      <c r="J310" t="s">
        <v>21</v>
      </c>
      <c r="K310" t="s">
        <v>36</v>
      </c>
      <c r="L310">
        <v>5732</v>
      </c>
      <c r="M310" t="s">
        <v>23</v>
      </c>
    </row>
    <row r="311" spans="1:13" x14ac:dyDescent="0.35">
      <c r="A311" t="s">
        <v>302</v>
      </c>
      <c r="B311" t="s">
        <v>14</v>
      </c>
      <c r="C311">
        <v>341602</v>
      </c>
      <c r="D311" t="s">
        <v>15</v>
      </c>
      <c r="E311" t="s">
        <v>303</v>
      </c>
      <c r="F311" t="s">
        <v>17</v>
      </c>
      <c r="G311" t="s">
        <v>297</v>
      </c>
      <c r="H311" t="s">
        <v>19</v>
      </c>
      <c r="I311" t="s">
        <v>298</v>
      </c>
      <c r="J311" t="s">
        <v>21</v>
      </c>
      <c r="K311" t="s">
        <v>36</v>
      </c>
      <c r="L311">
        <v>5732</v>
      </c>
      <c r="M311" t="s">
        <v>23</v>
      </c>
    </row>
    <row r="312" spans="1:13" x14ac:dyDescent="0.35">
      <c r="A312" t="s">
        <v>480</v>
      </c>
      <c r="B312" t="s">
        <v>14</v>
      </c>
      <c r="C312">
        <v>355650</v>
      </c>
      <c r="D312" t="s">
        <v>15</v>
      </c>
      <c r="E312" t="s">
        <v>481</v>
      </c>
      <c r="F312" t="s">
        <v>17</v>
      </c>
      <c r="G312" t="s">
        <v>482</v>
      </c>
      <c r="H312" t="s">
        <v>19</v>
      </c>
      <c r="I312" t="s">
        <v>483</v>
      </c>
      <c r="J312" t="s">
        <v>21</v>
      </c>
      <c r="K312" t="s">
        <v>36</v>
      </c>
      <c r="L312">
        <v>5727</v>
      </c>
      <c r="M312" t="s">
        <v>23</v>
      </c>
    </row>
    <row r="313" spans="1:13" x14ac:dyDescent="0.35">
      <c r="A313" t="s">
        <v>493</v>
      </c>
      <c r="B313" t="s">
        <v>14</v>
      </c>
      <c r="C313">
        <v>356737</v>
      </c>
      <c r="D313" t="s">
        <v>15</v>
      </c>
      <c r="E313" t="s">
        <v>494</v>
      </c>
      <c r="F313" t="s">
        <v>17</v>
      </c>
      <c r="G313" t="s">
        <v>43</v>
      </c>
      <c r="H313" t="s">
        <v>19</v>
      </c>
      <c r="I313" t="s">
        <v>44</v>
      </c>
      <c r="J313" t="s">
        <v>21</v>
      </c>
      <c r="K313" t="s">
        <v>36</v>
      </c>
      <c r="L313">
        <v>5731</v>
      </c>
      <c r="M313" t="s">
        <v>23</v>
      </c>
    </row>
    <row r="314" spans="1:13" x14ac:dyDescent="0.35">
      <c r="A314" t="s">
        <v>569</v>
      </c>
      <c r="B314" t="s">
        <v>14</v>
      </c>
      <c r="C314">
        <v>362514</v>
      </c>
      <c r="D314" t="s">
        <v>15</v>
      </c>
      <c r="E314" t="s">
        <v>570</v>
      </c>
      <c r="F314" t="s">
        <v>17</v>
      </c>
      <c r="G314" t="s">
        <v>482</v>
      </c>
      <c r="H314" t="s">
        <v>19</v>
      </c>
      <c r="I314" t="s">
        <v>483</v>
      </c>
      <c r="J314" t="s">
        <v>21</v>
      </c>
      <c r="K314" t="s">
        <v>36</v>
      </c>
      <c r="L314">
        <v>5727</v>
      </c>
      <c r="M314" t="s">
        <v>23</v>
      </c>
    </row>
    <row r="315" spans="1:13" x14ac:dyDescent="0.35">
      <c r="A315" t="s">
        <v>1069</v>
      </c>
      <c r="B315" t="s">
        <v>14</v>
      </c>
      <c r="C315">
        <v>381904</v>
      </c>
      <c r="D315" t="s">
        <v>15</v>
      </c>
      <c r="E315" t="s">
        <v>1070</v>
      </c>
      <c r="F315" t="s">
        <v>17</v>
      </c>
      <c r="G315" t="s">
        <v>1071</v>
      </c>
      <c r="H315" t="s">
        <v>19</v>
      </c>
      <c r="I315" t="s">
        <v>1072</v>
      </c>
      <c r="J315" t="s">
        <v>21</v>
      </c>
      <c r="K315" t="s">
        <v>36</v>
      </c>
      <c r="L315">
        <v>5728</v>
      </c>
      <c r="M315" t="s">
        <v>23</v>
      </c>
    </row>
    <row r="316" spans="1:13" x14ac:dyDescent="0.35">
      <c r="A316" t="s">
        <v>1245</v>
      </c>
      <c r="B316" t="s">
        <v>14</v>
      </c>
      <c r="C316">
        <v>388312</v>
      </c>
      <c r="D316" t="s">
        <v>15</v>
      </c>
      <c r="E316" t="s">
        <v>1246</v>
      </c>
      <c r="F316" t="s">
        <v>17</v>
      </c>
      <c r="G316" t="s">
        <v>1071</v>
      </c>
      <c r="H316" t="s">
        <v>19</v>
      </c>
      <c r="I316" t="s">
        <v>1072</v>
      </c>
      <c r="J316" t="s">
        <v>21</v>
      </c>
      <c r="K316" t="s">
        <v>36</v>
      </c>
      <c r="L316">
        <v>5728</v>
      </c>
      <c r="M316" t="s">
        <v>23</v>
      </c>
    </row>
    <row r="317" spans="1:13" x14ac:dyDescent="0.35">
      <c r="A317" t="s">
        <v>1250</v>
      </c>
      <c r="B317" t="s">
        <v>14</v>
      </c>
      <c r="C317">
        <v>388317</v>
      </c>
      <c r="D317" t="s">
        <v>15</v>
      </c>
      <c r="E317" t="s">
        <v>1251</v>
      </c>
      <c r="F317" t="s">
        <v>17</v>
      </c>
      <c r="G317" t="s">
        <v>1112</v>
      </c>
      <c r="H317" t="s">
        <v>19</v>
      </c>
      <c r="I317" t="s">
        <v>1252</v>
      </c>
      <c r="J317" t="s">
        <v>21</v>
      </c>
      <c r="K317" t="s">
        <v>36</v>
      </c>
      <c r="L317">
        <v>5729</v>
      </c>
      <c r="M317" t="s">
        <v>23</v>
      </c>
    </row>
    <row r="318" spans="1:13" x14ac:dyDescent="0.35">
      <c r="A318" t="s">
        <v>1383</v>
      </c>
      <c r="B318" t="s">
        <v>14</v>
      </c>
      <c r="C318">
        <v>392404</v>
      </c>
      <c r="D318" t="s">
        <v>15</v>
      </c>
      <c r="E318" t="s">
        <v>1384</v>
      </c>
      <c r="F318" t="s">
        <v>17</v>
      </c>
      <c r="G318" t="s">
        <v>1112</v>
      </c>
      <c r="H318" t="s">
        <v>19</v>
      </c>
      <c r="I318" t="s">
        <v>1252</v>
      </c>
      <c r="J318" t="s">
        <v>21</v>
      </c>
      <c r="K318" t="s">
        <v>36</v>
      </c>
      <c r="L318">
        <v>5729</v>
      </c>
      <c r="M318" t="s">
        <v>23</v>
      </c>
    </row>
    <row r="319" spans="1:13" x14ac:dyDescent="0.35">
      <c r="A319" t="s">
        <v>1404</v>
      </c>
      <c r="B319" t="s">
        <v>317</v>
      </c>
      <c r="C319">
        <v>392439</v>
      </c>
      <c r="D319" t="s">
        <v>15</v>
      </c>
      <c r="E319" t="s">
        <v>1405</v>
      </c>
      <c r="F319" t="s">
        <v>319</v>
      </c>
      <c r="G319" t="s">
        <v>43</v>
      </c>
      <c r="H319" t="s">
        <v>19</v>
      </c>
      <c r="I319" t="s">
        <v>44</v>
      </c>
      <c r="J319" t="s">
        <v>21</v>
      </c>
      <c r="K319" t="s">
        <v>36</v>
      </c>
      <c r="L319">
        <v>5731</v>
      </c>
      <c r="M319" t="s">
        <v>23</v>
      </c>
    </row>
    <row r="320" spans="1:13" x14ac:dyDescent="0.35">
      <c r="A320">
        <v>0</v>
      </c>
      <c r="B320" t="s">
        <v>317</v>
      </c>
      <c r="C320">
        <v>398343</v>
      </c>
      <c r="D320" t="s">
        <v>15</v>
      </c>
      <c r="E320" t="s">
        <v>1545</v>
      </c>
      <c r="F320" t="s">
        <v>319</v>
      </c>
      <c r="G320" t="s">
        <v>297</v>
      </c>
      <c r="H320" t="s">
        <v>19</v>
      </c>
      <c r="I320" t="s">
        <v>298</v>
      </c>
      <c r="J320" t="s">
        <v>21</v>
      </c>
      <c r="K320" t="s">
        <v>36</v>
      </c>
      <c r="L320">
        <v>5732</v>
      </c>
      <c r="M320" t="s">
        <v>673</v>
      </c>
    </row>
    <row r="321" spans="1:13" x14ac:dyDescent="0.35">
      <c r="A321">
        <v>0</v>
      </c>
      <c r="B321" t="s">
        <v>317</v>
      </c>
      <c r="C321">
        <v>400430</v>
      </c>
      <c r="D321" t="s">
        <v>15</v>
      </c>
      <c r="E321" t="s">
        <v>1575</v>
      </c>
      <c r="F321" t="s">
        <v>319</v>
      </c>
      <c r="G321" t="s">
        <v>482</v>
      </c>
      <c r="H321" t="s">
        <v>19</v>
      </c>
      <c r="I321" t="s">
        <v>483</v>
      </c>
      <c r="J321" t="s">
        <v>21</v>
      </c>
      <c r="K321" t="s">
        <v>36</v>
      </c>
      <c r="L321">
        <v>5727</v>
      </c>
      <c r="M321" t="s">
        <v>673</v>
      </c>
    </row>
    <row r="322" spans="1:13" x14ac:dyDescent="0.35">
      <c r="A322">
        <v>0</v>
      </c>
      <c r="B322" t="s">
        <v>317</v>
      </c>
      <c r="C322">
        <v>403334</v>
      </c>
      <c r="D322" t="s">
        <v>15</v>
      </c>
      <c r="E322" t="s">
        <v>1669</v>
      </c>
      <c r="F322" t="s">
        <v>319</v>
      </c>
      <c r="G322" t="s">
        <v>1112</v>
      </c>
      <c r="H322" t="s">
        <v>19</v>
      </c>
      <c r="I322" t="s">
        <v>1252</v>
      </c>
      <c r="J322" t="s">
        <v>21</v>
      </c>
      <c r="K322" t="s">
        <v>36</v>
      </c>
      <c r="L322">
        <v>5729</v>
      </c>
      <c r="M322" t="s">
        <v>673</v>
      </c>
    </row>
    <row r="323" spans="1:13" x14ac:dyDescent="0.35">
      <c r="A323">
        <v>0</v>
      </c>
      <c r="B323" t="s">
        <v>317</v>
      </c>
      <c r="C323">
        <v>405655</v>
      </c>
      <c r="D323" t="s">
        <v>15</v>
      </c>
      <c r="E323" t="s">
        <v>1740</v>
      </c>
      <c r="F323" t="s">
        <v>319</v>
      </c>
      <c r="G323" t="s">
        <v>39</v>
      </c>
      <c r="H323" t="s">
        <v>19</v>
      </c>
      <c r="I323" t="s">
        <v>40</v>
      </c>
      <c r="J323" t="s">
        <v>21</v>
      </c>
      <c r="K323" t="s">
        <v>36</v>
      </c>
      <c r="L323">
        <v>5730</v>
      </c>
      <c r="M323" t="s">
        <v>673</v>
      </c>
    </row>
    <row r="324" spans="1:13" x14ac:dyDescent="0.35">
      <c r="A324">
        <v>0</v>
      </c>
      <c r="B324" t="s">
        <v>317</v>
      </c>
      <c r="C324">
        <v>405861</v>
      </c>
      <c r="D324" t="s">
        <v>15</v>
      </c>
      <c r="E324" t="s">
        <v>1748</v>
      </c>
      <c r="F324" t="s">
        <v>319</v>
      </c>
      <c r="G324" t="s">
        <v>1071</v>
      </c>
      <c r="H324" t="s">
        <v>19</v>
      </c>
      <c r="I324" t="s">
        <v>1072</v>
      </c>
      <c r="J324" t="s">
        <v>21</v>
      </c>
      <c r="K324" t="s">
        <v>36</v>
      </c>
      <c r="L324">
        <v>5728</v>
      </c>
      <c r="M324" t="s">
        <v>673</v>
      </c>
    </row>
    <row r="325" spans="1:13" x14ac:dyDescent="0.35">
      <c r="A325">
        <v>0</v>
      </c>
      <c r="B325" t="s">
        <v>317</v>
      </c>
      <c r="C325">
        <v>408618</v>
      </c>
      <c r="D325" t="s">
        <v>15</v>
      </c>
      <c r="E325" t="s">
        <v>1812</v>
      </c>
      <c r="F325" t="s">
        <v>319</v>
      </c>
      <c r="G325" t="s">
        <v>297</v>
      </c>
      <c r="H325" t="s">
        <v>19</v>
      </c>
      <c r="I325" t="s">
        <v>298</v>
      </c>
      <c r="J325" t="s">
        <v>21</v>
      </c>
      <c r="K325" t="s">
        <v>36</v>
      </c>
      <c r="L325">
        <v>5732</v>
      </c>
      <c r="M325" t="s">
        <v>673</v>
      </c>
    </row>
    <row r="326" spans="1:13" x14ac:dyDescent="0.35">
      <c r="A326" t="s">
        <v>1515</v>
      </c>
      <c r="B326" t="s">
        <v>317</v>
      </c>
      <c r="C326">
        <v>410741</v>
      </c>
      <c r="D326" t="s">
        <v>15</v>
      </c>
      <c r="E326" t="s">
        <v>1865</v>
      </c>
      <c r="F326" t="s">
        <v>319</v>
      </c>
      <c r="G326" t="s">
        <v>39</v>
      </c>
      <c r="H326" t="s">
        <v>19</v>
      </c>
      <c r="I326" t="s">
        <v>40</v>
      </c>
      <c r="J326" t="s">
        <v>21</v>
      </c>
      <c r="K326" t="s">
        <v>36</v>
      </c>
      <c r="L326">
        <v>5730</v>
      </c>
      <c r="M326" t="s">
        <v>23</v>
      </c>
    </row>
    <row r="327" spans="1:13" x14ac:dyDescent="0.35">
      <c r="A327">
        <v>0</v>
      </c>
      <c r="B327" t="s">
        <v>317</v>
      </c>
      <c r="C327">
        <v>413425</v>
      </c>
      <c r="D327" t="s">
        <v>15</v>
      </c>
      <c r="E327" t="s">
        <v>1902</v>
      </c>
      <c r="F327" t="s">
        <v>319</v>
      </c>
      <c r="G327" t="s">
        <v>1071</v>
      </c>
      <c r="H327" t="s">
        <v>19</v>
      </c>
      <c r="I327" t="s">
        <v>1072</v>
      </c>
      <c r="J327" t="s">
        <v>21</v>
      </c>
      <c r="K327" t="s">
        <v>36</v>
      </c>
      <c r="L327">
        <v>5728</v>
      </c>
      <c r="M327" t="s">
        <v>673</v>
      </c>
    </row>
    <row r="328" spans="1:13" x14ac:dyDescent="0.35">
      <c r="A328" t="s">
        <v>311</v>
      </c>
      <c r="B328" t="s">
        <v>14</v>
      </c>
      <c r="C328">
        <v>343043</v>
      </c>
      <c r="D328" t="s">
        <v>15</v>
      </c>
      <c r="E328" t="s">
        <v>312</v>
      </c>
      <c r="F328" t="s">
        <v>17</v>
      </c>
      <c r="G328" t="s">
        <v>313</v>
      </c>
      <c r="H328" t="s">
        <v>19</v>
      </c>
      <c r="I328" t="s">
        <v>314</v>
      </c>
      <c r="J328" t="s">
        <v>21</v>
      </c>
      <c r="K328" t="s">
        <v>315</v>
      </c>
      <c r="L328">
        <v>5736</v>
      </c>
      <c r="M328" t="s">
        <v>23</v>
      </c>
    </row>
    <row r="329" spans="1:13" x14ac:dyDescent="0.35">
      <c r="A329" t="s">
        <v>376</v>
      </c>
      <c r="B329" t="s">
        <v>14</v>
      </c>
      <c r="C329">
        <v>346809</v>
      </c>
      <c r="D329" t="s">
        <v>15</v>
      </c>
      <c r="E329" t="s">
        <v>377</v>
      </c>
      <c r="F329" t="s">
        <v>17</v>
      </c>
      <c r="G329" t="s">
        <v>378</v>
      </c>
      <c r="H329" t="s">
        <v>19</v>
      </c>
      <c r="I329" t="s">
        <v>379</v>
      </c>
      <c r="J329" t="s">
        <v>21</v>
      </c>
      <c r="K329" t="s">
        <v>315</v>
      </c>
      <c r="L329">
        <v>5737</v>
      </c>
      <c r="M329" t="s">
        <v>23</v>
      </c>
    </row>
    <row r="330" spans="1:13" x14ac:dyDescent="0.35">
      <c r="A330" t="s">
        <v>589</v>
      </c>
      <c r="B330" t="s">
        <v>14</v>
      </c>
      <c r="C330">
        <v>365183</v>
      </c>
      <c r="D330" t="s">
        <v>15</v>
      </c>
      <c r="E330" t="s">
        <v>590</v>
      </c>
      <c r="F330" t="s">
        <v>17</v>
      </c>
      <c r="G330" t="s">
        <v>591</v>
      </c>
      <c r="H330" t="s">
        <v>19</v>
      </c>
      <c r="I330" t="s">
        <v>592</v>
      </c>
      <c r="J330" t="s">
        <v>21</v>
      </c>
      <c r="K330" t="s">
        <v>315</v>
      </c>
      <c r="L330">
        <v>5733</v>
      </c>
      <c r="M330" t="s">
        <v>23</v>
      </c>
    </row>
    <row r="331" spans="1:13" x14ac:dyDescent="0.35">
      <c r="A331" t="s">
        <v>644</v>
      </c>
      <c r="B331" t="s">
        <v>14</v>
      </c>
      <c r="C331">
        <v>370856</v>
      </c>
      <c r="D331" t="s">
        <v>15</v>
      </c>
      <c r="E331" t="s">
        <v>645</v>
      </c>
      <c r="F331" t="s">
        <v>17</v>
      </c>
      <c r="G331" t="s">
        <v>646</v>
      </c>
      <c r="H331" t="s">
        <v>19</v>
      </c>
      <c r="I331" t="s">
        <v>647</v>
      </c>
      <c r="J331" t="s">
        <v>21</v>
      </c>
      <c r="K331" t="s">
        <v>315</v>
      </c>
      <c r="L331">
        <v>5734</v>
      </c>
      <c r="M331" t="s">
        <v>23</v>
      </c>
    </row>
    <row r="332" spans="1:13" x14ac:dyDescent="0.35">
      <c r="A332" t="s">
        <v>828</v>
      </c>
      <c r="B332" t="s">
        <v>14</v>
      </c>
      <c r="C332">
        <v>375743</v>
      </c>
      <c r="D332" t="s">
        <v>15</v>
      </c>
      <c r="E332" t="s">
        <v>829</v>
      </c>
      <c r="F332" t="s">
        <v>17</v>
      </c>
      <c r="G332" t="s">
        <v>591</v>
      </c>
      <c r="H332" t="s">
        <v>19</v>
      </c>
      <c r="I332" t="s">
        <v>592</v>
      </c>
      <c r="J332" t="s">
        <v>21</v>
      </c>
      <c r="K332" t="s">
        <v>315</v>
      </c>
      <c r="L332">
        <v>5733</v>
      </c>
      <c r="M332" t="s">
        <v>23</v>
      </c>
    </row>
    <row r="333" spans="1:13" x14ac:dyDescent="0.35">
      <c r="A333" t="s">
        <v>1195</v>
      </c>
      <c r="B333" t="s">
        <v>14</v>
      </c>
      <c r="C333">
        <v>386438</v>
      </c>
      <c r="D333" t="s">
        <v>15</v>
      </c>
      <c r="E333" t="s">
        <v>1196</v>
      </c>
      <c r="F333" t="s">
        <v>17</v>
      </c>
      <c r="G333" t="s">
        <v>929</v>
      </c>
      <c r="H333" t="s">
        <v>19</v>
      </c>
      <c r="I333" t="s">
        <v>930</v>
      </c>
      <c r="J333" t="s">
        <v>21</v>
      </c>
      <c r="K333" t="s">
        <v>315</v>
      </c>
      <c r="L333">
        <v>5735</v>
      </c>
      <c r="M333" t="s">
        <v>23</v>
      </c>
    </row>
    <row r="334" spans="1:13" x14ac:dyDescent="0.35">
      <c r="A334" t="s">
        <v>1225</v>
      </c>
      <c r="B334" t="s">
        <v>14</v>
      </c>
      <c r="C334">
        <v>387041</v>
      </c>
      <c r="D334" t="s">
        <v>15</v>
      </c>
      <c r="E334" t="s">
        <v>1226</v>
      </c>
      <c r="F334" t="s">
        <v>17</v>
      </c>
      <c r="G334" t="s">
        <v>1227</v>
      </c>
      <c r="H334" t="s">
        <v>19</v>
      </c>
      <c r="I334" t="s">
        <v>1228</v>
      </c>
      <c r="J334" t="s">
        <v>21</v>
      </c>
      <c r="K334" t="s">
        <v>315</v>
      </c>
      <c r="L334">
        <v>5738</v>
      </c>
      <c r="M334" t="s">
        <v>23</v>
      </c>
    </row>
    <row r="335" spans="1:13" x14ac:dyDescent="0.35">
      <c r="A335" t="s">
        <v>1253</v>
      </c>
      <c r="B335" t="s">
        <v>14</v>
      </c>
      <c r="C335">
        <v>388348</v>
      </c>
      <c r="D335" t="s">
        <v>15</v>
      </c>
      <c r="E335" t="s">
        <v>1254</v>
      </c>
      <c r="F335" t="s">
        <v>17</v>
      </c>
      <c r="G335" t="s">
        <v>313</v>
      </c>
      <c r="H335" t="s">
        <v>19</v>
      </c>
      <c r="I335" t="s">
        <v>314</v>
      </c>
      <c r="J335" t="s">
        <v>21</v>
      </c>
      <c r="K335" t="s">
        <v>315</v>
      </c>
      <c r="L335">
        <v>5736</v>
      </c>
      <c r="M335" t="s">
        <v>23</v>
      </c>
    </row>
    <row r="336" spans="1:13" x14ac:dyDescent="0.35">
      <c r="A336" t="s">
        <v>758</v>
      </c>
      <c r="B336" t="s">
        <v>317</v>
      </c>
      <c r="C336">
        <v>373873</v>
      </c>
      <c r="D336" t="s">
        <v>15</v>
      </c>
      <c r="E336" t="s">
        <v>759</v>
      </c>
      <c r="F336" t="s">
        <v>319</v>
      </c>
      <c r="G336" t="s">
        <v>313</v>
      </c>
      <c r="H336" t="s">
        <v>19</v>
      </c>
      <c r="I336" t="s">
        <v>314</v>
      </c>
      <c r="J336" t="s">
        <v>21</v>
      </c>
      <c r="K336" t="s">
        <v>315</v>
      </c>
      <c r="L336">
        <v>5736</v>
      </c>
      <c r="M336" t="s">
        <v>673</v>
      </c>
    </row>
    <row r="337" spans="1:13" x14ac:dyDescent="0.35">
      <c r="A337" t="s">
        <v>927</v>
      </c>
      <c r="B337" t="s">
        <v>317</v>
      </c>
      <c r="C337">
        <v>377941</v>
      </c>
      <c r="D337" t="s">
        <v>15</v>
      </c>
      <c r="E337" t="s">
        <v>928</v>
      </c>
      <c r="F337" t="s">
        <v>319</v>
      </c>
      <c r="G337" t="s">
        <v>929</v>
      </c>
      <c r="H337" t="s">
        <v>19</v>
      </c>
      <c r="I337" t="s">
        <v>930</v>
      </c>
      <c r="J337" t="s">
        <v>21</v>
      </c>
      <c r="K337" t="s">
        <v>315</v>
      </c>
      <c r="L337">
        <v>5735</v>
      </c>
      <c r="M337" t="s">
        <v>673</v>
      </c>
    </row>
    <row r="338" spans="1:13" x14ac:dyDescent="0.35">
      <c r="A338" t="s">
        <v>1231</v>
      </c>
      <c r="B338" t="s">
        <v>317</v>
      </c>
      <c r="C338">
        <v>387081</v>
      </c>
      <c r="D338" t="s">
        <v>15</v>
      </c>
      <c r="E338" t="s">
        <v>1232</v>
      </c>
      <c r="F338" t="s">
        <v>319</v>
      </c>
      <c r="G338" t="s">
        <v>1227</v>
      </c>
      <c r="H338" t="s">
        <v>19</v>
      </c>
      <c r="I338" t="s">
        <v>1228</v>
      </c>
      <c r="J338" t="s">
        <v>21</v>
      </c>
      <c r="K338" t="s">
        <v>315</v>
      </c>
      <c r="L338">
        <v>5738</v>
      </c>
      <c r="M338" t="s">
        <v>673</v>
      </c>
    </row>
    <row r="339" spans="1:13" x14ac:dyDescent="0.35">
      <c r="A339" t="s">
        <v>1297</v>
      </c>
      <c r="B339" t="s">
        <v>317</v>
      </c>
      <c r="C339">
        <v>389608</v>
      </c>
      <c r="D339" t="s">
        <v>15</v>
      </c>
      <c r="E339" t="s">
        <v>1298</v>
      </c>
      <c r="F339" t="s">
        <v>319</v>
      </c>
      <c r="G339" t="s">
        <v>591</v>
      </c>
      <c r="H339" t="s">
        <v>19</v>
      </c>
      <c r="I339" t="s">
        <v>592</v>
      </c>
      <c r="J339" t="s">
        <v>21</v>
      </c>
      <c r="K339" t="s">
        <v>315</v>
      </c>
      <c r="L339">
        <v>5733</v>
      </c>
      <c r="M339" t="s">
        <v>673</v>
      </c>
    </row>
    <row r="340" spans="1:13" x14ac:dyDescent="0.35">
      <c r="A340" t="s">
        <v>1299</v>
      </c>
      <c r="B340" t="s">
        <v>317</v>
      </c>
      <c r="C340">
        <v>389657</v>
      </c>
      <c r="D340" t="s">
        <v>15</v>
      </c>
      <c r="E340" t="s">
        <v>1300</v>
      </c>
      <c r="F340" t="s">
        <v>319</v>
      </c>
      <c r="G340" t="s">
        <v>378</v>
      </c>
      <c r="H340" t="s">
        <v>19</v>
      </c>
      <c r="I340" t="s">
        <v>379</v>
      </c>
      <c r="J340" t="s">
        <v>21</v>
      </c>
      <c r="K340" t="s">
        <v>315</v>
      </c>
      <c r="L340">
        <v>5737</v>
      </c>
      <c r="M340" t="s">
        <v>673</v>
      </c>
    </row>
    <row r="341" spans="1:13" x14ac:dyDescent="0.35">
      <c r="A341" t="s">
        <v>1474</v>
      </c>
      <c r="B341" t="s">
        <v>317</v>
      </c>
      <c r="C341">
        <v>393598</v>
      </c>
      <c r="D341" t="s">
        <v>15</v>
      </c>
      <c r="E341" t="s">
        <v>1475</v>
      </c>
      <c r="F341" t="s">
        <v>319</v>
      </c>
      <c r="G341" t="s">
        <v>646</v>
      </c>
      <c r="H341" t="s">
        <v>19</v>
      </c>
      <c r="I341" t="s">
        <v>647</v>
      </c>
      <c r="J341" t="s">
        <v>21</v>
      </c>
      <c r="K341" t="s">
        <v>315</v>
      </c>
      <c r="L341">
        <v>5734</v>
      </c>
      <c r="M341" t="s">
        <v>673</v>
      </c>
    </row>
    <row r="342" spans="1:13" x14ac:dyDescent="0.35">
      <c r="A342" t="s">
        <v>69</v>
      </c>
      <c r="B342" t="s">
        <v>14</v>
      </c>
      <c r="C342">
        <v>328397</v>
      </c>
      <c r="D342" t="s">
        <v>15</v>
      </c>
      <c r="E342" t="s">
        <v>70</v>
      </c>
      <c r="F342" t="s">
        <v>17</v>
      </c>
      <c r="G342" t="s">
        <v>71</v>
      </c>
      <c r="H342" t="s">
        <v>19</v>
      </c>
      <c r="I342" t="s">
        <v>72</v>
      </c>
      <c r="J342" t="s">
        <v>21</v>
      </c>
      <c r="K342" t="s">
        <v>73</v>
      </c>
      <c r="L342">
        <v>5762</v>
      </c>
      <c r="M342" t="s">
        <v>23</v>
      </c>
    </row>
    <row r="343" spans="1:13" x14ac:dyDescent="0.35">
      <c r="A343" t="s">
        <v>92</v>
      </c>
      <c r="B343" t="s">
        <v>14</v>
      </c>
      <c r="C343">
        <v>328523</v>
      </c>
      <c r="D343" t="s">
        <v>15</v>
      </c>
      <c r="E343" t="s">
        <v>93</v>
      </c>
      <c r="F343" t="s">
        <v>17</v>
      </c>
      <c r="G343" t="s">
        <v>94</v>
      </c>
      <c r="H343" t="s">
        <v>19</v>
      </c>
      <c r="I343" t="s">
        <v>95</v>
      </c>
      <c r="J343" t="s">
        <v>21</v>
      </c>
      <c r="K343" t="s">
        <v>73</v>
      </c>
      <c r="L343">
        <v>5750</v>
      </c>
      <c r="M343" t="s">
        <v>23</v>
      </c>
    </row>
    <row r="344" spans="1:13" x14ac:dyDescent="0.35">
      <c r="A344" t="s">
        <v>108</v>
      </c>
      <c r="B344" t="s">
        <v>14</v>
      </c>
      <c r="C344">
        <v>328550</v>
      </c>
      <c r="D344" t="s">
        <v>15</v>
      </c>
      <c r="E344" t="s">
        <v>109</v>
      </c>
      <c r="F344" t="s">
        <v>17</v>
      </c>
      <c r="G344" t="s">
        <v>110</v>
      </c>
      <c r="H344" t="s">
        <v>19</v>
      </c>
      <c r="I344" t="s">
        <v>111</v>
      </c>
      <c r="J344" t="s">
        <v>21</v>
      </c>
      <c r="K344" t="s">
        <v>73</v>
      </c>
      <c r="L344">
        <v>5742</v>
      </c>
      <c r="M344" t="s">
        <v>23</v>
      </c>
    </row>
    <row r="345" spans="1:13" x14ac:dyDescent="0.35">
      <c r="A345" t="s">
        <v>186</v>
      </c>
      <c r="B345" t="s">
        <v>14</v>
      </c>
      <c r="C345">
        <v>334950</v>
      </c>
      <c r="D345" t="s">
        <v>15</v>
      </c>
      <c r="E345" t="s">
        <v>187</v>
      </c>
      <c r="F345" t="s">
        <v>17</v>
      </c>
      <c r="G345" t="s">
        <v>188</v>
      </c>
      <c r="H345" t="s">
        <v>19</v>
      </c>
      <c r="I345" t="s">
        <v>189</v>
      </c>
      <c r="J345" t="s">
        <v>21</v>
      </c>
      <c r="K345" t="s">
        <v>73</v>
      </c>
      <c r="L345">
        <v>5740</v>
      </c>
      <c r="M345" t="s">
        <v>23</v>
      </c>
    </row>
    <row r="346" spans="1:13" x14ac:dyDescent="0.35">
      <c r="A346" t="s">
        <v>190</v>
      </c>
      <c r="B346" t="s">
        <v>14</v>
      </c>
      <c r="C346">
        <v>334956</v>
      </c>
      <c r="D346" t="s">
        <v>15</v>
      </c>
      <c r="E346" t="s">
        <v>191</v>
      </c>
      <c r="F346" t="s">
        <v>17</v>
      </c>
      <c r="G346" t="s">
        <v>192</v>
      </c>
      <c r="H346" t="s">
        <v>19</v>
      </c>
      <c r="I346" t="s">
        <v>193</v>
      </c>
      <c r="J346" t="s">
        <v>21</v>
      </c>
      <c r="K346" t="s">
        <v>73</v>
      </c>
      <c r="L346">
        <v>8059</v>
      </c>
      <c r="M346" t="s">
        <v>23</v>
      </c>
    </row>
    <row r="347" spans="1:13" x14ac:dyDescent="0.35">
      <c r="A347" t="s">
        <v>194</v>
      </c>
      <c r="B347" t="s">
        <v>14</v>
      </c>
      <c r="C347">
        <v>334959</v>
      </c>
      <c r="D347" t="s">
        <v>15</v>
      </c>
      <c r="E347" t="s">
        <v>195</v>
      </c>
      <c r="F347" t="s">
        <v>17</v>
      </c>
      <c r="G347" t="s">
        <v>196</v>
      </c>
      <c r="H347" t="s">
        <v>19</v>
      </c>
      <c r="I347" t="s">
        <v>197</v>
      </c>
      <c r="J347" t="s">
        <v>21</v>
      </c>
      <c r="K347" t="s">
        <v>73</v>
      </c>
      <c r="L347">
        <v>5747</v>
      </c>
      <c r="M347" t="s">
        <v>23</v>
      </c>
    </row>
    <row r="348" spans="1:13" x14ac:dyDescent="0.35">
      <c r="A348" t="s">
        <v>198</v>
      </c>
      <c r="B348" t="s">
        <v>14</v>
      </c>
      <c r="C348">
        <v>334961</v>
      </c>
      <c r="D348" t="s">
        <v>15</v>
      </c>
      <c r="E348" t="s">
        <v>199</v>
      </c>
      <c r="F348" t="s">
        <v>17</v>
      </c>
      <c r="G348" t="s">
        <v>200</v>
      </c>
      <c r="H348" t="s">
        <v>19</v>
      </c>
      <c r="I348" t="s">
        <v>201</v>
      </c>
      <c r="J348" t="s">
        <v>21</v>
      </c>
      <c r="K348" t="s">
        <v>73</v>
      </c>
      <c r="L348">
        <v>5755</v>
      </c>
      <c r="M348" t="s">
        <v>23</v>
      </c>
    </row>
    <row r="349" spans="1:13" x14ac:dyDescent="0.35">
      <c r="A349" t="s">
        <v>264</v>
      </c>
      <c r="B349" t="s">
        <v>14</v>
      </c>
      <c r="C349">
        <v>339180</v>
      </c>
      <c r="D349" t="s">
        <v>15</v>
      </c>
      <c r="E349" t="s">
        <v>265</v>
      </c>
      <c r="F349" t="s">
        <v>17</v>
      </c>
      <c r="G349" t="s">
        <v>266</v>
      </c>
      <c r="H349" t="s">
        <v>19</v>
      </c>
      <c r="I349" t="s">
        <v>267</v>
      </c>
      <c r="J349" t="s">
        <v>21</v>
      </c>
      <c r="K349" t="s">
        <v>73</v>
      </c>
      <c r="L349">
        <v>5758</v>
      </c>
      <c r="M349" t="s">
        <v>23</v>
      </c>
    </row>
    <row r="350" spans="1:13" x14ac:dyDescent="0.35">
      <c r="A350" t="s">
        <v>268</v>
      </c>
      <c r="B350" t="s">
        <v>14</v>
      </c>
      <c r="C350">
        <v>339181</v>
      </c>
      <c r="D350" t="s">
        <v>15</v>
      </c>
      <c r="E350" t="s">
        <v>269</v>
      </c>
      <c r="F350" t="s">
        <v>17</v>
      </c>
      <c r="G350" t="s">
        <v>270</v>
      </c>
      <c r="H350" t="s">
        <v>19</v>
      </c>
      <c r="I350" t="s">
        <v>271</v>
      </c>
      <c r="J350" t="s">
        <v>21</v>
      </c>
      <c r="K350" t="s">
        <v>73</v>
      </c>
      <c r="L350">
        <v>7054</v>
      </c>
      <c r="M350" t="s">
        <v>23</v>
      </c>
    </row>
    <row r="351" spans="1:13" x14ac:dyDescent="0.35">
      <c r="A351" t="s">
        <v>272</v>
      </c>
      <c r="B351" t="s">
        <v>14</v>
      </c>
      <c r="C351">
        <v>339182</v>
      </c>
      <c r="D351" t="s">
        <v>15</v>
      </c>
      <c r="E351" t="s">
        <v>273</v>
      </c>
      <c r="F351" t="s">
        <v>17</v>
      </c>
      <c r="G351" t="s">
        <v>200</v>
      </c>
      <c r="H351" t="s">
        <v>19</v>
      </c>
      <c r="I351" t="s">
        <v>201</v>
      </c>
      <c r="J351" t="s">
        <v>21</v>
      </c>
      <c r="K351" t="s">
        <v>73</v>
      </c>
      <c r="L351">
        <v>5755</v>
      </c>
      <c r="M351" t="s">
        <v>23</v>
      </c>
    </row>
    <row r="352" spans="1:13" x14ac:dyDescent="0.35">
      <c r="A352" t="s">
        <v>440</v>
      </c>
      <c r="B352" t="s">
        <v>14</v>
      </c>
      <c r="C352">
        <v>351469</v>
      </c>
      <c r="D352" t="s">
        <v>15</v>
      </c>
      <c r="E352" t="s">
        <v>441</v>
      </c>
      <c r="F352" t="s">
        <v>17</v>
      </c>
      <c r="G352" t="s">
        <v>442</v>
      </c>
      <c r="H352" t="s">
        <v>19</v>
      </c>
      <c r="I352" t="s">
        <v>443</v>
      </c>
      <c r="J352" t="s">
        <v>21</v>
      </c>
      <c r="K352" t="s">
        <v>73</v>
      </c>
      <c r="L352">
        <v>5743</v>
      </c>
      <c r="M352" t="s">
        <v>23</v>
      </c>
    </row>
    <row r="353" spans="1:13" x14ac:dyDescent="0.35">
      <c r="A353" t="s">
        <v>552</v>
      </c>
      <c r="B353" t="s">
        <v>14</v>
      </c>
      <c r="C353">
        <v>362084</v>
      </c>
      <c r="D353" t="s">
        <v>15</v>
      </c>
      <c r="E353" t="s">
        <v>553</v>
      </c>
      <c r="F353" t="s">
        <v>17</v>
      </c>
      <c r="G353" t="s">
        <v>71</v>
      </c>
      <c r="H353" t="s">
        <v>19</v>
      </c>
      <c r="I353" t="s">
        <v>72</v>
      </c>
      <c r="J353" t="s">
        <v>21</v>
      </c>
      <c r="K353" t="s">
        <v>73</v>
      </c>
      <c r="L353">
        <v>5762</v>
      </c>
      <c r="M353" t="s">
        <v>23</v>
      </c>
    </row>
    <row r="354" spans="1:13" x14ac:dyDescent="0.35">
      <c r="A354" t="s">
        <v>557</v>
      </c>
      <c r="B354" t="s">
        <v>14</v>
      </c>
      <c r="C354">
        <v>362087</v>
      </c>
      <c r="D354" t="s">
        <v>15</v>
      </c>
      <c r="E354" t="s">
        <v>558</v>
      </c>
      <c r="F354" t="s">
        <v>17</v>
      </c>
      <c r="G354" t="s">
        <v>559</v>
      </c>
      <c r="H354" t="s">
        <v>19</v>
      </c>
      <c r="I354" t="s">
        <v>560</v>
      </c>
      <c r="J354" t="s">
        <v>21</v>
      </c>
      <c r="K354" t="s">
        <v>73</v>
      </c>
      <c r="L354">
        <v>7751</v>
      </c>
      <c r="M354" t="s">
        <v>23</v>
      </c>
    </row>
    <row r="355" spans="1:13" x14ac:dyDescent="0.35">
      <c r="A355" t="s">
        <v>678</v>
      </c>
      <c r="B355" t="s">
        <v>14</v>
      </c>
      <c r="C355">
        <v>371429</v>
      </c>
      <c r="D355" t="s">
        <v>15</v>
      </c>
      <c r="E355" t="s">
        <v>679</v>
      </c>
      <c r="F355" t="s">
        <v>17</v>
      </c>
      <c r="G355" t="s">
        <v>188</v>
      </c>
      <c r="H355" t="s">
        <v>19</v>
      </c>
      <c r="I355" t="s">
        <v>189</v>
      </c>
      <c r="J355" t="s">
        <v>21</v>
      </c>
      <c r="K355" t="s">
        <v>73</v>
      </c>
      <c r="L355">
        <v>5740</v>
      </c>
      <c r="M355" t="s">
        <v>23</v>
      </c>
    </row>
    <row r="356" spans="1:13" x14ac:dyDescent="0.35">
      <c r="A356" t="s">
        <v>719</v>
      </c>
      <c r="B356" t="s">
        <v>14</v>
      </c>
      <c r="C356">
        <v>373580</v>
      </c>
      <c r="D356" t="s">
        <v>15</v>
      </c>
      <c r="E356" t="s">
        <v>720</v>
      </c>
      <c r="F356" t="s">
        <v>17</v>
      </c>
      <c r="G356" t="s">
        <v>559</v>
      </c>
      <c r="H356" t="s">
        <v>19</v>
      </c>
      <c r="I356" t="s">
        <v>560</v>
      </c>
      <c r="J356" t="s">
        <v>21</v>
      </c>
      <c r="K356" t="s">
        <v>73</v>
      </c>
      <c r="L356">
        <v>7751</v>
      </c>
      <c r="M356" t="s">
        <v>23</v>
      </c>
    </row>
    <row r="357" spans="1:13" x14ac:dyDescent="0.35">
      <c r="A357" t="s">
        <v>751</v>
      </c>
      <c r="B357" t="s">
        <v>14</v>
      </c>
      <c r="C357">
        <v>373722</v>
      </c>
      <c r="D357" t="s">
        <v>15</v>
      </c>
      <c r="E357" t="s">
        <v>752</v>
      </c>
      <c r="F357" t="s">
        <v>17</v>
      </c>
      <c r="G357" t="s">
        <v>94</v>
      </c>
      <c r="H357" t="s">
        <v>19</v>
      </c>
      <c r="I357" t="s">
        <v>95</v>
      </c>
      <c r="J357" t="s">
        <v>21</v>
      </c>
      <c r="K357" t="s">
        <v>73</v>
      </c>
      <c r="L357">
        <v>5750</v>
      </c>
      <c r="M357" t="s">
        <v>23</v>
      </c>
    </row>
    <row r="358" spans="1:13" x14ac:dyDescent="0.35">
      <c r="A358" t="s">
        <v>1284</v>
      </c>
      <c r="B358" t="s">
        <v>14</v>
      </c>
      <c r="C358">
        <v>389099</v>
      </c>
      <c r="D358" t="s">
        <v>15</v>
      </c>
      <c r="E358" t="s">
        <v>1285</v>
      </c>
      <c r="F358" t="s">
        <v>17</v>
      </c>
      <c r="G358" t="s">
        <v>1286</v>
      </c>
      <c r="H358" t="s">
        <v>19</v>
      </c>
      <c r="I358" t="s">
        <v>1287</v>
      </c>
      <c r="J358" t="s">
        <v>21</v>
      </c>
      <c r="K358" t="s">
        <v>73</v>
      </c>
      <c r="L358">
        <v>8060</v>
      </c>
      <c r="M358" t="s">
        <v>23</v>
      </c>
    </row>
    <row r="359" spans="1:13" x14ac:dyDescent="0.35">
      <c r="A359" t="s">
        <v>1288</v>
      </c>
      <c r="B359" t="s">
        <v>14</v>
      </c>
      <c r="C359">
        <v>389100</v>
      </c>
      <c r="D359" t="s">
        <v>15</v>
      </c>
      <c r="E359" t="s">
        <v>1289</v>
      </c>
      <c r="F359" t="s">
        <v>17</v>
      </c>
      <c r="G359" t="s">
        <v>196</v>
      </c>
      <c r="H359" t="s">
        <v>19</v>
      </c>
      <c r="I359" t="s">
        <v>197</v>
      </c>
      <c r="J359" t="s">
        <v>21</v>
      </c>
      <c r="K359" t="s">
        <v>73</v>
      </c>
      <c r="L359">
        <v>5747</v>
      </c>
      <c r="M359" t="s">
        <v>23</v>
      </c>
    </row>
    <row r="360" spans="1:13" x14ac:dyDescent="0.35">
      <c r="A360" t="s">
        <v>1406</v>
      </c>
      <c r="B360" t="s">
        <v>14</v>
      </c>
      <c r="C360">
        <v>392445</v>
      </c>
      <c r="D360" t="s">
        <v>15</v>
      </c>
      <c r="E360" t="s">
        <v>1407</v>
      </c>
      <c r="F360" t="s">
        <v>17</v>
      </c>
      <c r="G360" t="s">
        <v>1408</v>
      </c>
      <c r="H360" t="s">
        <v>19</v>
      </c>
      <c r="I360" t="s">
        <v>1409</v>
      </c>
      <c r="J360" t="s">
        <v>21</v>
      </c>
      <c r="K360" t="s">
        <v>73</v>
      </c>
      <c r="L360">
        <v>5749</v>
      </c>
      <c r="M360" t="s">
        <v>23</v>
      </c>
    </row>
    <row r="361" spans="1:13" x14ac:dyDescent="0.35">
      <c r="A361">
        <v>0</v>
      </c>
      <c r="B361" t="s">
        <v>14</v>
      </c>
      <c r="C361">
        <v>396669</v>
      </c>
      <c r="D361" t="s">
        <v>15</v>
      </c>
      <c r="E361" t="s">
        <v>1517</v>
      </c>
      <c r="F361" t="s">
        <v>17</v>
      </c>
      <c r="G361" t="s">
        <v>110</v>
      </c>
      <c r="H361" t="s">
        <v>19</v>
      </c>
      <c r="I361" t="s">
        <v>111</v>
      </c>
      <c r="J361" t="s">
        <v>21</v>
      </c>
      <c r="K361" t="s">
        <v>73</v>
      </c>
      <c r="L361">
        <v>5742</v>
      </c>
      <c r="M361" t="s">
        <v>23</v>
      </c>
    </row>
    <row r="362" spans="1:13" x14ac:dyDescent="0.35">
      <c r="A362" t="s">
        <v>1515</v>
      </c>
      <c r="B362" t="s">
        <v>14</v>
      </c>
      <c r="C362">
        <v>400435</v>
      </c>
      <c r="D362" t="s">
        <v>15</v>
      </c>
      <c r="E362" t="s">
        <v>1579</v>
      </c>
      <c r="F362" t="s">
        <v>17</v>
      </c>
      <c r="G362" t="s">
        <v>192</v>
      </c>
      <c r="H362" t="s">
        <v>19</v>
      </c>
      <c r="I362" t="s">
        <v>193</v>
      </c>
      <c r="J362" t="s">
        <v>21</v>
      </c>
      <c r="K362" t="s">
        <v>73</v>
      </c>
      <c r="L362">
        <v>8059</v>
      </c>
      <c r="M362" t="s">
        <v>23</v>
      </c>
    </row>
    <row r="363" spans="1:13" x14ac:dyDescent="0.35">
      <c r="A363" t="s">
        <v>1515</v>
      </c>
      <c r="B363" t="s">
        <v>14</v>
      </c>
      <c r="C363">
        <v>400436</v>
      </c>
      <c r="D363" t="s">
        <v>15</v>
      </c>
      <c r="E363" t="s">
        <v>1580</v>
      </c>
      <c r="F363" t="s">
        <v>17</v>
      </c>
      <c r="G363" t="s">
        <v>270</v>
      </c>
      <c r="H363" t="s">
        <v>19</v>
      </c>
      <c r="I363" t="s">
        <v>271</v>
      </c>
      <c r="J363" t="s">
        <v>21</v>
      </c>
      <c r="K363" t="s">
        <v>73</v>
      </c>
      <c r="L363">
        <v>7054</v>
      </c>
      <c r="M363" t="s">
        <v>23</v>
      </c>
    </row>
    <row r="364" spans="1:13" x14ac:dyDescent="0.35">
      <c r="A364" t="s">
        <v>1515</v>
      </c>
      <c r="B364" t="s">
        <v>14</v>
      </c>
      <c r="C364">
        <v>400456</v>
      </c>
      <c r="D364" t="s">
        <v>15</v>
      </c>
      <c r="E364" t="s">
        <v>1584</v>
      </c>
      <c r="F364" t="s">
        <v>17</v>
      </c>
      <c r="G364" t="s">
        <v>1286</v>
      </c>
      <c r="H364" t="s">
        <v>19</v>
      </c>
      <c r="I364" t="s">
        <v>1287</v>
      </c>
      <c r="J364" t="s">
        <v>21</v>
      </c>
      <c r="K364" t="s">
        <v>73</v>
      </c>
      <c r="L364">
        <v>8060</v>
      </c>
      <c r="M364" t="s">
        <v>23</v>
      </c>
    </row>
    <row r="365" spans="1:13" x14ac:dyDescent="0.35">
      <c r="A365" t="s">
        <v>537</v>
      </c>
      <c r="B365" t="s">
        <v>317</v>
      </c>
      <c r="C365">
        <v>360222</v>
      </c>
      <c r="D365" t="s">
        <v>15</v>
      </c>
      <c r="E365" t="s">
        <v>538</v>
      </c>
      <c r="F365" t="s">
        <v>319</v>
      </c>
      <c r="G365" t="s">
        <v>188</v>
      </c>
      <c r="H365" t="s">
        <v>19</v>
      </c>
      <c r="I365" t="s">
        <v>189</v>
      </c>
      <c r="J365" t="s">
        <v>21</v>
      </c>
      <c r="K365" t="s">
        <v>73</v>
      </c>
      <c r="L365">
        <v>5740</v>
      </c>
      <c r="M365" t="s">
        <v>23</v>
      </c>
    </row>
    <row r="366" spans="1:13" x14ac:dyDescent="0.35">
      <c r="A366" t="s">
        <v>878</v>
      </c>
      <c r="B366" t="s">
        <v>317</v>
      </c>
      <c r="C366">
        <v>376695</v>
      </c>
      <c r="D366" t="s">
        <v>15</v>
      </c>
      <c r="E366" t="s">
        <v>879</v>
      </c>
      <c r="F366" t="s">
        <v>319</v>
      </c>
      <c r="G366" t="s">
        <v>442</v>
      </c>
      <c r="H366" t="s">
        <v>19</v>
      </c>
      <c r="I366" t="s">
        <v>443</v>
      </c>
      <c r="J366" t="s">
        <v>21</v>
      </c>
      <c r="K366" t="s">
        <v>73</v>
      </c>
      <c r="L366">
        <v>5743</v>
      </c>
      <c r="M366" t="s">
        <v>673</v>
      </c>
    </row>
    <row r="367" spans="1:13" x14ac:dyDescent="0.35">
      <c r="A367" t="s">
        <v>880</v>
      </c>
      <c r="B367" t="s">
        <v>317</v>
      </c>
      <c r="C367">
        <v>376698</v>
      </c>
      <c r="D367" t="s">
        <v>15</v>
      </c>
      <c r="E367" t="s">
        <v>881</v>
      </c>
      <c r="F367" t="s">
        <v>319</v>
      </c>
      <c r="G367" t="s">
        <v>196</v>
      </c>
      <c r="H367" t="s">
        <v>19</v>
      </c>
      <c r="I367" t="s">
        <v>197</v>
      </c>
      <c r="J367" t="s">
        <v>21</v>
      </c>
      <c r="K367" t="s">
        <v>73</v>
      </c>
      <c r="L367">
        <v>5747</v>
      </c>
      <c r="M367" t="s">
        <v>673</v>
      </c>
    </row>
    <row r="368" spans="1:13" x14ac:dyDescent="0.35">
      <c r="A368" t="s">
        <v>1009</v>
      </c>
      <c r="B368" t="s">
        <v>317</v>
      </c>
      <c r="C368">
        <v>380702</v>
      </c>
      <c r="D368" t="s">
        <v>15</v>
      </c>
      <c r="E368" t="s">
        <v>1010</v>
      </c>
      <c r="F368" t="s">
        <v>319</v>
      </c>
      <c r="G368" t="s">
        <v>270</v>
      </c>
      <c r="H368" t="s">
        <v>19</v>
      </c>
      <c r="I368" t="s">
        <v>271</v>
      </c>
      <c r="J368" t="s">
        <v>21</v>
      </c>
      <c r="K368" t="s">
        <v>73</v>
      </c>
      <c r="L368">
        <v>7054</v>
      </c>
      <c r="M368" t="s">
        <v>673</v>
      </c>
    </row>
    <row r="369" spans="1:13" x14ac:dyDescent="0.35">
      <c r="A369" t="s">
        <v>1085</v>
      </c>
      <c r="B369" t="s">
        <v>317</v>
      </c>
      <c r="C369">
        <v>382659</v>
      </c>
      <c r="D369" t="s">
        <v>15</v>
      </c>
      <c r="E369" t="s">
        <v>1086</v>
      </c>
      <c r="F369" t="s">
        <v>319</v>
      </c>
      <c r="G369" t="s">
        <v>94</v>
      </c>
      <c r="H369" t="s">
        <v>19</v>
      </c>
      <c r="I369" t="s">
        <v>95</v>
      </c>
      <c r="J369" t="s">
        <v>21</v>
      </c>
      <c r="K369" t="s">
        <v>73</v>
      </c>
      <c r="L369">
        <v>5750</v>
      </c>
      <c r="M369" t="s">
        <v>673</v>
      </c>
    </row>
    <row r="370" spans="1:13" x14ac:dyDescent="0.35">
      <c r="A370" t="s">
        <v>1108</v>
      </c>
      <c r="B370" t="s">
        <v>317</v>
      </c>
      <c r="C370">
        <v>384012</v>
      </c>
      <c r="D370" t="s">
        <v>15</v>
      </c>
      <c r="E370" t="s">
        <v>1109</v>
      </c>
      <c r="F370" t="s">
        <v>319</v>
      </c>
      <c r="G370" t="s">
        <v>192</v>
      </c>
      <c r="H370" t="s">
        <v>19</v>
      </c>
      <c r="I370" t="s">
        <v>193</v>
      </c>
      <c r="J370" t="s">
        <v>21</v>
      </c>
      <c r="K370" t="s">
        <v>73</v>
      </c>
      <c r="L370">
        <v>8059</v>
      </c>
      <c r="M370" t="s">
        <v>673</v>
      </c>
    </row>
    <row r="371" spans="1:13" x14ac:dyDescent="0.35">
      <c r="A371" t="s">
        <v>1120</v>
      </c>
      <c r="B371" t="s">
        <v>317</v>
      </c>
      <c r="C371">
        <v>384475</v>
      </c>
      <c r="D371" t="s">
        <v>15</v>
      </c>
      <c r="E371" t="s">
        <v>1121</v>
      </c>
      <c r="F371" t="s">
        <v>319</v>
      </c>
      <c r="G371" t="s">
        <v>71</v>
      </c>
      <c r="H371" t="s">
        <v>19</v>
      </c>
      <c r="I371" t="s">
        <v>72</v>
      </c>
      <c r="J371" t="s">
        <v>21</v>
      </c>
      <c r="K371" t="s">
        <v>73</v>
      </c>
      <c r="L371">
        <v>5762</v>
      </c>
      <c r="M371" t="s">
        <v>673</v>
      </c>
    </row>
    <row r="372" spans="1:13" x14ac:dyDescent="0.35">
      <c r="A372" t="s">
        <v>1290</v>
      </c>
      <c r="B372" t="s">
        <v>317</v>
      </c>
      <c r="C372">
        <v>389416</v>
      </c>
      <c r="D372" t="s">
        <v>15</v>
      </c>
      <c r="E372" t="s">
        <v>1291</v>
      </c>
      <c r="F372" t="s">
        <v>319</v>
      </c>
      <c r="G372" t="s">
        <v>1286</v>
      </c>
      <c r="H372" t="s">
        <v>19</v>
      </c>
      <c r="I372" t="s">
        <v>1287</v>
      </c>
      <c r="J372" t="s">
        <v>21</v>
      </c>
      <c r="K372" t="s">
        <v>73</v>
      </c>
      <c r="L372">
        <v>8060</v>
      </c>
      <c r="M372" t="s">
        <v>673</v>
      </c>
    </row>
    <row r="373" spans="1:13" x14ac:dyDescent="0.35">
      <c r="A373" t="s">
        <v>1293</v>
      </c>
      <c r="B373" t="s">
        <v>317</v>
      </c>
      <c r="C373">
        <v>389419</v>
      </c>
      <c r="D373" t="s">
        <v>15</v>
      </c>
      <c r="E373" t="s">
        <v>1294</v>
      </c>
      <c r="F373" t="s">
        <v>319</v>
      </c>
      <c r="G373" t="s">
        <v>559</v>
      </c>
      <c r="H373" t="s">
        <v>19</v>
      </c>
      <c r="I373" t="s">
        <v>560</v>
      </c>
      <c r="J373" t="s">
        <v>21</v>
      </c>
      <c r="K373" t="s">
        <v>73</v>
      </c>
      <c r="L373">
        <v>7751</v>
      </c>
      <c r="M373" t="s">
        <v>673</v>
      </c>
    </row>
    <row r="374" spans="1:13" x14ac:dyDescent="0.35">
      <c r="A374">
        <v>0</v>
      </c>
      <c r="B374" t="s">
        <v>317</v>
      </c>
      <c r="C374">
        <v>400454</v>
      </c>
      <c r="D374" t="s">
        <v>15</v>
      </c>
      <c r="E374" t="s">
        <v>1582</v>
      </c>
      <c r="F374" t="s">
        <v>319</v>
      </c>
      <c r="G374" t="s">
        <v>110</v>
      </c>
      <c r="H374" t="s">
        <v>19</v>
      </c>
      <c r="I374" t="s">
        <v>111</v>
      </c>
      <c r="J374" t="s">
        <v>21</v>
      </c>
      <c r="K374" t="s">
        <v>73</v>
      </c>
      <c r="L374">
        <v>5742</v>
      </c>
      <c r="M374" t="s">
        <v>673</v>
      </c>
    </row>
    <row r="375" spans="1:13" x14ac:dyDescent="0.35">
      <c r="A375">
        <v>0</v>
      </c>
      <c r="B375" t="s">
        <v>317</v>
      </c>
      <c r="C375">
        <v>402968</v>
      </c>
      <c r="D375" t="s">
        <v>15</v>
      </c>
      <c r="E375" t="s">
        <v>1655</v>
      </c>
      <c r="F375" t="s">
        <v>319</v>
      </c>
      <c r="G375" t="s">
        <v>266</v>
      </c>
      <c r="H375" t="s">
        <v>19</v>
      </c>
      <c r="I375" t="s">
        <v>267</v>
      </c>
      <c r="J375" t="s">
        <v>21</v>
      </c>
      <c r="K375" t="s">
        <v>73</v>
      </c>
      <c r="L375">
        <v>5758</v>
      </c>
      <c r="M375" t="s">
        <v>673</v>
      </c>
    </row>
    <row r="376" spans="1:13" x14ac:dyDescent="0.35">
      <c r="A376">
        <v>0</v>
      </c>
      <c r="B376" t="s">
        <v>317</v>
      </c>
      <c r="C376">
        <v>402971</v>
      </c>
      <c r="D376" t="s">
        <v>15</v>
      </c>
      <c r="E376" t="s">
        <v>1659</v>
      </c>
      <c r="F376" t="s">
        <v>319</v>
      </c>
      <c r="G376" t="s">
        <v>200</v>
      </c>
      <c r="H376" t="s">
        <v>19</v>
      </c>
      <c r="I376" t="s">
        <v>201</v>
      </c>
      <c r="J376" t="s">
        <v>21</v>
      </c>
      <c r="K376" t="s">
        <v>73</v>
      </c>
      <c r="L376">
        <v>5755</v>
      </c>
      <c r="M376" t="s">
        <v>673</v>
      </c>
    </row>
    <row r="377" spans="1:13" x14ac:dyDescent="0.35">
      <c r="A377">
        <v>0</v>
      </c>
      <c r="B377" t="s">
        <v>317</v>
      </c>
      <c r="C377">
        <v>402974</v>
      </c>
      <c r="D377" t="s">
        <v>15</v>
      </c>
      <c r="E377" t="s">
        <v>1661</v>
      </c>
      <c r="F377" t="s">
        <v>319</v>
      </c>
      <c r="G377" t="s">
        <v>1408</v>
      </c>
      <c r="H377" t="s">
        <v>19</v>
      </c>
      <c r="I377" t="s">
        <v>1409</v>
      </c>
      <c r="J377" t="s">
        <v>21</v>
      </c>
      <c r="K377" t="s">
        <v>73</v>
      </c>
      <c r="L377">
        <v>5749</v>
      </c>
      <c r="M377" t="s">
        <v>673</v>
      </c>
    </row>
    <row r="378" spans="1:13" x14ac:dyDescent="0.35">
      <c r="A378">
        <v>0</v>
      </c>
      <c r="B378" t="s">
        <v>317</v>
      </c>
      <c r="C378">
        <v>411842</v>
      </c>
      <c r="D378" t="s">
        <v>15</v>
      </c>
      <c r="E378" t="s">
        <v>1871</v>
      </c>
      <c r="F378" t="s">
        <v>319</v>
      </c>
      <c r="G378" t="s">
        <v>266</v>
      </c>
      <c r="H378" t="s">
        <v>19</v>
      </c>
      <c r="I378" t="s">
        <v>267</v>
      </c>
      <c r="J378" t="s">
        <v>21</v>
      </c>
      <c r="K378" t="s">
        <v>73</v>
      </c>
      <c r="L378">
        <v>5758</v>
      </c>
      <c r="M378" t="s">
        <v>673</v>
      </c>
    </row>
    <row r="379" spans="1:13" x14ac:dyDescent="0.35">
      <c r="A379">
        <v>0</v>
      </c>
      <c r="B379" t="s">
        <v>317</v>
      </c>
      <c r="C379">
        <v>411843</v>
      </c>
      <c r="D379" t="s">
        <v>15</v>
      </c>
      <c r="E379" t="s">
        <v>1872</v>
      </c>
      <c r="F379" t="s">
        <v>319</v>
      </c>
      <c r="G379" t="s">
        <v>71</v>
      </c>
      <c r="H379" t="s">
        <v>19</v>
      </c>
      <c r="I379" t="s">
        <v>72</v>
      </c>
      <c r="J379" t="s">
        <v>21</v>
      </c>
      <c r="K379" t="s">
        <v>73</v>
      </c>
      <c r="L379">
        <v>5762</v>
      </c>
      <c r="M379" t="s">
        <v>673</v>
      </c>
    </row>
    <row r="380" spans="1:13" x14ac:dyDescent="0.35">
      <c r="A380">
        <v>0</v>
      </c>
      <c r="B380" t="s">
        <v>317</v>
      </c>
      <c r="C380">
        <v>411846</v>
      </c>
      <c r="D380" t="s">
        <v>15</v>
      </c>
      <c r="E380" t="s">
        <v>1873</v>
      </c>
      <c r="F380" t="s">
        <v>319</v>
      </c>
      <c r="G380" t="s">
        <v>196</v>
      </c>
      <c r="H380" t="s">
        <v>19</v>
      </c>
      <c r="I380" t="s">
        <v>197</v>
      </c>
      <c r="J380" t="s">
        <v>21</v>
      </c>
      <c r="K380" t="s">
        <v>73</v>
      </c>
      <c r="L380">
        <v>5747</v>
      </c>
      <c r="M380" t="s">
        <v>673</v>
      </c>
    </row>
    <row r="381" spans="1:13" x14ac:dyDescent="0.35">
      <c r="A381">
        <v>0</v>
      </c>
      <c r="B381" t="s">
        <v>317</v>
      </c>
      <c r="C381">
        <v>411848</v>
      </c>
      <c r="D381" t="s">
        <v>15</v>
      </c>
      <c r="E381" t="s">
        <v>1874</v>
      </c>
      <c r="F381" t="s">
        <v>319</v>
      </c>
      <c r="G381" t="s">
        <v>94</v>
      </c>
      <c r="H381" t="s">
        <v>19</v>
      </c>
      <c r="I381" t="s">
        <v>95</v>
      </c>
      <c r="J381" t="s">
        <v>21</v>
      </c>
      <c r="K381" t="s">
        <v>73</v>
      </c>
      <c r="L381">
        <v>5750</v>
      </c>
      <c r="M381" t="s">
        <v>673</v>
      </c>
    </row>
    <row r="382" spans="1:13" x14ac:dyDescent="0.35">
      <c r="A382" t="s">
        <v>115</v>
      </c>
      <c r="B382" t="s">
        <v>14</v>
      </c>
      <c r="C382">
        <v>328639</v>
      </c>
      <c r="D382" t="s">
        <v>15</v>
      </c>
      <c r="E382" t="s">
        <v>116</v>
      </c>
      <c r="F382" t="s">
        <v>17</v>
      </c>
      <c r="G382" t="s">
        <v>117</v>
      </c>
      <c r="H382" t="s">
        <v>19</v>
      </c>
      <c r="I382" t="s">
        <v>118</v>
      </c>
      <c r="J382" t="s">
        <v>21</v>
      </c>
      <c r="K382" t="s">
        <v>57</v>
      </c>
      <c r="L382">
        <v>5753</v>
      </c>
      <c r="M382" t="s">
        <v>23</v>
      </c>
    </row>
    <row r="383" spans="1:13" x14ac:dyDescent="0.35">
      <c r="A383" t="s">
        <v>179</v>
      </c>
      <c r="B383" t="s">
        <v>14</v>
      </c>
      <c r="C383">
        <v>334928</v>
      </c>
      <c r="D383" t="s">
        <v>15</v>
      </c>
      <c r="E383" t="s">
        <v>180</v>
      </c>
      <c r="F383" t="s">
        <v>17</v>
      </c>
      <c r="G383" t="s">
        <v>181</v>
      </c>
      <c r="H383" t="s">
        <v>19</v>
      </c>
      <c r="I383" t="s">
        <v>182</v>
      </c>
      <c r="J383" t="s">
        <v>21</v>
      </c>
      <c r="K383" t="s">
        <v>57</v>
      </c>
      <c r="L383">
        <v>5763</v>
      </c>
      <c r="M383" t="s">
        <v>23</v>
      </c>
    </row>
    <row r="384" spans="1:13" x14ac:dyDescent="0.35">
      <c r="A384" t="s">
        <v>283</v>
      </c>
      <c r="B384" t="s">
        <v>14</v>
      </c>
      <c r="C384">
        <v>339993</v>
      </c>
      <c r="D384" t="s">
        <v>15</v>
      </c>
      <c r="E384" t="s">
        <v>284</v>
      </c>
      <c r="F384" t="s">
        <v>17</v>
      </c>
      <c r="G384" t="s">
        <v>285</v>
      </c>
      <c r="H384" t="s">
        <v>19</v>
      </c>
      <c r="I384" t="s">
        <v>286</v>
      </c>
      <c r="J384" t="s">
        <v>21</v>
      </c>
      <c r="K384" t="s">
        <v>57</v>
      </c>
      <c r="L384">
        <v>5746</v>
      </c>
      <c r="M384" t="s">
        <v>23</v>
      </c>
    </row>
    <row r="385" spans="1:13" x14ac:dyDescent="0.35">
      <c r="A385" t="s">
        <v>287</v>
      </c>
      <c r="B385" t="s">
        <v>14</v>
      </c>
      <c r="C385">
        <v>339994</v>
      </c>
      <c r="D385" t="s">
        <v>15</v>
      </c>
      <c r="E385" t="s">
        <v>288</v>
      </c>
      <c r="F385" t="s">
        <v>17</v>
      </c>
      <c r="G385" t="s">
        <v>117</v>
      </c>
      <c r="H385" t="s">
        <v>19</v>
      </c>
      <c r="I385" t="s">
        <v>118</v>
      </c>
      <c r="J385" t="s">
        <v>21</v>
      </c>
      <c r="K385" t="s">
        <v>57</v>
      </c>
      <c r="L385">
        <v>5753</v>
      </c>
      <c r="M385" t="s">
        <v>23</v>
      </c>
    </row>
    <row r="386" spans="1:13" x14ac:dyDescent="0.35">
      <c r="A386" t="s">
        <v>342</v>
      </c>
      <c r="B386" t="s">
        <v>14</v>
      </c>
      <c r="C386">
        <v>344832</v>
      </c>
      <c r="D386" t="s">
        <v>15</v>
      </c>
      <c r="E386" t="s">
        <v>343</v>
      </c>
      <c r="F386" t="s">
        <v>17</v>
      </c>
      <c r="G386" t="s">
        <v>344</v>
      </c>
      <c r="H386" t="s">
        <v>19</v>
      </c>
      <c r="I386" t="s">
        <v>345</v>
      </c>
      <c r="J386" t="s">
        <v>21</v>
      </c>
      <c r="K386" t="s">
        <v>57</v>
      </c>
      <c r="L386">
        <v>5745</v>
      </c>
      <c r="M386" t="s">
        <v>23</v>
      </c>
    </row>
    <row r="387" spans="1:13" x14ac:dyDescent="0.35">
      <c r="A387" t="s">
        <v>385</v>
      </c>
      <c r="B387" t="s">
        <v>14</v>
      </c>
      <c r="C387">
        <v>347830</v>
      </c>
      <c r="D387" t="s">
        <v>15</v>
      </c>
      <c r="E387" t="s">
        <v>386</v>
      </c>
      <c r="F387" t="s">
        <v>17</v>
      </c>
      <c r="G387" t="s">
        <v>387</v>
      </c>
      <c r="H387" t="s">
        <v>19</v>
      </c>
      <c r="I387" t="s">
        <v>388</v>
      </c>
      <c r="J387" t="s">
        <v>21</v>
      </c>
      <c r="K387" t="s">
        <v>57</v>
      </c>
      <c r="L387">
        <v>7975</v>
      </c>
      <c r="M387" t="s">
        <v>23</v>
      </c>
    </row>
    <row r="388" spans="1:13" x14ac:dyDescent="0.35">
      <c r="A388" t="s">
        <v>429</v>
      </c>
      <c r="B388" t="s">
        <v>14</v>
      </c>
      <c r="C388">
        <v>350359</v>
      </c>
      <c r="D388" t="s">
        <v>15</v>
      </c>
      <c r="E388" t="s">
        <v>430</v>
      </c>
      <c r="F388" t="s">
        <v>17</v>
      </c>
      <c r="G388" t="s">
        <v>431</v>
      </c>
      <c r="H388" t="s">
        <v>19</v>
      </c>
      <c r="I388" t="s">
        <v>432</v>
      </c>
      <c r="J388" t="s">
        <v>21</v>
      </c>
      <c r="K388" t="s">
        <v>57</v>
      </c>
      <c r="L388">
        <v>7770</v>
      </c>
      <c r="M388" t="s">
        <v>23</v>
      </c>
    </row>
    <row r="389" spans="1:13" x14ac:dyDescent="0.35">
      <c r="A389" t="s">
        <v>462</v>
      </c>
      <c r="B389" t="s">
        <v>14</v>
      </c>
      <c r="C389">
        <v>354684</v>
      </c>
      <c r="D389" t="s">
        <v>15</v>
      </c>
      <c r="E389" t="s">
        <v>463</v>
      </c>
      <c r="F389" t="s">
        <v>17</v>
      </c>
      <c r="G389" t="s">
        <v>464</v>
      </c>
      <c r="H389" t="s">
        <v>19</v>
      </c>
      <c r="I389" t="s">
        <v>465</v>
      </c>
      <c r="J389" t="s">
        <v>21</v>
      </c>
      <c r="K389" t="s">
        <v>57</v>
      </c>
      <c r="L389">
        <v>5739</v>
      </c>
      <c r="M389" t="s">
        <v>23</v>
      </c>
    </row>
    <row r="390" spans="1:13" x14ac:dyDescent="0.35">
      <c r="A390" t="s">
        <v>610</v>
      </c>
      <c r="B390" t="s">
        <v>14</v>
      </c>
      <c r="C390">
        <v>367389</v>
      </c>
      <c r="D390" t="s">
        <v>15</v>
      </c>
      <c r="E390" t="s">
        <v>611</v>
      </c>
      <c r="F390" t="s">
        <v>17</v>
      </c>
      <c r="G390" t="s">
        <v>387</v>
      </c>
      <c r="H390" t="s">
        <v>19</v>
      </c>
      <c r="I390" t="s">
        <v>388</v>
      </c>
      <c r="J390" t="s">
        <v>21</v>
      </c>
      <c r="K390" t="s">
        <v>57</v>
      </c>
      <c r="L390">
        <v>7975</v>
      </c>
      <c r="M390" t="s">
        <v>23</v>
      </c>
    </row>
    <row r="391" spans="1:13" x14ac:dyDescent="0.35">
      <c r="A391" t="s">
        <v>616</v>
      </c>
      <c r="B391" t="s">
        <v>14</v>
      </c>
      <c r="C391">
        <v>368056</v>
      </c>
      <c r="D391" t="s">
        <v>15</v>
      </c>
      <c r="E391" t="s">
        <v>617</v>
      </c>
      <c r="F391" t="s">
        <v>17</v>
      </c>
      <c r="G391" t="s">
        <v>618</v>
      </c>
      <c r="H391" t="s">
        <v>19</v>
      </c>
      <c r="I391" t="s">
        <v>619</v>
      </c>
      <c r="J391" t="s">
        <v>21</v>
      </c>
      <c r="K391" t="s">
        <v>57</v>
      </c>
      <c r="L391">
        <v>5761</v>
      </c>
      <c r="M391" t="s">
        <v>23</v>
      </c>
    </row>
    <row r="392" spans="1:13" x14ac:dyDescent="0.35">
      <c r="A392" t="s">
        <v>620</v>
      </c>
      <c r="B392" t="s">
        <v>14</v>
      </c>
      <c r="C392">
        <v>368070</v>
      </c>
      <c r="D392" t="s">
        <v>15</v>
      </c>
      <c r="E392" t="s">
        <v>621</v>
      </c>
      <c r="F392" t="s">
        <v>17</v>
      </c>
      <c r="G392" t="s">
        <v>618</v>
      </c>
      <c r="H392" t="s">
        <v>19</v>
      </c>
      <c r="I392" t="s">
        <v>619</v>
      </c>
      <c r="J392" t="s">
        <v>21</v>
      </c>
      <c r="K392" t="s">
        <v>57</v>
      </c>
      <c r="L392">
        <v>5761</v>
      </c>
      <c r="M392" t="s">
        <v>23</v>
      </c>
    </row>
    <row r="393" spans="1:13" x14ac:dyDescent="0.35">
      <c r="A393" t="s">
        <v>674</v>
      </c>
      <c r="B393" t="s">
        <v>14</v>
      </c>
      <c r="C393">
        <v>371428</v>
      </c>
      <c r="D393" t="s">
        <v>15</v>
      </c>
      <c r="E393" t="s">
        <v>675</v>
      </c>
      <c r="F393" t="s">
        <v>17</v>
      </c>
      <c r="G393" t="s">
        <v>676</v>
      </c>
      <c r="H393" t="s">
        <v>19</v>
      </c>
      <c r="I393" t="s">
        <v>677</v>
      </c>
      <c r="J393" t="s">
        <v>21</v>
      </c>
      <c r="K393" t="s">
        <v>57</v>
      </c>
      <c r="L393">
        <v>5757</v>
      </c>
      <c r="M393" t="s">
        <v>23</v>
      </c>
    </row>
    <row r="394" spans="1:13" x14ac:dyDescent="0.35">
      <c r="A394" t="s">
        <v>681</v>
      </c>
      <c r="B394" t="s">
        <v>14</v>
      </c>
      <c r="C394">
        <v>371475</v>
      </c>
      <c r="D394" t="s">
        <v>15</v>
      </c>
      <c r="E394" t="s">
        <v>682</v>
      </c>
      <c r="F394" t="s">
        <v>17</v>
      </c>
      <c r="G394" t="s">
        <v>431</v>
      </c>
      <c r="H394" t="s">
        <v>19</v>
      </c>
      <c r="I394" t="s">
        <v>432</v>
      </c>
      <c r="J394" t="s">
        <v>21</v>
      </c>
      <c r="K394" t="s">
        <v>57</v>
      </c>
      <c r="L394">
        <v>7770</v>
      </c>
      <c r="M394" t="s">
        <v>23</v>
      </c>
    </row>
    <row r="395" spans="1:13" x14ac:dyDescent="0.35">
      <c r="A395" t="s">
        <v>738</v>
      </c>
      <c r="B395" t="s">
        <v>14</v>
      </c>
      <c r="C395">
        <v>373715</v>
      </c>
      <c r="D395" t="s">
        <v>15</v>
      </c>
      <c r="E395" t="s">
        <v>739</v>
      </c>
      <c r="F395" t="s">
        <v>17</v>
      </c>
      <c r="G395" t="s">
        <v>740</v>
      </c>
      <c r="H395" t="s">
        <v>19</v>
      </c>
      <c r="I395" t="s">
        <v>741</v>
      </c>
      <c r="J395" t="s">
        <v>21</v>
      </c>
      <c r="K395" t="s">
        <v>57</v>
      </c>
      <c r="L395">
        <v>5788</v>
      </c>
      <c r="M395" t="s">
        <v>23</v>
      </c>
    </row>
    <row r="396" spans="1:13" x14ac:dyDescent="0.35">
      <c r="A396" t="s">
        <v>863</v>
      </c>
      <c r="B396" t="s">
        <v>14</v>
      </c>
      <c r="C396">
        <v>376284</v>
      </c>
      <c r="D396" t="s">
        <v>15</v>
      </c>
      <c r="E396" t="s">
        <v>864</v>
      </c>
      <c r="F396" t="s">
        <v>17</v>
      </c>
      <c r="G396" t="s">
        <v>464</v>
      </c>
      <c r="H396" t="s">
        <v>19</v>
      </c>
      <c r="I396" t="s">
        <v>465</v>
      </c>
      <c r="J396" t="s">
        <v>21</v>
      </c>
      <c r="K396" t="s">
        <v>57</v>
      </c>
      <c r="L396">
        <v>5739</v>
      </c>
      <c r="M396" t="s">
        <v>23</v>
      </c>
    </row>
    <row r="397" spans="1:13" x14ac:dyDescent="0.35">
      <c r="A397" t="s">
        <v>865</v>
      </c>
      <c r="B397" t="s">
        <v>14</v>
      </c>
      <c r="C397">
        <v>376294</v>
      </c>
      <c r="D397" t="s">
        <v>15</v>
      </c>
      <c r="E397" t="s">
        <v>866</v>
      </c>
      <c r="F397" t="s">
        <v>17</v>
      </c>
      <c r="G397" t="s">
        <v>867</v>
      </c>
      <c r="H397" t="s">
        <v>19</v>
      </c>
      <c r="I397" t="s">
        <v>868</v>
      </c>
      <c r="J397" t="s">
        <v>21</v>
      </c>
      <c r="K397" t="s">
        <v>57</v>
      </c>
      <c r="L397">
        <v>3396</v>
      </c>
      <c r="M397" t="s">
        <v>23</v>
      </c>
    </row>
    <row r="398" spans="1:13" x14ac:dyDescent="0.35">
      <c r="A398" t="s">
        <v>1040</v>
      </c>
      <c r="B398" t="s">
        <v>14</v>
      </c>
      <c r="C398">
        <v>381265</v>
      </c>
      <c r="D398" t="s">
        <v>15</v>
      </c>
      <c r="E398" t="s">
        <v>1041</v>
      </c>
      <c r="F398" t="s">
        <v>17</v>
      </c>
      <c r="G398" t="s">
        <v>676</v>
      </c>
      <c r="H398" t="s">
        <v>19</v>
      </c>
      <c r="I398" t="s">
        <v>677</v>
      </c>
      <c r="J398" t="s">
        <v>21</v>
      </c>
      <c r="K398" t="s">
        <v>57</v>
      </c>
      <c r="L398">
        <v>5757</v>
      </c>
      <c r="M398" t="s">
        <v>23</v>
      </c>
    </row>
    <row r="399" spans="1:13" x14ac:dyDescent="0.35">
      <c r="A399" t="s">
        <v>1098</v>
      </c>
      <c r="B399" t="s">
        <v>14</v>
      </c>
      <c r="C399">
        <v>382945</v>
      </c>
      <c r="D399" t="s">
        <v>15</v>
      </c>
      <c r="E399" t="s">
        <v>1099</v>
      </c>
      <c r="F399" t="s">
        <v>17</v>
      </c>
      <c r="G399" t="s">
        <v>740</v>
      </c>
      <c r="H399" t="s">
        <v>19</v>
      </c>
      <c r="I399" t="s">
        <v>741</v>
      </c>
      <c r="J399" t="s">
        <v>21</v>
      </c>
      <c r="K399" t="s">
        <v>57</v>
      </c>
      <c r="L399">
        <v>5788</v>
      </c>
      <c r="M399" t="s">
        <v>23</v>
      </c>
    </row>
    <row r="400" spans="1:13" x14ac:dyDescent="0.35">
      <c r="A400" t="s">
        <v>1100</v>
      </c>
      <c r="B400" t="s">
        <v>14</v>
      </c>
      <c r="C400">
        <v>382946</v>
      </c>
      <c r="D400" t="s">
        <v>15</v>
      </c>
      <c r="E400" t="s">
        <v>1101</v>
      </c>
      <c r="F400" t="s">
        <v>17</v>
      </c>
      <c r="G400" t="s">
        <v>867</v>
      </c>
      <c r="H400" t="s">
        <v>19</v>
      </c>
      <c r="I400" t="s">
        <v>868</v>
      </c>
      <c r="J400" t="s">
        <v>21</v>
      </c>
      <c r="K400" t="s">
        <v>57</v>
      </c>
      <c r="L400">
        <v>3396</v>
      </c>
      <c r="M400" t="s">
        <v>23</v>
      </c>
    </row>
    <row r="401" spans="1:13" x14ac:dyDescent="0.35">
      <c r="A401">
        <v>0</v>
      </c>
      <c r="B401" t="s">
        <v>14</v>
      </c>
      <c r="C401">
        <v>396866</v>
      </c>
      <c r="D401" t="s">
        <v>15</v>
      </c>
      <c r="E401" t="s">
        <v>1527</v>
      </c>
      <c r="F401" t="s">
        <v>17</v>
      </c>
      <c r="G401" t="s">
        <v>181</v>
      </c>
      <c r="H401" t="s">
        <v>19</v>
      </c>
      <c r="I401" t="s">
        <v>182</v>
      </c>
      <c r="J401" t="s">
        <v>21</v>
      </c>
      <c r="K401" t="s">
        <v>57</v>
      </c>
      <c r="L401">
        <v>5763</v>
      </c>
      <c r="M401" t="s">
        <v>23</v>
      </c>
    </row>
    <row r="402" spans="1:13" x14ac:dyDescent="0.35">
      <c r="A402" t="s">
        <v>1515</v>
      </c>
      <c r="B402" t="s">
        <v>14</v>
      </c>
      <c r="C402">
        <v>405524</v>
      </c>
      <c r="D402" t="s">
        <v>15</v>
      </c>
      <c r="E402" t="s">
        <v>1736</v>
      </c>
      <c r="F402" t="s">
        <v>17</v>
      </c>
      <c r="G402" t="s">
        <v>1737</v>
      </c>
      <c r="H402" t="s">
        <v>19</v>
      </c>
      <c r="I402" t="s">
        <v>1738</v>
      </c>
      <c r="J402" t="s">
        <v>21</v>
      </c>
      <c r="K402" t="s">
        <v>57</v>
      </c>
      <c r="L402">
        <v>5756</v>
      </c>
      <c r="M402" t="s">
        <v>23</v>
      </c>
    </row>
    <row r="403" spans="1:13" x14ac:dyDescent="0.35">
      <c r="A403" t="s">
        <v>1515</v>
      </c>
      <c r="B403" t="s">
        <v>14</v>
      </c>
      <c r="C403">
        <v>406385</v>
      </c>
      <c r="D403" t="s">
        <v>15</v>
      </c>
      <c r="E403" t="s">
        <v>1760</v>
      </c>
      <c r="F403" t="s">
        <v>17</v>
      </c>
      <c r="G403" t="s">
        <v>285</v>
      </c>
      <c r="H403" t="s">
        <v>19</v>
      </c>
      <c r="I403" t="s">
        <v>286</v>
      </c>
      <c r="J403" t="s">
        <v>21</v>
      </c>
      <c r="K403" t="s">
        <v>57</v>
      </c>
      <c r="L403">
        <v>5746</v>
      </c>
      <c r="M403" t="s">
        <v>23</v>
      </c>
    </row>
    <row r="404" spans="1:13" x14ac:dyDescent="0.35">
      <c r="A404">
        <v>0</v>
      </c>
      <c r="B404" t="s">
        <v>14</v>
      </c>
      <c r="C404">
        <v>409382</v>
      </c>
      <c r="D404" t="s">
        <v>15</v>
      </c>
      <c r="E404" t="s">
        <v>1837</v>
      </c>
      <c r="F404" t="s">
        <v>17</v>
      </c>
      <c r="G404" t="s">
        <v>344</v>
      </c>
      <c r="H404" t="s">
        <v>19</v>
      </c>
      <c r="I404" t="s">
        <v>345</v>
      </c>
      <c r="J404" t="s">
        <v>21</v>
      </c>
      <c r="K404" t="s">
        <v>57</v>
      </c>
      <c r="L404">
        <v>5745</v>
      </c>
      <c r="M404" t="s">
        <v>23</v>
      </c>
    </row>
    <row r="405" spans="1:13" x14ac:dyDescent="0.35">
      <c r="A405">
        <v>0</v>
      </c>
      <c r="B405" t="s">
        <v>14</v>
      </c>
      <c r="C405">
        <v>409383</v>
      </c>
      <c r="D405" t="s">
        <v>15</v>
      </c>
      <c r="E405" t="s">
        <v>1838</v>
      </c>
      <c r="F405" t="s">
        <v>17</v>
      </c>
      <c r="G405" t="s">
        <v>1737</v>
      </c>
      <c r="H405" t="s">
        <v>19</v>
      </c>
      <c r="I405" t="s">
        <v>1738</v>
      </c>
      <c r="J405" t="s">
        <v>21</v>
      </c>
      <c r="K405" t="s">
        <v>57</v>
      </c>
      <c r="L405">
        <v>5756</v>
      </c>
      <c r="M405" t="s">
        <v>23</v>
      </c>
    </row>
    <row r="406" spans="1:13" x14ac:dyDescent="0.35">
      <c r="A406" t="s">
        <v>917</v>
      </c>
      <c r="B406" t="s">
        <v>317</v>
      </c>
      <c r="C406">
        <v>377396</v>
      </c>
      <c r="D406" t="s">
        <v>15</v>
      </c>
      <c r="E406" t="s">
        <v>918</v>
      </c>
      <c r="F406" t="s">
        <v>319</v>
      </c>
      <c r="G406" t="s">
        <v>344</v>
      </c>
      <c r="H406" t="s">
        <v>19</v>
      </c>
      <c r="I406" t="s">
        <v>345</v>
      </c>
      <c r="J406" t="s">
        <v>21</v>
      </c>
      <c r="K406" t="s">
        <v>57</v>
      </c>
      <c r="L406">
        <v>5745</v>
      </c>
      <c r="M406" t="s">
        <v>673</v>
      </c>
    </row>
    <row r="407" spans="1:13" x14ac:dyDescent="0.35">
      <c r="A407" t="s">
        <v>1092</v>
      </c>
      <c r="B407" t="s">
        <v>317</v>
      </c>
      <c r="C407">
        <v>382812</v>
      </c>
      <c r="D407" t="s">
        <v>15</v>
      </c>
      <c r="E407" t="s">
        <v>1093</v>
      </c>
      <c r="F407" t="s">
        <v>319</v>
      </c>
      <c r="G407" t="s">
        <v>387</v>
      </c>
      <c r="H407" t="s">
        <v>19</v>
      </c>
      <c r="I407" t="s">
        <v>388</v>
      </c>
      <c r="J407" t="s">
        <v>21</v>
      </c>
      <c r="K407" t="s">
        <v>57</v>
      </c>
      <c r="L407">
        <v>7975</v>
      </c>
      <c r="M407" t="s">
        <v>673</v>
      </c>
    </row>
    <row r="408" spans="1:13" x14ac:dyDescent="0.35">
      <c r="A408" t="s">
        <v>1094</v>
      </c>
      <c r="B408" t="s">
        <v>317</v>
      </c>
      <c r="C408">
        <v>382943</v>
      </c>
      <c r="D408" t="s">
        <v>15</v>
      </c>
      <c r="E408" t="s">
        <v>1095</v>
      </c>
      <c r="F408" t="s">
        <v>319</v>
      </c>
      <c r="G408" t="s">
        <v>285</v>
      </c>
      <c r="H408" t="s">
        <v>19</v>
      </c>
      <c r="I408" t="s">
        <v>286</v>
      </c>
      <c r="J408" t="s">
        <v>21</v>
      </c>
      <c r="K408" t="s">
        <v>57</v>
      </c>
      <c r="L408">
        <v>5746</v>
      </c>
      <c r="M408" t="s">
        <v>673</v>
      </c>
    </row>
    <row r="409" spans="1:13" x14ac:dyDescent="0.35">
      <c r="A409" t="s">
        <v>1102</v>
      </c>
      <c r="B409" t="s">
        <v>317</v>
      </c>
      <c r="C409">
        <v>382947</v>
      </c>
      <c r="D409" t="s">
        <v>15</v>
      </c>
      <c r="E409" t="s">
        <v>1103</v>
      </c>
      <c r="F409" t="s">
        <v>319</v>
      </c>
      <c r="G409" t="s">
        <v>117</v>
      </c>
      <c r="H409" t="s">
        <v>19</v>
      </c>
      <c r="I409" t="s">
        <v>118</v>
      </c>
      <c r="J409" t="s">
        <v>21</v>
      </c>
      <c r="K409" t="s">
        <v>57</v>
      </c>
      <c r="L409">
        <v>5753</v>
      </c>
      <c r="M409" t="s">
        <v>673</v>
      </c>
    </row>
    <row r="410" spans="1:13" x14ac:dyDescent="0.35">
      <c r="A410" t="s">
        <v>1138</v>
      </c>
      <c r="B410" t="s">
        <v>317</v>
      </c>
      <c r="C410">
        <v>385046</v>
      </c>
      <c r="D410" t="s">
        <v>15</v>
      </c>
      <c r="E410" t="s">
        <v>1139</v>
      </c>
      <c r="F410" t="s">
        <v>319</v>
      </c>
      <c r="G410" t="s">
        <v>431</v>
      </c>
      <c r="H410" t="s">
        <v>19</v>
      </c>
      <c r="I410" t="s">
        <v>432</v>
      </c>
      <c r="J410" t="s">
        <v>21</v>
      </c>
      <c r="K410" t="s">
        <v>57</v>
      </c>
      <c r="L410">
        <v>7770</v>
      </c>
      <c r="M410" t="s">
        <v>673</v>
      </c>
    </row>
    <row r="411" spans="1:13" x14ac:dyDescent="0.35">
      <c r="A411">
        <v>0</v>
      </c>
      <c r="B411" t="s">
        <v>317</v>
      </c>
      <c r="C411">
        <v>396868</v>
      </c>
      <c r="D411" t="s">
        <v>15</v>
      </c>
      <c r="E411" t="s">
        <v>1529</v>
      </c>
      <c r="F411" t="s">
        <v>319</v>
      </c>
      <c r="G411" t="s">
        <v>867</v>
      </c>
      <c r="H411" t="s">
        <v>19</v>
      </c>
      <c r="I411" t="s">
        <v>868</v>
      </c>
      <c r="J411" t="s">
        <v>21</v>
      </c>
      <c r="K411" t="s">
        <v>57</v>
      </c>
      <c r="L411">
        <v>3396</v>
      </c>
      <c r="M411" t="s">
        <v>23</v>
      </c>
    </row>
    <row r="412" spans="1:13" x14ac:dyDescent="0.35">
      <c r="A412">
        <v>0</v>
      </c>
      <c r="B412" t="s">
        <v>317</v>
      </c>
      <c r="C412">
        <v>399962</v>
      </c>
      <c r="D412" t="s">
        <v>15</v>
      </c>
      <c r="E412" t="s">
        <v>1568</v>
      </c>
      <c r="F412" t="s">
        <v>319</v>
      </c>
      <c r="G412" t="s">
        <v>181</v>
      </c>
      <c r="H412" t="s">
        <v>19</v>
      </c>
      <c r="I412" t="s">
        <v>182</v>
      </c>
      <c r="J412" t="s">
        <v>21</v>
      </c>
      <c r="K412" t="s">
        <v>57</v>
      </c>
      <c r="L412">
        <v>5763</v>
      </c>
      <c r="M412" t="s">
        <v>673</v>
      </c>
    </row>
    <row r="413" spans="1:13" x14ac:dyDescent="0.35">
      <c r="A413">
        <v>0</v>
      </c>
      <c r="B413" t="s">
        <v>317</v>
      </c>
      <c r="C413">
        <v>399999</v>
      </c>
      <c r="D413" t="s">
        <v>15</v>
      </c>
      <c r="E413" t="s">
        <v>1569</v>
      </c>
      <c r="F413" t="s">
        <v>319</v>
      </c>
      <c r="G413" t="s">
        <v>740</v>
      </c>
      <c r="H413" t="s">
        <v>19</v>
      </c>
      <c r="I413" t="s">
        <v>741</v>
      </c>
      <c r="J413" t="s">
        <v>21</v>
      </c>
      <c r="K413" t="s">
        <v>57</v>
      </c>
      <c r="L413">
        <v>5788</v>
      </c>
      <c r="M413" t="s">
        <v>673</v>
      </c>
    </row>
    <row r="414" spans="1:13" x14ac:dyDescent="0.35">
      <c r="A414">
        <v>0</v>
      </c>
      <c r="B414" t="s">
        <v>317</v>
      </c>
      <c r="C414">
        <v>402973</v>
      </c>
      <c r="D414" t="s">
        <v>15</v>
      </c>
      <c r="E414" t="s">
        <v>1660</v>
      </c>
      <c r="F414" t="s">
        <v>319</v>
      </c>
      <c r="G414" t="s">
        <v>618</v>
      </c>
      <c r="H414" t="s">
        <v>19</v>
      </c>
      <c r="I414" t="s">
        <v>619</v>
      </c>
      <c r="J414" t="s">
        <v>21</v>
      </c>
      <c r="K414" t="s">
        <v>57</v>
      </c>
      <c r="L414">
        <v>5761</v>
      </c>
      <c r="M414" t="s">
        <v>673</v>
      </c>
    </row>
    <row r="415" spans="1:13" x14ac:dyDescent="0.35">
      <c r="A415">
        <v>0</v>
      </c>
      <c r="B415" t="s">
        <v>317</v>
      </c>
      <c r="C415">
        <v>406386</v>
      </c>
      <c r="D415" t="s">
        <v>15</v>
      </c>
      <c r="E415" t="s">
        <v>1761</v>
      </c>
      <c r="F415" t="s">
        <v>319</v>
      </c>
      <c r="G415" t="s">
        <v>1737</v>
      </c>
      <c r="H415" t="s">
        <v>19</v>
      </c>
      <c r="I415" t="s">
        <v>1738</v>
      </c>
      <c r="J415" t="s">
        <v>21</v>
      </c>
      <c r="K415" t="s">
        <v>57</v>
      </c>
      <c r="L415">
        <v>5756</v>
      </c>
      <c r="M415" t="s">
        <v>673</v>
      </c>
    </row>
    <row r="416" spans="1:13" x14ac:dyDescent="0.35">
      <c r="A416">
        <v>0</v>
      </c>
      <c r="B416" t="s">
        <v>317</v>
      </c>
      <c r="C416">
        <v>406527</v>
      </c>
      <c r="D416" t="s">
        <v>15</v>
      </c>
      <c r="E416" t="s">
        <v>1763</v>
      </c>
      <c r="F416" t="s">
        <v>319</v>
      </c>
      <c r="G416" t="s">
        <v>676</v>
      </c>
      <c r="H416" t="s">
        <v>19</v>
      </c>
      <c r="I416" t="s">
        <v>677</v>
      </c>
      <c r="J416" t="s">
        <v>21</v>
      </c>
      <c r="K416" t="s">
        <v>57</v>
      </c>
      <c r="L416">
        <v>5757</v>
      </c>
      <c r="M416" t="s">
        <v>673</v>
      </c>
    </row>
    <row r="417" spans="1:13" x14ac:dyDescent="0.35">
      <c r="A417" t="s">
        <v>433</v>
      </c>
      <c r="B417" t="s">
        <v>14</v>
      </c>
      <c r="C417">
        <v>350764</v>
      </c>
      <c r="D417" t="s">
        <v>15</v>
      </c>
      <c r="E417" t="s">
        <v>434</v>
      </c>
      <c r="F417" t="s">
        <v>17</v>
      </c>
      <c r="G417" t="s">
        <v>409</v>
      </c>
      <c r="H417" t="s">
        <v>19</v>
      </c>
      <c r="I417" t="s">
        <v>435</v>
      </c>
      <c r="J417" t="s">
        <v>21</v>
      </c>
      <c r="K417" t="s">
        <v>246</v>
      </c>
      <c r="L417">
        <v>5765</v>
      </c>
      <c r="M417" t="s">
        <v>23</v>
      </c>
    </row>
    <row r="418" spans="1:13" x14ac:dyDescent="0.35">
      <c r="A418" t="s">
        <v>503</v>
      </c>
      <c r="B418" t="s">
        <v>14</v>
      </c>
      <c r="C418">
        <v>357705</v>
      </c>
      <c r="D418" t="s">
        <v>15</v>
      </c>
      <c r="E418" t="s">
        <v>504</v>
      </c>
      <c r="F418" t="s">
        <v>17</v>
      </c>
      <c r="G418" t="s">
        <v>505</v>
      </c>
      <c r="H418" t="s">
        <v>19</v>
      </c>
      <c r="I418" t="s">
        <v>506</v>
      </c>
      <c r="J418" t="s">
        <v>21</v>
      </c>
      <c r="K418" t="s">
        <v>246</v>
      </c>
      <c r="L418">
        <v>7691</v>
      </c>
      <c r="M418" t="s">
        <v>23</v>
      </c>
    </row>
    <row r="419" spans="1:13" x14ac:dyDescent="0.35">
      <c r="A419" t="s">
        <v>518</v>
      </c>
      <c r="B419" t="s">
        <v>14</v>
      </c>
      <c r="C419">
        <v>358113</v>
      </c>
      <c r="D419" t="s">
        <v>15</v>
      </c>
      <c r="E419" t="s">
        <v>519</v>
      </c>
      <c r="F419" t="s">
        <v>17</v>
      </c>
      <c r="G419" t="s">
        <v>520</v>
      </c>
      <c r="H419" t="s">
        <v>19</v>
      </c>
      <c r="I419" t="s">
        <v>521</v>
      </c>
      <c r="J419" t="s">
        <v>21</v>
      </c>
      <c r="K419" t="s">
        <v>246</v>
      </c>
      <c r="L419">
        <v>5767</v>
      </c>
      <c r="M419" t="s">
        <v>23</v>
      </c>
    </row>
    <row r="420" spans="1:13" x14ac:dyDescent="0.35">
      <c r="A420" t="s">
        <v>600</v>
      </c>
      <c r="B420" t="s">
        <v>14</v>
      </c>
      <c r="C420">
        <v>366234</v>
      </c>
      <c r="D420" t="s">
        <v>15</v>
      </c>
      <c r="E420" t="s">
        <v>601</v>
      </c>
      <c r="F420" t="s">
        <v>17</v>
      </c>
      <c r="G420" t="s">
        <v>602</v>
      </c>
      <c r="H420" t="s">
        <v>19</v>
      </c>
      <c r="I420" t="s">
        <v>603</v>
      </c>
      <c r="J420" t="s">
        <v>21</v>
      </c>
      <c r="K420" t="s">
        <v>246</v>
      </c>
      <c r="L420">
        <v>5764</v>
      </c>
      <c r="M420" t="s">
        <v>23</v>
      </c>
    </row>
    <row r="421" spans="1:13" x14ac:dyDescent="0.35">
      <c r="A421" t="s">
        <v>630</v>
      </c>
      <c r="B421" t="s">
        <v>14</v>
      </c>
      <c r="C421">
        <v>369362</v>
      </c>
      <c r="D421" t="s">
        <v>15</v>
      </c>
      <c r="E421" t="s">
        <v>631</v>
      </c>
      <c r="F421" t="s">
        <v>17</v>
      </c>
      <c r="G421" t="s">
        <v>632</v>
      </c>
      <c r="H421" t="s">
        <v>19</v>
      </c>
      <c r="I421" t="s">
        <v>633</v>
      </c>
      <c r="J421" t="s">
        <v>21</v>
      </c>
      <c r="K421" t="s">
        <v>246</v>
      </c>
      <c r="L421">
        <v>3397</v>
      </c>
      <c r="M421" t="s">
        <v>23</v>
      </c>
    </row>
    <row r="422" spans="1:13" x14ac:dyDescent="0.35">
      <c r="A422" t="s">
        <v>764</v>
      </c>
      <c r="B422" t="s">
        <v>14</v>
      </c>
      <c r="C422">
        <v>373887</v>
      </c>
      <c r="D422" t="s">
        <v>15</v>
      </c>
      <c r="E422" t="s">
        <v>765</v>
      </c>
      <c r="F422" t="s">
        <v>17</v>
      </c>
      <c r="G422" t="s">
        <v>766</v>
      </c>
      <c r="H422" t="s">
        <v>19</v>
      </c>
      <c r="I422" t="s">
        <v>767</v>
      </c>
      <c r="J422" t="s">
        <v>21</v>
      </c>
      <c r="K422" t="s">
        <v>246</v>
      </c>
      <c r="L422">
        <v>5766</v>
      </c>
      <c r="M422" t="s">
        <v>23</v>
      </c>
    </row>
    <row r="423" spans="1:13" x14ac:dyDescent="0.35">
      <c r="A423" t="s">
        <v>968</v>
      </c>
      <c r="B423" t="s">
        <v>14</v>
      </c>
      <c r="C423">
        <v>379389</v>
      </c>
      <c r="D423" t="s">
        <v>15</v>
      </c>
      <c r="E423" t="s">
        <v>969</v>
      </c>
      <c r="F423" t="s">
        <v>17</v>
      </c>
      <c r="G423" t="s">
        <v>544</v>
      </c>
      <c r="H423" t="s">
        <v>19</v>
      </c>
      <c r="I423" t="s">
        <v>970</v>
      </c>
      <c r="J423" t="s">
        <v>21</v>
      </c>
      <c r="K423" t="s">
        <v>246</v>
      </c>
      <c r="L423">
        <v>7142</v>
      </c>
      <c r="M423" t="s">
        <v>23</v>
      </c>
    </row>
    <row r="424" spans="1:13" x14ac:dyDescent="0.35">
      <c r="A424" t="s">
        <v>1320</v>
      </c>
      <c r="B424" t="s">
        <v>14</v>
      </c>
      <c r="C424">
        <v>389764</v>
      </c>
      <c r="D424" t="s">
        <v>15</v>
      </c>
      <c r="E424" t="s">
        <v>1321</v>
      </c>
      <c r="F424" t="s">
        <v>17</v>
      </c>
      <c r="G424" t="s">
        <v>632</v>
      </c>
      <c r="H424" t="s">
        <v>19</v>
      </c>
      <c r="I424" t="s">
        <v>633</v>
      </c>
      <c r="J424" t="s">
        <v>21</v>
      </c>
      <c r="K424" t="s">
        <v>246</v>
      </c>
      <c r="L424">
        <v>3397</v>
      </c>
      <c r="M424" t="s">
        <v>23</v>
      </c>
    </row>
    <row r="425" spans="1:13" x14ac:dyDescent="0.35">
      <c r="A425" t="s">
        <v>1337</v>
      </c>
      <c r="B425" t="s">
        <v>14</v>
      </c>
      <c r="C425">
        <v>390766</v>
      </c>
      <c r="D425" t="s">
        <v>15</v>
      </c>
      <c r="E425" t="s">
        <v>1338</v>
      </c>
      <c r="F425" t="s">
        <v>17</v>
      </c>
      <c r="G425" t="s">
        <v>766</v>
      </c>
      <c r="H425" t="s">
        <v>19</v>
      </c>
      <c r="I425" t="s">
        <v>767</v>
      </c>
      <c r="J425" t="s">
        <v>21</v>
      </c>
      <c r="K425" t="s">
        <v>246</v>
      </c>
      <c r="L425">
        <v>5766</v>
      </c>
      <c r="M425" t="s">
        <v>23</v>
      </c>
    </row>
    <row r="426" spans="1:13" x14ac:dyDescent="0.35">
      <c r="A426" t="s">
        <v>1339</v>
      </c>
      <c r="B426" t="s">
        <v>14</v>
      </c>
      <c r="C426">
        <v>390767</v>
      </c>
      <c r="D426" t="s">
        <v>15</v>
      </c>
      <c r="E426" t="s">
        <v>1340</v>
      </c>
      <c r="F426" t="s">
        <v>17</v>
      </c>
      <c r="G426" t="s">
        <v>1312</v>
      </c>
      <c r="H426" t="s">
        <v>19</v>
      </c>
      <c r="I426" t="s">
        <v>1313</v>
      </c>
      <c r="J426" t="s">
        <v>21</v>
      </c>
      <c r="K426" t="s">
        <v>246</v>
      </c>
      <c r="L426">
        <v>3696</v>
      </c>
      <c r="M426" t="s">
        <v>23</v>
      </c>
    </row>
    <row r="427" spans="1:13" x14ac:dyDescent="0.35">
      <c r="A427" t="s">
        <v>1515</v>
      </c>
      <c r="B427" t="s">
        <v>14</v>
      </c>
      <c r="C427">
        <v>404609</v>
      </c>
      <c r="D427" t="s">
        <v>15</v>
      </c>
      <c r="E427" t="s">
        <v>1689</v>
      </c>
      <c r="F427" t="s">
        <v>17</v>
      </c>
      <c r="G427" t="s">
        <v>602</v>
      </c>
      <c r="H427" t="s">
        <v>19</v>
      </c>
      <c r="I427" t="s">
        <v>603</v>
      </c>
      <c r="J427" t="s">
        <v>21</v>
      </c>
      <c r="K427" t="s">
        <v>246</v>
      </c>
      <c r="L427">
        <v>5764</v>
      </c>
      <c r="M427" t="s">
        <v>23</v>
      </c>
    </row>
    <row r="428" spans="1:13" x14ac:dyDescent="0.35">
      <c r="A428" t="s">
        <v>1515</v>
      </c>
      <c r="B428" t="s">
        <v>14</v>
      </c>
      <c r="C428">
        <v>405112</v>
      </c>
      <c r="D428" t="s">
        <v>15</v>
      </c>
      <c r="E428" t="s">
        <v>1725</v>
      </c>
      <c r="F428" t="s">
        <v>17</v>
      </c>
      <c r="G428" t="s">
        <v>1334</v>
      </c>
      <c r="H428" t="s">
        <v>19</v>
      </c>
      <c r="I428" t="s">
        <v>1335</v>
      </c>
      <c r="J428" t="s">
        <v>21</v>
      </c>
      <c r="K428" t="s">
        <v>246</v>
      </c>
      <c r="L428">
        <v>7141</v>
      </c>
      <c r="M428" t="s">
        <v>23</v>
      </c>
    </row>
    <row r="429" spans="1:13" x14ac:dyDescent="0.35">
      <c r="A429" t="s">
        <v>1515</v>
      </c>
      <c r="B429" t="s">
        <v>14</v>
      </c>
      <c r="C429">
        <v>405131</v>
      </c>
      <c r="D429" t="s">
        <v>15</v>
      </c>
      <c r="E429" t="s">
        <v>1726</v>
      </c>
      <c r="F429" t="s">
        <v>17</v>
      </c>
      <c r="G429" t="s">
        <v>1312</v>
      </c>
      <c r="H429" t="s">
        <v>19</v>
      </c>
      <c r="I429" t="s">
        <v>1313</v>
      </c>
      <c r="J429" t="s">
        <v>21</v>
      </c>
      <c r="K429" t="s">
        <v>246</v>
      </c>
      <c r="L429">
        <v>3696</v>
      </c>
      <c r="M429" t="s">
        <v>23</v>
      </c>
    </row>
    <row r="430" spans="1:13" x14ac:dyDescent="0.35">
      <c r="A430" t="s">
        <v>1515</v>
      </c>
      <c r="B430" t="s">
        <v>14</v>
      </c>
      <c r="C430">
        <v>412305</v>
      </c>
      <c r="D430" t="s">
        <v>15</v>
      </c>
      <c r="E430" t="s">
        <v>1878</v>
      </c>
      <c r="F430" t="s">
        <v>17</v>
      </c>
      <c r="G430" t="s">
        <v>1807</v>
      </c>
      <c r="H430" t="s">
        <v>19</v>
      </c>
      <c r="I430" t="s">
        <v>1808</v>
      </c>
      <c r="J430" t="s">
        <v>21</v>
      </c>
      <c r="K430" t="s">
        <v>246</v>
      </c>
      <c r="L430">
        <v>7690</v>
      </c>
      <c r="M430" t="s">
        <v>23</v>
      </c>
    </row>
    <row r="431" spans="1:13" x14ac:dyDescent="0.35">
      <c r="A431" t="s">
        <v>1515</v>
      </c>
      <c r="B431" t="s">
        <v>14</v>
      </c>
      <c r="C431">
        <v>413604</v>
      </c>
      <c r="D431" t="s">
        <v>15</v>
      </c>
      <c r="E431" t="s">
        <v>1909</v>
      </c>
      <c r="F431" t="s">
        <v>17</v>
      </c>
      <c r="G431" t="s">
        <v>520</v>
      </c>
      <c r="H431" t="s">
        <v>19</v>
      </c>
      <c r="I431" t="s">
        <v>521</v>
      </c>
      <c r="J431" t="s">
        <v>21</v>
      </c>
      <c r="K431" t="s">
        <v>246</v>
      </c>
      <c r="L431">
        <v>5767</v>
      </c>
      <c r="M431" t="s">
        <v>23</v>
      </c>
    </row>
    <row r="432" spans="1:13" x14ac:dyDescent="0.35">
      <c r="A432" t="s">
        <v>1310</v>
      </c>
      <c r="B432" t="s">
        <v>317</v>
      </c>
      <c r="C432">
        <v>389741</v>
      </c>
      <c r="D432" t="s">
        <v>15</v>
      </c>
      <c r="E432" t="s">
        <v>1311</v>
      </c>
      <c r="F432" t="s">
        <v>319</v>
      </c>
      <c r="G432" t="s">
        <v>1312</v>
      </c>
      <c r="H432" t="s">
        <v>19</v>
      </c>
      <c r="I432" t="s">
        <v>1313</v>
      </c>
      <c r="J432" t="s">
        <v>21</v>
      </c>
      <c r="K432" t="s">
        <v>246</v>
      </c>
      <c r="L432">
        <v>3696</v>
      </c>
      <c r="M432" t="s">
        <v>673</v>
      </c>
    </row>
    <row r="433" spans="1:13" x14ac:dyDescent="0.35">
      <c r="A433" t="s">
        <v>1317</v>
      </c>
      <c r="B433" t="s">
        <v>317</v>
      </c>
      <c r="C433">
        <v>389743</v>
      </c>
      <c r="D433" t="s">
        <v>15</v>
      </c>
      <c r="E433" t="s">
        <v>1318</v>
      </c>
      <c r="F433" t="s">
        <v>319</v>
      </c>
      <c r="G433" t="s">
        <v>632</v>
      </c>
      <c r="H433" t="s">
        <v>19</v>
      </c>
      <c r="I433" t="s">
        <v>633</v>
      </c>
      <c r="J433" t="s">
        <v>21</v>
      </c>
      <c r="K433" t="s">
        <v>246</v>
      </c>
      <c r="L433">
        <v>3397</v>
      </c>
      <c r="M433" t="s">
        <v>673</v>
      </c>
    </row>
    <row r="434" spans="1:13" x14ac:dyDescent="0.35">
      <c r="A434" t="s">
        <v>1330</v>
      </c>
      <c r="B434" t="s">
        <v>317</v>
      </c>
      <c r="C434">
        <v>390721</v>
      </c>
      <c r="D434" t="s">
        <v>15</v>
      </c>
      <c r="E434" t="s">
        <v>1331</v>
      </c>
      <c r="F434" t="s">
        <v>319</v>
      </c>
      <c r="G434" t="s">
        <v>766</v>
      </c>
      <c r="H434" t="s">
        <v>19</v>
      </c>
      <c r="I434" t="s">
        <v>767</v>
      </c>
      <c r="J434" t="s">
        <v>21</v>
      </c>
      <c r="K434" t="s">
        <v>246</v>
      </c>
      <c r="L434">
        <v>5766</v>
      </c>
      <c r="M434" t="s">
        <v>673</v>
      </c>
    </row>
    <row r="435" spans="1:13" x14ac:dyDescent="0.35">
      <c r="A435" t="s">
        <v>1332</v>
      </c>
      <c r="B435" t="s">
        <v>317</v>
      </c>
      <c r="C435">
        <v>390722</v>
      </c>
      <c r="D435" t="s">
        <v>15</v>
      </c>
      <c r="E435" t="s">
        <v>1333</v>
      </c>
      <c r="F435" t="s">
        <v>319</v>
      </c>
      <c r="G435" t="s">
        <v>1334</v>
      </c>
      <c r="H435" t="s">
        <v>19</v>
      </c>
      <c r="I435" t="s">
        <v>1335</v>
      </c>
      <c r="J435" t="s">
        <v>21</v>
      </c>
      <c r="K435" t="s">
        <v>246</v>
      </c>
      <c r="L435">
        <v>7141</v>
      </c>
      <c r="M435" t="s">
        <v>673</v>
      </c>
    </row>
    <row r="436" spans="1:13" x14ac:dyDescent="0.35">
      <c r="A436">
        <v>0</v>
      </c>
      <c r="B436" t="s">
        <v>317</v>
      </c>
      <c r="C436">
        <v>397559</v>
      </c>
      <c r="D436" t="s">
        <v>15</v>
      </c>
      <c r="E436" t="s">
        <v>1538</v>
      </c>
      <c r="F436" t="s">
        <v>319</v>
      </c>
      <c r="G436" t="s">
        <v>409</v>
      </c>
      <c r="H436" t="s">
        <v>19</v>
      </c>
      <c r="I436" t="s">
        <v>435</v>
      </c>
      <c r="J436" t="s">
        <v>21</v>
      </c>
      <c r="K436" t="s">
        <v>246</v>
      </c>
      <c r="L436">
        <v>5765</v>
      </c>
      <c r="M436" t="s">
        <v>673</v>
      </c>
    </row>
    <row r="437" spans="1:13" x14ac:dyDescent="0.35">
      <c r="A437">
        <v>0</v>
      </c>
      <c r="B437" t="s">
        <v>317</v>
      </c>
      <c r="C437">
        <v>399888</v>
      </c>
      <c r="D437" t="s">
        <v>15</v>
      </c>
      <c r="E437" t="s">
        <v>1566</v>
      </c>
      <c r="F437" t="s">
        <v>319</v>
      </c>
      <c r="G437" t="s">
        <v>520</v>
      </c>
      <c r="H437" t="s">
        <v>19</v>
      </c>
      <c r="I437" t="s">
        <v>521</v>
      </c>
      <c r="J437" t="s">
        <v>21</v>
      </c>
      <c r="K437" t="s">
        <v>246</v>
      </c>
      <c r="L437">
        <v>5767</v>
      </c>
      <c r="M437" t="s">
        <v>673</v>
      </c>
    </row>
    <row r="438" spans="1:13" x14ac:dyDescent="0.35">
      <c r="A438" t="s">
        <v>1515</v>
      </c>
      <c r="B438" t="s">
        <v>317</v>
      </c>
      <c r="C438">
        <v>405033</v>
      </c>
      <c r="D438" t="s">
        <v>15</v>
      </c>
      <c r="E438" t="s">
        <v>1724</v>
      </c>
      <c r="F438" t="s">
        <v>319</v>
      </c>
      <c r="G438" t="s">
        <v>544</v>
      </c>
      <c r="H438" t="s">
        <v>19</v>
      </c>
      <c r="I438" t="s">
        <v>970</v>
      </c>
      <c r="J438" t="s">
        <v>21</v>
      </c>
      <c r="K438" t="s">
        <v>246</v>
      </c>
      <c r="L438">
        <v>7142</v>
      </c>
      <c r="M438" t="s">
        <v>23</v>
      </c>
    </row>
    <row r="439" spans="1:13" x14ac:dyDescent="0.35">
      <c r="A439">
        <v>0</v>
      </c>
      <c r="B439" t="s">
        <v>317</v>
      </c>
      <c r="C439">
        <v>405201</v>
      </c>
      <c r="D439" t="s">
        <v>15</v>
      </c>
      <c r="E439" t="s">
        <v>1727</v>
      </c>
      <c r="F439" t="s">
        <v>319</v>
      </c>
      <c r="G439" t="s">
        <v>602</v>
      </c>
      <c r="H439" t="s">
        <v>19</v>
      </c>
      <c r="I439" t="s">
        <v>603</v>
      </c>
      <c r="J439" t="s">
        <v>21</v>
      </c>
      <c r="K439" t="s">
        <v>246</v>
      </c>
      <c r="L439">
        <v>5764</v>
      </c>
      <c r="M439" t="s">
        <v>673</v>
      </c>
    </row>
    <row r="440" spans="1:13" x14ac:dyDescent="0.35">
      <c r="A440">
        <v>0</v>
      </c>
      <c r="B440" t="s">
        <v>317</v>
      </c>
      <c r="C440">
        <v>408568</v>
      </c>
      <c r="D440" t="s">
        <v>15</v>
      </c>
      <c r="E440" t="s">
        <v>1806</v>
      </c>
      <c r="F440" t="s">
        <v>319</v>
      </c>
      <c r="G440" t="s">
        <v>1807</v>
      </c>
      <c r="H440" t="s">
        <v>19</v>
      </c>
      <c r="I440" t="s">
        <v>1808</v>
      </c>
      <c r="J440" t="s">
        <v>21</v>
      </c>
      <c r="K440" t="s">
        <v>246</v>
      </c>
      <c r="L440">
        <v>7690</v>
      </c>
      <c r="M440" t="s">
        <v>673</v>
      </c>
    </row>
    <row r="441" spans="1:13" x14ac:dyDescent="0.35">
      <c r="A441">
        <v>0</v>
      </c>
      <c r="B441" t="s">
        <v>317</v>
      </c>
      <c r="C441">
        <v>413684</v>
      </c>
      <c r="D441" t="s">
        <v>15</v>
      </c>
      <c r="E441" t="s">
        <v>1913</v>
      </c>
      <c r="F441" t="s">
        <v>319</v>
      </c>
      <c r="G441" t="s">
        <v>520</v>
      </c>
      <c r="H441" t="s">
        <v>19</v>
      </c>
      <c r="I441" t="s">
        <v>521</v>
      </c>
      <c r="J441" t="s">
        <v>21</v>
      </c>
      <c r="K441" t="s">
        <v>246</v>
      </c>
      <c r="L441">
        <v>5767</v>
      </c>
      <c r="M441" t="s">
        <v>673</v>
      </c>
    </row>
    <row r="442" spans="1:13" x14ac:dyDescent="0.35">
      <c r="A442">
        <v>0</v>
      </c>
      <c r="B442" t="s">
        <v>317</v>
      </c>
      <c r="C442">
        <v>413687</v>
      </c>
      <c r="D442" t="s">
        <v>15</v>
      </c>
      <c r="E442" t="s">
        <v>1914</v>
      </c>
      <c r="F442" t="s">
        <v>319</v>
      </c>
      <c r="G442" t="s">
        <v>505</v>
      </c>
      <c r="H442" t="s">
        <v>19</v>
      </c>
      <c r="I442" t="s">
        <v>506</v>
      </c>
      <c r="J442" t="s">
        <v>21</v>
      </c>
      <c r="K442" t="s">
        <v>246</v>
      </c>
      <c r="L442">
        <v>7691</v>
      </c>
      <c r="M442" t="s">
        <v>673</v>
      </c>
    </row>
    <row r="443" spans="1:13" x14ac:dyDescent="0.35">
      <c r="A443">
        <v>0</v>
      </c>
      <c r="B443" t="s">
        <v>317</v>
      </c>
      <c r="C443">
        <v>413698</v>
      </c>
      <c r="D443" t="s">
        <v>15</v>
      </c>
      <c r="E443" t="s">
        <v>1917</v>
      </c>
      <c r="F443" t="s">
        <v>319</v>
      </c>
      <c r="G443" t="s">
        <v>602</v>
      </c>
      <c r="H443" t="s">
        <v>19</v>
      </c>
      <c r="I443" t="s">
        <v>603</v>
      </c>
      <c r="J443" t="s">
        <v>21</v>
      </c>
      <c r="K443" t="s">
        <v>246</v>
      </c>
      <c r="L443">
        <v>5764</v>
      </c>
      <c r="M443" t="s">
        <v>673</v>
      </c>
    </row>
    <row r="444" spans="1:13" x14ac:dyDescent="0.35">
      <c r="A444" t="s">
        <v>119</v>
      </c>
      <c r="B444" t="s">
        <v>14</v>
      </c>
      <c r="C444">
        <v>328643</v>
      </c>
      <c r="D444" t="s">
        <v>15</v>
      </c>
      <c r="E444" t="s">
        <v>120</v>
      </c>
      <c r="F444" t="s">
        <v>17</v>
      </c>
      <c r="G444" t="s">
        <v>121</v>
      </c>
      <c r="H444" t="s">
        <v>19</v>
      </c>
      <c r="I444" t="s">
        <v>122</v>
      </c>
      <c r="J444" t="s">
        <v>21</v>
      </c>
      <c r="K444" t="s">
        <v>123</v>
      </c>
      <c r="L444">
        <v>7499</v>
      </c>
      <c r="M444" t="s">
        <v>23</v>
      </c>
    </row>
    <row r="445" spans="1:13" x14ac:dyDescent="0.35">
      <c r="A445" t="s">
        <v>129</v>
      </c>
      <c r="B445" t="s">
        <v>14</v>
      </c>
      <c r="C445">
        <v>328647</v>
      </c>
      <c r="D445" t="s">
        <v>15</v>
      </c>
      <c r="E445" t="s">
        <v>130</v>
      </c>
      <c r="F445" t="s">
        <v>17</v>
      </c>
      <c r="G445" t="s">
        <v>131</v>
      </c>
      <c r="H445" t="s">
        <v>19</v>
      </c>
      <c r="I445" t="s">
        <v>132</v>
      </c>
      <c r="J445" t="s">
        <v>21</v>
      </c>
      <c r="K445" t="s">
        <v>123</v>
      </c>
      <c r="L445">
        <v>7108</v>
      </c>
      <c r="M445" t="s">
        <v>23</v>
      </c>
    </row>
    <row r="446" spans="1:13" x14ac:dyDescent="0.35">
      <c r="A446" t="s">
        <v>206</v>
      </c>
      <c r="B446" t="s">
        <v>14</v>
      </c>
      <c r="C446">
        <v>335506</v>
      </c>
      <c r="D446" t="s">
        <v>15</v>
      </c>
      <c r="E446" t="s">
        <v>207</v>
      </c>
      <c r="F446" t="s">
        <v>17</v>
      </c>
      <c r="G446" t="s">
        <v>208</v>
      </c>
      <c r="H446" t="s">
        <v>19</v>
      </c>
      <c r="I446" t="s">
        <v>209</v>
      </c>
      <c r="J446" t="s">
        <v>21</v>
      </c>
      <c r="K446" t="s">
        <v>123</v>
      </c>
      <c r="L446">
        <v>5768</v>
      </c>
      <c r="M446" t="s">
        <v>23</v>
      </c>
    </row>
    <row r="447" spans="1:13" x14ac:dyDescent="0.35">
      <c r="A447" t="s">
        <v>275</v>
      </c>
      <c r="B447" t="s">
        <v>14</v>
      </c>
      <c r="C447">
        <v>339828</v>
      </c>
      <c r="D447" t="s">
        <v>15</v>
      </c>
      <c r="E447" t="s">
        <v>276</v>
      </c>
      <c r="F447" t="s">
        <v>17</v>
      </c>
      <c r="G447" t="s">
        <v>277</v>
      </c>
      <c r="H447" t="s">
        <v>19</v>
      </c>
      <c r="I447" t="s">
        <v>278</v>
      </c>
      <c r="J447" t="s">
        <v>21</v>
      </c>
      <c r="K447" t="s">
        <v>123</v>
      </c>
      <c r="L447">
        <v>5770</v>
      </c>
      <c r="M447" t="s">
        <v>23</v>
      </c>
    </row>
    <row r="448" spans="1:13" x14ac:dyDescent="0.35">
      <c r="A448" t="s">
        <v>495</v>
      </c>
      <c r="B448" t="s">
        <v>14</v>
      </c>
      <c r="C448">
        <v>356738</v>
      </c>
      <c r="D448" t="s">
        <v>15</v>
      </c>
      <c r="E448" t="s">
        <v>496</v>
      </c>
      <c r="F448" t="s">
        <v>17</v>
      </c>
      <c r="G448" t="s">
        <v>208</v>
      </c>
      <c r="H448" t="s">
        <v>19</v>
      </c>
      <c r="I448" t="s">
        <v>209</v>
      </c>
      <c r="J448" t="s">
        <v>21</v>
      </c>
      <c r="K448" t="s">
        <v>123</v>
      </c>
      <c r="L448">
        <v>5768</v>
      </c>
      <c r="M448" t="s">
        <v>23</v>
      </c>
    </row>
    <row r="449" spans="1:13" x14ac:dyDescent="0.35">
      <c r="A449" t="s">
        <v>712</v>
      </c>
      <c r="B449" t="s">
        <v>14</v>
      </c>
      <c r="C449">
        <v>373421</v>
      </c>
      <c r="D449" t="s">
        <v>15</v>
      </c>
      <c r="E449" t="s">
        <v>713</v>
      </c>
      <c r="F449" t="s">
        <v>17</v>
      </c>
      <c r="G449" t="s">
        <v>714</v>
      </c>
      <c r="H449" t="s">
        <v>19</v>
      </c>
      <c r="I449" t="s">
        <v>715</v>
      </c>
      <c r="J449" t="s">
        <v>21</v>
      </c>
      <c r="K449" t="s">
        <v>123</v>
      </c>
      <c r="L449">
        <v>3556</v>
      </c>
      <c r="M449" t="s">
        <v>23</v>
      </c>
    </row>
    <row r="450" spans="1:13" x14ac:dyDescent="0.35">
      <c r="A450" t="s">
        <v>776</v>
      </c>
      <c r="B450" t="s">
        <v>14</v>
      </c>
      <c r="C450">
        <v>374173</v>
      </c>
      <c r="D450" t="s">
        <v>15</v>
      </c>
      <c r="E450" t="s">
        <v>777</v>
      </c>
      <c r="F450" t="s">
        <v>17</v>
      </c>
      <c r="G450" t="s">
        <v>277</v>
      </c>
      <c r="H450" t="s">
        <v>19</v>
      </c>
      <c r="I450" t="s">
        <v>278</v>
      </c>
      <c r="J450" t="s">
        <v>21</v>
      </c>
      <c r="K450" t="s">
        <v>123</v>
      </c>
      <c r="L450">
        <v>5770</v>
      </c>
      <c r="M450" t="s">
        <v>23</v>
      </c>
    </row>
    <row r="451" spans="1:13" x14ac:dyDescent="0.35">
      <c r="A451" t="s">
        <v>859</v>
      </c>
      <c r="B451" t="s">
        <v>14</v>
      </c>
      <c r="C451">
        <v>376107</v>
      </c>
      <c r="D451" t="s">
        <v>15</v>
      </c>
      <c r="E451" t="s">
        <v>860</v>
      </c>
      <c r="F451" t="s">
        <v>17</v>
      </c>
      <c r="G451" t="s">
        <v>861</v>
      </c>
      <c r="H451" t="s">
        <v>19</v>
      </c>
      <c r="I451" t="s">
        <v>862</v>
      </c>
      <c r="J451" t="s">
        <v>21</v>
      </c>
      <c r="K451" t="s">
        <v>123</v>
      </c>
      <c r="L451">
        <v>8099</v>
      </c>
      <c r="M451" t="s">
        <v>23</v>
      </c>
    </row>
    <row r="452" spans="1:13" x14ac:dyDescent="0.35">
      <c r="A452" t="s">
        <v>966</v>
      </c>
      <c r="B452" t="s">
        <v>14</v>
      </c>
      <c r="C452">
        <v>379375</v>
      </c>
      <c r="D452" t="s">
        <v>15</v>
      </c>
      <c r="E452" t="s">
        <v>967</v>
      </c>
      <c r="F452" t="s">
        <v>17</v>
      </c>
      <c r="G452" t="s">
        <v>900</v>
      </c>
      <c r="H452" t="s">
        <v>19</v>
      </c>
      <c r="I452" t="s">
        <v>901</v>
      </c>
      <c r="J452" t="s">
        <v>21</v>
      </c>
      <c r="K452" t="s">
        <v>123</v>
      </c>
      <c r="L452">
        <v>5726</v>
      </c>
      <c r="M452" t="s">
        <v>23</v>
      </c>
    </row>
    <row r="453" spans="1:13" x14ac:dyDescent="0.35">
      <c r="A453" t="s">
        <v>1132</v>
      </c>
      <c r="B453" t="s">
        <v>14</v>
      </c>
      <c r="C453">
        <v>384996</v>
      </c>
      <c r="D453" t="s">
        <v>15</v>
      </c>
      <c r="E453" t="s">
        <v>1133</v>
      </c>
      <c r="F453" t="s">
        <v>17</v>
      </c>
      <c r="G453" t="s">
        <v>714</v>
      </c>
      <c r="H453" t="s">
        <v>19</v>
      </c>
      <c r="I453" t="s">
        <v>715</v>
      </c>
      <c r="J453" t="s">
        <v>21</v>
      </c>
      <c r="K453" t="s">
        <v>123</v>
      </c>
      <c r="L453">
        <v>3556</v>
      </c>
      <c r="M453" t="s">
        <v>23</v>
      </c>
    </row>
    <row r="454" spans="1:13" x14ac:dyDescent="0.35">
      <c r="A454" t="s">
        <v>1358</v>
      </c>
      <c r="B454" t="s">
        <v>14</v>
      </c>
      <c r="C454">
        <v>391801</v>
      </c>
      <c r="D454" t="s">
        <v>15</v>
      </c>
      <c r="E454" t="s">
        <v>1359</v>
      </c>
      <c r="F454" t="s">
        <v>17</v>
      </c>
      <c r="G454" t="s">
        <v>1126</v>
      </c>
      <c r="H454" t="s">
        <v>19</v>
      </c>
      <c r="I454" t="s">
        <v>1127</v>
      </c>
      <c r="J454" t="s">
        <v>21</v>
      </c>
      <c r="K454" t="s">
        <v>123</v>
      </c>
      <c r="L454">
        <v>5769</v>
      </c>
      <c r="M454" t="s">
        <v>23</v>
      </c>
    </row>
    <row r="455" spans="1:13" x14ac:dyDescent="0.35">
      <c r="A455" t="s">
        <v>1360</v>
      </c>
      <c r="B455" t="s">
        <v>14</v>
      </c>
      <c r="C455">
        <v>391804</v>
      </c>
      <c r="D455" t="s">
        <v>15</v>
      </c>
      <c r="E455" t="s">
        <v>1361</v>
      </c>
      <c r="F455" t="s">
        <v>17</v>
      </c>
      <c r="G455" t="s">
        <v>1362</v>
      </c>
      <c r="H455" t="s">
        <v>19</v>
      </c>
      <c r="I455" t="s">
        <v>1363</v>
      </c>
      <c r="J455" t="s">
        <v>21</v>
      </c>
      <c r="K455" t="s">
        <v>123</v>
      </c>
      <c r="L455">
        <v>7044</v>
      </c>
      <c r="M455" t="s">
        <v>23</v>
      </c>
    </row>
    <row r="456" spans="1:13" x14ac:dyDescent="0.35">
      <c r="A456" t="s">
        <v>1515</v>
      </c>
      <c r="B456" t="s">
        <v>14</v>
      </c>
      <c r="C456">
        <v>406881</v>
      </c>
      <c r="D456" t="s">
        <v>15</v>
      </c>
      <c r="E456" t="s">
        <v>1769</v>
      </c>
      <c r="F456" t="s">
        <v>17</v>
      </c>
      <c r="G456" t="s">
        <v>861</v>
      </c>
      <c r="H456" t="s">
        <v>19</v>
      </c>
      <c r="I456" t="s">
        <v>862</v>
      </c>
      <c r="J456" t="s">
        <v>21</v>
      </c>
      <c r="K456" t="s">
        <v>123</v>
      </c>
      <c r="L456">
        <v>8099</v>
      </c>
      <c r="M456" t="s">
        <v>23</v>
      </c>
    </row>
    <row r="457" spans="1:13" x14ac:dyDescent="0.35">
      <c r="A457" t="s">
        <v>1515</v>
      </c>
      <c r="B457" t="s">
        <v>14</v>
      </c>
      <c r="C457">
        <v>406884</v>
      </c>
      <c r="D457" t="s">
        <v>15</v>
      </c>
      <c r="E457" t="s">
        <v>1772</v>
      </c>
      <c r="F457" t="s">
        <v>17</v>
      </c>
      <c r="G457" t="s">
        <v>1464</v>
      </c>
      <c r="H457" t="s">
        <v>19</v>
      </c>
      <c r="I457" t="s">
        <v>1465</v>
      </c>
      <c r="J457" t="s">
        <v>21</v>
      </c>
      <c r="K457" t="s">
        <v>123</v>
      </c>
      <c r="L457">
        <v>3557</v>
      </c>
      <c r="M457" t="s">
        <v>23</v>
      </c>
    </row>
    <row r="458" spans="1:13" x14ac:dyDescent="0.35">
      <c r="A458" t="s">
        <v>1515</v>
      </c>
      <c r="B458" t="s">
        <v>14</v>
      </c>
      <c r="C458">
        <v>406885</v>
      </c>
      <c r="D458" t="s">
        <v>15</v>
      </c>
      <c r="E458" t="s">
        <v>1773</v>
      </c>
      <c r="F458" t="s">
        <v>17</v>
      </c>
      <c r="G458" t="s">
        <v>1362</v>
      </c>
      <c r="H458" t="s">
        <v>19</v>
      </c>
      <c r="I458" t="s">
        <v>1363</v>
      </c>
      <c r="J458" t="s">
        <v>21</v>
      </c>
      <c r="K458" t="s">
        <v>123</v>
      </c>
      <c r="L458">
        <v>7044</v>
      </c>
      <c r="M458" t="s">
        <v>23</v>
      </c>
    </row>
    <row r="459" spans="1:13" x14ac:dyDescent="0.35">
      <c r="A459" t="s">
        <v>894</v>
      </c>
      <c r="B459" t="s">
        <v>317</v>
      </c>
      <c r="C459">
        <v>377076</v>
      </c>
      <c r="D459" t="s">
        <v>15</v>
      </c>
      <c r="E459" t="s">
        <v>895</v>
      </c>
      <c r="F459" t="s">
        <v>319</v>
      </c>
      <c r="G459" t="s">
        <v>714</v>
      </c>
      <c r="H459" t="s">
        <v>19</v>
      </c>
      <c r="I459" t="s">
        <v>715</v>
      </c>
      <c r="J459" t="s">
        <v>21</v>
      </c>
      <c r="K459" t="s">
        <v>123</v>
      </c>
      <c r="L459">
        <v>3556</v>
      </c>
      <c r="M459" t="s">
        <v>673</v>
      </c>
    </row>
    <row r="460" spans="1:13" x14ac:dyDescent="0.35">
      <c r="A460" t="s">
        <v>896</v>
      </c>
      <c r="B460" t="s">
        <v>317</v>
      </c>
      <c r="C460">
        <v>377078</v>
      </c>
      <c r="D460" t="s">
        <v>15</v>
      </c>
      <c r="E460" t="s">
        <v>897</v>
      </c>
      <c r="F460" t="s">
        <v>319</v>
      </c>
      <c r="G460" t="s">
        <v>131</v>
      </c>
      <c r="H460" t="s">
        <v>19</v>
      </c>
      <c r="I460" t="s">
        <v>132</v>
      </c>
      <c r="J460" t="s">
        <v>21</v>
      </c>
      <c r="K460" t="s">
        <v>123</v>
      </c>
      <c r="L460">
        <v>7108</v>
      </c>
      <c r="M460" t="s">
        <v>673</v>
      </c>
    </row>
    <row r="461" spans="1:13" x14ac:dyDescent="0.35">
      <c r="A461" t="s">
        <v>898</v>
      </c>
      <c r="B461" t="s">
        <v>317</v>
      </c>
      <c r="C461">
        <v>377079</v>
      </c>
      <c r="D461" t="s">
        <v>15</v>
      </c>
      <c r="E461" t="s">
        <v>899</v>
      </c>
      <c r="F461" t="s">
        <v>319</v>
      </c>
      <c r="G461" t="s">
        <v>900</v>
      </c>
      <c r="H461" t="s">
        <v>19</v>
      </c>
      <c r="I461" t="s">
        <v>901</v>
      </c>
      <c r="J461" t="s">
        <v>21</v>
      </c>
      <c r="K461" t="s">
        <v>123</v>
      </c>
      <c r="L461">
        <v>5726</v>
      </c>
      <c r="M461" t="s">
        <v>673</v>
      </c>
    </row>
    <row r="462" spans="1:13" x14ac:dyDescent="0.35">
      <c r="A462" t="s">
        <v>977</v>
      </c>
      <c r="B462" t="s">
        <v>317</v>
      </c>
      <c r="C462">
        <v>379490</v>
      </c>
      <c r="D462" t="s">
        <v>15</v>
      </c>
      <c r="E462" t="s">
        <v>978</v>
      </c>
      <c r="F462" t="s">
        <v>319</v>
      </c>
      <c r="G462" t="s">
        <v>208</v>
      </c>
      <c r="H462" t="s">
        <v>19</v>
      </c>
      <c r="I462" t="s">
        <v>209</v>
      </c>
      <c r="J462" t="s">
        <v>21</v>
      </c>
      <c r="K462" t="s">
        <v>123</v>
      </c>
      <c r="L462">
        <v>5768</v>
      </c>
      <c r="M462" t="s">
        <v>673</v>
      </c>
    </row>
    <row r="463" spans="1:13" x14ac:dyDescent="0.35">
      <c r="A463" t="s">
        <v>1122</v>
      </c>
      <c r="B463" t="s">
        <v>317</v>
      </c>
      <c r="C463">
        <v>384536</v>
      </c>
      <c r="D463" t="s">
        <v>15</v>
      </c>
      <c r="E463" t="s">
        <v>1123</v>
      </c>
      <c r="F463" t="s">
        <v>319</v>
      </c>
      <c r="G463" t="s">
        <v>714</v>
      </c>
      <c r="H463" t="s">
        <v>19</v>
      </c>
      <c r="I463" t="s">
        <v>715</v>
      </c>
      <c r="J463" t="s">
        <v>21</v>
      </c>
      <c r="K463" t="s">
        <v>123</v>
      </c>
      <c r="L463">
        <v>3556</v>
      </c>
      <c r="M463" t="s">
        <v>673</v>
      </c>
    </row>
    <row r="464" spans="1:13" x14ac:dyDescent="0.35">
      <c r="A464" t="s">
        <v>1124</v>
      </c>
      <c r="B464" t="s">
        <v>317</v>
      </c>
      <c r="C464">
        <v>384537</v>
      </c>
      <c r="D464" t="s">
        <v>15</v>
      </c>
      <c r="E464" t="s">
        <v>1125</v>
      </c>
      <c r="F464" t="s">
        <v>319</v>
      </c>
      <c r="G464" t="s">
        <v>1126</v>
      </c>
      <c r="H464" t="s">
        <v>19</v>
      </c>
      <c r="I464" t="s">
        <v>1127</v>
      </c>
      <c r="J464" t="s">
        <v>21</v>
      </c>
      <c r="K464" t="s">
        <v>123</v>
      </c>
      <c r="L464">
        <v>5769</v>
      </c>
      <c r="M464" t="s">
        <v>673</v>
      </c>
    </row>
    <row r="465" spans="1:13" x14ac:dyDescent="0.35">
      <c r="A465" t="s">
        <v>1219</v>
      </c>
      <c r="B465" t="s">
        <v>317</v>
      </c>
      <c r="C465">
        <v>386902</v>
      </c>
      <c r="D465" t="s">
        <v>15</v>
      </c>
      <c r="E465" t="s">
        <v>1220</v>
      </c>
      <c r="F465" t="s">
        <v>319</v>
      </c>
      <c r="G465" t="s">
        <v>121</v>
      </c>
      <c r="H465" t="s">
        <v>19</v>
      </c>
      <c r="I465" t="s">
        <v>122</v>
      </c>
      <c r="J465" t="s">
        <v>21</v>
      </c>
      <c r="K465" t="s">
        <v>123</v>
      </c>
      <c r="L465">
        <v>7499</v>
      </c>
      <c r="M465" t="s">
        <v>673</v>
      </c>
    </row>
    <row r="466" spans="1:13" x14ac:dyDescent="0.35">
      <c r="A466" t="s">
        <v>1456</v>
      </c>
      <c r="B466" t="s">
        <v>317</v>
      </c>
      <c r="C466">
        <v>393367</v>
      </c>
      <c r="D466" t="s">
        <v>15</v>
      </c>
      <c r="E466" t="s">
        <v>1457</v>
      </c>
      <c r="F466" t="s">
        <v>319</v>
      </c>
      <c r="G466" t="s">
        <v>277</v>
      </c>
      <c r="H466" t="s">
        <v>19</v>
      </c>
      <c r="I466" t="s">
        <v>278</v>
      </c>
      <c r="J466" t="s">
        <v>21</v>
      </c>
      <c r="K466" t="s">
        <v>123</v>
      </c>
      <c r="L466">
        <v>5770</v>
      </c>
      <c r="M466" t="s">
        <v>673</v>
      </c>
    </row>
    <row r="467" spans="1:13" x14ac:dyDescent="0.35">
      <c r="A467" t="s">
        <v>1458</v>
      </c>
      <c r="B467" t="s">
        <v>317</v>
      </c>
      <c r="C467">
        <v>393368</v>
      </c>
      <c r="D467" t="s">
        <v>15</v>
      </c>
      <c r="E467" t="s">
        <v>1459</v>
      </c>
      <c r="F467" t="s">
        <v>319</v>
      </c>
      <c r="G467" t="s">
        <v>861</v>
      </c>
      <c r="H467" t="s">
        <v>19</v>
      </c>
      <c r="I467" t="s">
        <v>862</v>
      </c>
      <c r="J467" t="s">
        <v>21</v>
      </c>
      <c r="K467" t="s">
        <v>123</v>
      </c>
      <c r="L467">
        <v>8099</v>
      </c>
      <c r="M467" t="s">
        <v>673</v>
      </c>
    </row>
    <row r="468" spans="1:13" x14ac:dyDescent="0.35">
      <c r="A468" t="s">
        <v>1462</v>
      </c>
      <c r="B468" t="s">
        <v>317</v>
      </c>
      <c r="C468">
        <v>393372</v>
      </c>
      <c r="D468" t="s">
        <v>15</v>
      </c>
      <c r="E468" t="s">
        <v>1463</v>
      </c>
      <c r="F468" t="s">
        <v>319</v>
      </c>
      <c r="G468" t="s">
        <v>1464</v>
      </c>
      <c r="H468" t="s">
        <v>19</v>
      </c>
      <c r="I468" t="s">
        <v>1465</v>
      </c>
      <c r="J468" t="s">
        <v>21</v>
      </c>
      <c r="K468" t="s">
        <v>123</v>
      </c>
      <c r="L468">
        <v>3557</v>
      </c>
      <c r="M468" t="s">
        <v>673</v>
      </c>
    </row>
    <row r="469" spans="1:13" x14ac:dyDescent="0.35">
      <c r="A469">
        <v>0</v>
      </c>
      <c r="B469" t="s">
        <v>317</v>
      </c>
      <c r="C469">
        <v>406883</v>
      </c>
      <c r="D469" t="s">
        <v>15</v>
      </c>
      <c r="E469" t="s">
        <v>1771</v>
      </c>
      <c r="F469" t="s">
        <v>319</v>
      </c>
      <c r="G469" t="s">
        <v>1362</v>
      </c>
      <c r="H469" t="s">
        <v>19</v>
      </c>
      <c r="I469" t="s">
        <v>1363</v>
      </c>
      <c r="J469" t="s">
        <v>21</v>
      </c>
      <c r="K469" t="s">
        <v>123</v>
      </c>
      <c r="L469">
        <v>7044</v>
      </c>
      <c r="M469" t="s">
        <v>673</v>
      </c>
    </row>
    <row r="470" spans="1:13" x14ac:dyDescent="0.35">
      <c r="A470">
        <v>0</v>
      </c>
      <c r="B470" t="s">
        <v>317</v>
      </c>
      <c r="C470">
        <v>406887</v>
      </c>
      <c r="D470" t="s">
        <v>15</v>
      </c>
      <c r="E470" t="s">
        <v>1775</v>
      </c>
      <c r="F470" t="s">
        <v>319</v>
      </c>
      <c r="G470" t="s">
        <v>208</v>
      </c>
      <c r="H470" t="s">
        <v>19</v>
      </c>
      <c r="I470" t="s">
        <v>209</v>
      </c>
      <c r="J470" t="s">
        <v>21</v>
      </c>
      <c r="K470" t="s">
        <v>123</v>
      </c>
      <c r="L470">
        <v>5768</v>
      </c>
      <c r="M470" t="s">
        <v>673</v>
      </c>
    </row>
    <row r="471" spans="1:13" x14ac:dyDescent="0.35">
      <c r="A471">
        <v>0</v>
      </c>
      <c r="B471" t="s">
        <v>317</v>
      </c>
      <c r="C471">
        <v>407081</v>
      </c>
      <c r="D471" t="s">
        <v>15</v>
      </c>
      <c r="E471" t="s">
        <v>1776</v>
      </c>
      <c r="F471" t="s">
        <v>319</v>
      </c>
      <c r="G471" t="s">
        <v>1126</v>
      </c>
      <c r="H471" t="s">
        <v>19</v>
      </c>
      <c r="I471" t="s">
        <v>1127</v>
      </c>
      <c r="J471" t="s">
        <v>21</v>
      </c>
      <c r="K471" t="s">
        <v>123</v>
      </c>
      <c r="L471">
        <v>5769</v>
      </c>
      <c r="M471" t="s">
        <v>673</v>
      </c>
    </row>
    <row r="472" spans="1:13" x14ac:dyDescent="0.35">
      <c r="A472" t="s">
        <v>334</v>
      </c>
      <c r="B472" t="s">
        <v>14</v>
      </c>
      <c r="C472">
        <v>344641</v>
      </c>
      <c r="D472" t="s">
        <v>15</v>
      </c>
      <c r="E472" t="s">
        <v>335</v>
      </c>
      <c r="F472" t="s">
        <v>17</v>
      </c>
      <c r="G472" t="s">
        <v>336</v>
      </c>
      <c r="H472" t="s">
        <v>19</v>
      </c>
      <c r="I472" t="s">
        <v>337</v>
      </c>
      <c r="J472" t="s">
        <v>21</v>
      </c>
      <c r="K472" t="s">
        <v>162</v>
      </c>
      <c r="L472">
        <v>5725</v>
      </c>
      <c r="M472" t="s">
        <v>23</v>
      </c>
    </row>
    <row r="473" spans="1:13" x14ac:dyDescent="0.35">
      <c r="A473" t="s">
        <v>423</v>
      </c>
      <c r="B473" t="s">
        <v>14</v>
      </c>
      <c r="C473">
        <v>350301</v>
      </c>
      <c r="D473" t="s">
        <v>15</v>
      </c>
      <c r="E473" t="s">
        <v>424</v>
      </c>
      <c r="F473" t="s">
        <v>17</v>
      </c>
      <c r="G473" t="s">
        <v>425</v>
      </c>
      <c r="H473" t="s">
        <v>19</v>
      </c>
      <c r="I473" t="s">
        <v>426</v>
      </c>
      <c r="J473" t="s">
        <v>21</v>
      </c>
      <c r="K473" t="s">
        <v>162</v>
      </c>
      <c r="L473">
        <v>7360</v>
      </c>
      <c r="M473" t="s">
        <v>23</v>
      </c>
    </row>
    <row r="474" spans="1:13" x14ac:dyDescent="0.35">
      <c r="A474" t="s">
        <v>593</v>
      </c>
      <c r="B474" t="s">
        <v>14</v>
      </c>
      <c r="C474">
        <v>365586</v>
      </c>
      <c r="D474" t="s">
        <v>15</v>
      </c>
      <c r="E474" t="s">
        <v>594</v>
      </c>
      <c r="F474" t="s">
        <v>17</v>
      </c>
      <c r="G474" t="s">
        <v>595</v>
      </c>
      <c r="H474" t="s">
        <v>19</v>
      </c>
      <c r="I474" t="s">
        <v>596</v>
      </c>
      <c r="J474" t="s">
        <v>21</v>
      </c>
      <c r="K474" t="s">
        <v>162</v>
      </c>
      <c r="L474">
        <v>3395</v>
      </c>
      <c r="M474" t="s">
        <v>23</v>
      </c>
    </row>
    <row r="475" spans="1:13" x14ac:dyDescent="0.35">
      <c r="A475" t="s">
        <v>597</v>
      </c>
      <c r="B475" t="s">
        <v>14</v>
      </c>
      <c r="C475">
        <v>365587</v>
      </c>
      <c r="D475" t="s">
        <v>15</v>
      </c>
      <c r="E475" t="s">
        <v>598</v>
      </c>
      <c r="F475" t="s">
        <v>17</v>
      </c>
      <c r="G475" t="s">
        <v>160</v>
      </c>
      <c r="H475" t="s">
        <v>19</v>
      </c>
      <c r="I475" t="s">
        <v>599</v>
      </c>
      <c r="J475" t="s">
        <v>21</v>
      </c>
      <c r="K475" t="s">
        <v>162</v>
      </c>
      <c r="L475">
        <v>3554</v>
      </c>
      <c r="M475" t="s">
        <v>23</v>
      </c>
    </row>
    <row r="476" spans="1:13" x14ac:dyDescent="0.35">
      <c r="A476" t="s">
        <v>892</v>
      </c>
      <c r="B476" t="s">
        <v>14</v>
      </c>
      <c r="C476">
        <v>376945</v>
      </c>
      <c r="D476" t="s">
        <v>15</v>
      </c>
      <c r="E476" t="s">
        <v>893</v>
      </c>
      <c r="F476" t="s">
        <v>17</v>
      </c>
      <c r="G476" t="s">
        <v>160</v>
      </c>
      <c r="H476" t="s">
        <v>19</v>
      </c>
      <c r="I476" t="s">
        <v>599</v>
      </c>
      <c r="J476" t="s">
        <v>21</v>
      </c>
      <c r="K476" t="s">
        <v>162</v>
      </c>
      <c r="L476">
        <v>3554</v>
      </c>
      <c r="M476" t="s">
        <v>23</v>
      </c>
    </row>
    <row r="477" spans="1:13" x14ac:dyDescent="0.35">
      <c r="A477" t="s">
        <v>1258</v>
      </c>
      <c r="B477" t="s">
        <v>14</v>
      </c>
      <c r="C477">
        <v>388353</v>
      </c>
      <c r="D477" t="s">
        <v>15</v>
      </c>
      <c r="E477" t="s">
        <v>1259</v>
      </c>
      <c r="F477" t="s">
        <v>17</v>
      </c>
      <c r="G477" t="s">
        <v>1260</v>
      </c>
      <c r="H477" t="s">
        <v>19</v>
      </c>
      <c r="I477" t="s">
        <v>1261</v>
      </c>
      <c r="J477" t="s">
        <v>21</v>
      </c>
      <c r="K477" t="s">
        <v>162</v>
      </c>
      <c r="L477">
        <v>8162</v>
      </c>
      <c r="M477" t="s">
        <v>23</v>
      </c>
    </row>
    <row r="478" spans="1:13" x14ac:dyDescent="0.35">
      <c r="A478" t="s">
        <v>1262</v>
      </c>
      <c r="B478" t="s">
        <v>14</v>
      </c>
      <c r="C478">
        <v>388354</v>
      </c>
      <c r="D478" t="s">
        <v>15</v>
      </c>
      <c r="E478" t="s">
        <v>1263</v>
      </c>
      <c r="F478" t="s">
        <v>17</v>
      </c>
      <c r="G478" t="s">
        <v>1161</v>
      </c>
      <c r="H478" t="s">
        <v>19</v>
      </c>
      <c r="I478" t="s">
        <v>1162</v>
      </c>
      <c r="J478" t="s">
        <v>21</v>
      </c>
      <c r="K478" t="s">
        <v>162</v>
      </c>
      <c r="L478">
        <v>7178</v>
      </c>
      <c r="M478" t="s">
        <v>23</v>
      </c>
    </row>
    <row r="479" spans="1:13" x14ac:dyDescent="0.35">
      <c r="A479" t="s">
        <v>1438</v>
      </c>
      <c r="B479" t="s">
        <v>14</v>
      </c>
      <c r="C479">
        <v>392964</v>
      </c>
      <c r="D479" t="s">
        <v>15</v>
      </c>
      <c r="E479" t="s">
        <v>1439</v>
      </c>
      <c r="F479" t="s">
        <v>17</v>
      </c>
      <c r="G479" t="s">
        <v>425</v>
      </c>
      <c r="H479" t="s">
        <v>19</v>
      </c>
      <c r="I479" t="s">
        <v>426</v>
      </c>
      <c r="J479" t="s">
        <v>21</v>
      </c>
      <c r="K479" t="s">
        <v>162</v>
      </c>
      <c r="L479">
        <v>7360</v>
      </c>
      <c r="M479" t="s">
        <v>23</v>
      </c>
    </row>
    <row r="480" spans="1:13" x14ac:dyDescent="0.35">
      <c r="A480" t="s">
        <v>1515</v>
      </c>
      <c r="B480" t="s">
        <v>14</v>
      </c>
      <c r="C480">
        <v>397988</v>
      </c>
      <c r="D480" t="s">
        <v>15</v>
      </c>
      <c r="E480" t="s">
        <v>1542</v>
      </c>
      <c r="F480" t="s">
        <v>17</v>
      </c>
      <c r="G480" t="s">
        <v>595</v>
      </c>
      <c r="H480" t="s">
        <v>19</v>
      </c>
      <c r="I480" t="s">
        <v>596</v>
      </c>
      <c r="J480" t="s">
        <v>21</v>
      </c>
      <c r="K480" t="s">
        <v>162</v>
      </c>
      <c r="L480">
        <v>3395</v>
      </c>
      <c r="M480" t="s">
        <v>23</v>
      </c>
    </row>
    <row r="481" spans="1:13" x14ac:dyDescent="0.35">
      <c r="A481" t="s">
        <v>1515</v>
      </c>
      <c r="B481" t="s">
        <v>14</v>
      </c>
      <c r="C481">
        <v>403533</v>
      </c>
      <c r="D481" t="s">
        <v>15</v>
      </c>
      <c r="E481" t="s">
        <v>1672</v>
      </c>
      <c r="F481" t="s">
        <v>17</v>
      </c>
      <c r="G481" t="s">
        <v>336</v>
      </c>
      <c r="H481" t="s">
        <v>19</v>
      </c>
      <c r="I481" t="s">
        <v>337</v>
      </c>
      <c r="J481" t="s">
        <v>21</v>
      </c>
      <c r="K481" t="s">
        <v>162</v>
      </c>
      <c r="L481">
        <v>5725</v>
      </c>
      <c r="M481" t="s">
        <v>23</v>
      </c>
    </row>
    <row r="482" spans="1:13" x14ac:dyDescent="0.35">
      <c r="A482" t="s">
        <v>1515</v>
      </c>
      <c r="B482" t="s">
        <v>14</v>
      </c>
      <c r="C482">
        <v>408235</v>
      </c>
      <c r="D482" t="s">
        <v>15</v>
      </c>
      <c r="E482" t="s">
        <v>1798</v>
      </c>
      <c r="F482" t="s">
        <v>17</v>
      </c>
      <c r="G482" t="s">
        <v>1161</v>
      </c>
      <c r="H482" t="s">
        <v>19</v>
      </c>
      <c r="I482" t="s">
        <v>1162</v>
      </c>
      <c r="J482" t="s">
        <v>21</v>
      </c>
      <c r="K482" t="s">
        <v>162</v>
      </c>
      <c r="L482">
        <v>7178</v>
      </c>
      <c r="M482" t="s">
        <v>23</v>
      </c>
    </row>
    <row r="483" spans="1:13" x14ac:dyDescent="0.35">
      <c r="A483" t="s">
        <v>1159</v>
      </c>
      <c r="B483" t="s">
        <v>317</v>
      </c>
      <c r="C483">
        <v>385235</v>
      </c>
      <c r="D483" t="s">
        <v>15</v>
      </c>
      <c r="E483" t="s">
        <v>1160</v>
      </c>
      <c r="F483" t="s">
        <v>319</v>
      </c>
      <c r="G483" t="s">
        <v>1161</v>
      </c>
      <c r="H483" t="s">
        <v>19</v>
      </c>
      <c r="I483" t="s">
        <v>1162</v>
      </c>
      <c r="J483" t="s">
        <v>21</v>
      </c>
      <c r="K483" t="s">
        <v>162</v>
      </c>
      <c r="L483">
        <v>7178</v>
      </c>
      <c r="M483" t="s">
        <v>673</v>
      </c>
    </row>
    <row r="484" spans="1:13" x14ac:dyDescent="0.35">
      <c r="A484" t="s">
        <v>1265</v>
      </c>
      <c r="B484" t="s">
        <v>317</v>
      </c>
      <c r="C484">
        <v>388546</v>
      </c>
      <c r="D484" t="s">
        <v>15</v>
      </c>
      <c r="E484" t="s">
        <v>1266</v>
      </c>
      <c r="F484" t="s">
        <v>319</v>
      </c>
      <c r="G484" t="s">
        <v>336</v>
      </c>
      <c r="H484" t="s">
        <v>19</v>
      </c>
      <c r="I484" t="s">
        <v>337</v>
      </c>
      <c r="J484" t="s">
        <v>21</v>
      </c>
      <c r="K484" t="s">
        <v>162</v>
      </c>
      <c r="L484">
        <v>5725</v>
      </c>
      <c r="M484" t="s">
        <v>673</v>
      </c>
    </row>
    <row r="485" spans="1:13" x14ac:dyDescent="0.35">
      <c r="A485" t="s">
        <v>1443</v>
      </c>
      <c r="B485" t="s">
        <v>317</v>
      </c>
      <c r="C485">
        <v>392966</v>
      </c>
      <c r="D485" t="s">
        <v>15</v>
      </c>
      <c r="E485" t="s">
        <v>1444</v>
      </c>
      <c r="F485" t="s">
        <v>319</v>
      </c>
      <c r="G485" t="s">
        <v>1260</v>
      </c>
      <c r="H485" t="s">
        <v>19</v>
      </c>
      <c r="I485" t="s">
        <v>1261</v>
      </c>
      <c r="J485" t="s">
        <v>21</v>
      </c>
      <c r="K485" t="s">
        <v>162</v>
      </c>
      <c r="L485">
        <v>8162</v>
      </c>
      <c r="M485" t="s">
        <v>673</v>
      </c>
    </row>
    <row r="486" spans="1:13" x14ac:dyDescent="0.35">
      <c r="A486">
        <v>0</v>
      </c>
      <c r="B486" t="s">
        <v>317</v>
      </c>
      <c r="C486">
        <v>398100</v>
      </c>
      <c r="D486" t="s">
        <v>15</v>
      </c>
      <c r="E486" t="s">
        <v>1543</v>
      </c>
      <c r="F486" t="s">
        <v>319</v>
      </c>
      <c r="G486" t="s">
        <v>595</v>
      </c>
      <c r="H486" t="s">
        <v>19</v>
      </c>
      <c r="I486" t="s">
        <v>596</v>
      </c>
      <c r="J486" t="s">
        <v>21</v>
      </c>
      <c r="K486" t="s">
        <v>162</v>
      </c>
      <c r="L486">
        <v>3395</v>
      </c>
      <c r="M486" t="s">
        <v>673</v>
      </c>
    </row>
    <row r="487" spans="1:13" x14ac:dyDescent="0.35">
      <c r="A487">
        <v>0</v>
      </c>
      <c r="B487" t="s">
        <v>317</v>
      </c>
      <c r="C487">
        <v>398101</v>
      </c>
      <c r="D487" t="s">
        <v>15</v>
      </c>
      <c r="E487" t="s">
        <v>1544</v>
      </c>
      <c r="F487" t="s">
        <v>319</v>
      </c>
      <c r="G487" t="s">
        <v>425</v>
      </c>
      <c r="H487" t="s">
        <v>19</v>
      </c>
      <c r="I487" t="s">
        <v>426</v>
      </c>
      <c r="J487" t="s">
        <v>21</v>
      </c>
      <c r="K487" t="s">
        <v>162</v>
      </c>
      <c r="L487">
        <v>7360</v>
      </c>
      <c r="M487" t="s">
        <v>673</v>
      </c>
    </row>
    <row r="488" spans="1:13" x14ac:dyDescent="0.35">
      <c r="A488">
        <v>0</v>
      </c>
      <c r="B488" t="s">
        <v>317</v>
      </c>
      <c r="C488">
        <v>408236</v>
      </c>
      <c r="D488" t="s">
        <v>15</v>
      </c>
      <c r="E488" t="s">
        <v>1799</v>
      </c>
      <c r="F488" t="s">
        <v>319</v>
      </c>
      <c r="G488" t="s">
        <v>160</v>
      </c>
      <c r="H488" t="s">
        <v>19</v>
      </c>
      <c r="I488" t="s">
        <v>599</v>
      </c>
      <c r="J488" t="s">
        <v>21</v>
      </c>
      <c r="K488" t="s">
        <v>162</v>
      </c>
      <c r="L488">
        <v>3554</v>
      </c>
      <c r="M488" t="s">
        <v>673</v>
      </c>
    </row>
    <row r="489" spans="1:13" x14ac:dyDescent="0.35">
      <c r="A489">
        <v>0</v>
      </c>
      <c r="B489" t="s">
        <v>317</v>
      </c>
      <c r="C489">
        <v>408295</v>
      </c>
      <c r="D489" t="s">
        <v>15</v>
      </c>
      <c r="E489" t="s">
        <v>1800</v>
      </c>
      <c r="F489" t="s">
        <v>319</v>
      </c>
      <c r="G489" t="s">
        <v>595</v>
      </c>
      <c r="H489" t="s">
        <v>19</v>
      </c>
      <c r="I489" t="s">
        <v>596</v>
      </c>
      <c r="J489" t="s">
        <v>21</v>
      </c>
      <c r="K489" t="s">
        <v>162</v>
      </c>
      <c r="L489">
        <v>3395</v>
      </c>
      <c r="M489" t="s">
        <v>673</v>
      </c>
    </row>
    <row r="490" spans="1:13" x14ac:dyDescent="0.35">
      <c r="A490">
        <v>0</v>
      </c>
      <c r="B490" t="s">
        <v>317</v>
      </c>
      <c r="C490">
        <v>409241</v>
      </c>
      <c r="D490" t="s">
        <v>15</v>
      </c>
      <c r="E490" t="s">
        <v>1822</v>
      </c>
      <c r="F490" t="s">
        <v>319</v>
      </c>
      <c r="G490" t="s">
        <v>336</v>
      </c>
      <c r="H490" t="s">
        <v>19</v>
      </c>
      <c r="I490" t="s">
        <v>337</v>
      </c>
      <c r="J490" t="s">
        <v>21</v>
      </c>
      <c r="K490" t="s">
        <v>162</v>
      </c>
      <c r="L490">
        <v>5725</v>
      </c>
      <c r="M490" t="s">
        <v>673</v>
      </c>
    </row>
    <row r="491" spans="1:13" x14ac:dyDescent="0.35">
      <c r="A491" t="s">
        <v>466</v>
      </c>
      <c r="B491" t="s">
        <v>14</v>
      </c>
      <c r="C491">
        <v>354685</v>
      </c>
      <c r="D491" t="s">
        <v>15</v>
      </c>
      <c r="E491" t="s">
        <v>467</v>
      </c>
      <c r="F491" t="s">
        <v>17</v>
      </c>
      <c r="G491" t="s">
        <v>468</v>
      </c>
      <c r="H491" t="s">
        <v>19</v>
      </c>
      <c r="I491" t="s">
        <v>469</v>
      </c>
      <c r="J491" t="s">
        <v>21</v>
      </c>
      <c r="K491" t="s">
        <v>232</v>
      </c>
      <c r="L491">
        <v>7902</v>
      </c>
      <c r="M491" t="s">
        <v>23</v>
      </c>
    </row>
    <row r="492" spans="1:13" x14ac:dyDescent="0.35">
      <c r="A492" t="s">
        <v>986</v>
      </c>
      <c r="B492" t="s">
        <v>14</v>
      </c>
      <c r="C492">
        <v>379861</v>
      </c>
      <c r="D492" t="s">
        <v>15</v>
      </c>
      <c r="E492" t="s">
        <v>987</v>
      </c>
      <c r="F492" t="s">
        <v>17</v>
      </c>
      <c r="G492" t="s">
        <v>885</v>
      </c>
      <c r="H492" t="s">
        <v>19</v>
      </c>
      <c r="I492" t="s">
        <v>988</v>
      </c>
      <c r="J492" t="s">
        <v>21</v>
      </c>
      <c r="K492" t="s">
        <v>232</v>
      </c>
      <c r="L492">
        <v>8062</v>
      </c>
      <c r="M492" t="s">
        <v>23</v>
      </c>
    </row>
    <row r="493" spans="1:13" x14ac:dyDescent="0.35">
      <c r="A493" t="s">
        <v>1167</v>
      </c>
      <c r="B493" t="s">
        <v>14</v>
      </c>
      <c r="C493">
        <v>385238</v>
      </c>
      <c r="D493" t="s">
        <v>15</v>
      </c>
      <c r="E493" t="s">
        <v>1168</v>
      </c>
      <c r="F493" t="s">
        <v>17</v>
      </c>
      <c r="G493" t="s">
        <v>876</v>
      </c>
      <c r="H493" t="s">
        <v>19</v>
      </c>
      <c r="I493" t="s">
        <v>877</v>
      </c>
      <c r="J493" t="s">
        <v>21</v>
      </c>
      <c r="K493" t="s">
        <v>232</v>
      </c>
      <c r="L493">
        <v>7498</v>
      </c>
      <c r="M493" t="s">
        <v>23</v>
      </c>
    </row>
    <row r="494" spans="1:13" x14ac:dyDescent="0.35">
      <c r="A494" t="s">
        <v>1303</v>
      </c>
      <c r="B494" t="s">
        <v>14</v>
      </c>
      <c r="C494">
        <v>389660</v>
      </c>
      <c r="D494" t="s">
        <v>15</v>
      </c>
      <c r="E494" t="s">
        <v>1304</v>
      </c>
      <c r="F494" t="s">
        <v>17</v>
      </c>
      <c r="G494" t="s">
        <v>840</v>
      </c>
      <c r="H494" t="s">
        <v>19</v>
      </c>
      <c r="I494" t="s">
        <v>1305</v>
      </c>
      <c r="J494" t="s">
        <v>21</v>
      </c>
      <c r="K494" t="s">
        <v>232</v>
      </c>
      <c r="L494">
        <v>3373</v>
      </c>
      <c r="M494" t="s">
        <v>23</v>
      </c>
    </row>
    <row r="495" spans="1:13" x14ac:dyDescent="0.35">
      <c r="A495" t="s">
        <v>1420</v>
      </c>
      <c r="B495" t="s">
        <v>14</v>
      </c>
      <c r="C495">
        <v>392515</v>
      </c>
      <c r="D495" t="s">
        <v>15</v>
      </c>
      <c r="E495" t="s">
        <v>1421</v>
      </c>
      <c r="F495" t="s">
        <v>17</v>
      </c>
      <c r="G495" t="s">
        <v>1422</v>
      </c>
      <c r="H495" t="s">
        <v>19</v>
      </c>
      <c r="I495" t="s">
        <v>1423</v>
      </c>
      <c r="J495" t="s">
        <v>21</v>
      </c>
      <c r="K495" t="s">
        <v>232</v>
      </c>
      <c r="L495">
        <v>7101</v>
      </c>
      <c r="M495" t="s">
        <v>23</v>
      </c>
    </row>
    <row r="496" spans="1:13" x14ac:dyDescent="0.35">
      <c r="A496" t="s">
        <v>1515</v>
      </c>
      <c r="B496" t="s">
        <v>14</v>
      </c>
      <c r="C496">
        <v>405706</v>
      </c>
      <c r="D496" t="s">
        <v>15</v>
      </c>
      <c r="E496" t="s">
        <v>1741</v>
      </c>
      <c r="F496" t="s">
        <v>17</v>
      </c>
      <c r="G496" t="s">
        <v>772</v>
      </c>
      <c r="H496" t="s">
        <v>19</v>
      </c>
      <c r="I496" t="s">
        <v>773</v>
      </c>
      <c r="J496" t="s">
        <v>21</v>
      </c>
      <c r="K496" t="s">
        <v>232</v>
      </c>
      <c r="L496">
        <v>5604</v>
      </c>
      <c r="M496" t="s">
        <v>23</v>
      </c>
    </row>
    <row r="497" spans="1:13" x14ac:dyDescent="0.35">
      <c r="A497" t="s">
        <v>770</v>
      </c>
      <c r="B497" t="s">
        <v>317</v>
      </c>
      <c r="C497">
        <v>374168</v>
      </c>
      <c r="D497" t="s">
        <v>15</v>
      </c>
      <c r="E497" t="s">
        <v>771</v>
      </c>
      <c r="F497" t="s">
        <v>319</v>
      </c>
      <c r="G497" t="s">
        <v>772</v>
      </c>
      <c r="H497" t="s">
        <v>19</v>
      </c>
      <c r="I497" t="s">
        <v>773</v>
      </c>
      <c r="J497" t="s">
        <v>21</v>
      </c>
      <c r="K497" t="s">
        <v>232</v>
      </c>
      <c r="L497">
        <v>5604</v>
      </c>
      <c r="M497" t="s">
        <v>673</v>
      </c>
    </row>
    <row r="498" spans="1:13" x14ac:dyDescent="0.35">
      <c r="A498" t="s">
        <v>774</v>
      </c>
      <c r="B498" t="s">
        <v>317</v>
      </c>
      <c r="C498">
        <v>374171</v>
      </c>
      <c r="D498" t="s">
        <v>15</v>
      </c>
      <c r="E498" t="s">
        <v>775</v>
      </c>
      <c r="F498" t="s">
        <v>319</v>
      </c>
      <c r="G498" t="s">
        <v>468</v>
      </c>
      <c r="H498" t="s">
        <v>19</v>
      </c>
      <c r="I498" t="s">
        <v>469</v>
      </c>
      <c r="J498" t="s">
        <v>21</v>
      </c>
      <c r="K498" t="s">
        <v>232</v>
      </c>
      <c r="L498">
        <v>7902</v>
      </c>
      <c r="M498" t="s">
        <v>673</v>
      </c>
    </row>
    <row r="499" spans="1:13" x14ac:dyDescent="0.35">
      <c r="A499" t="s">
        <v>874</v>
      </c>
      <c r="B499" t="s">
        <v>317</v>
      </c>
      <c r="C499">
        <v>376687</v>
      </c>
      <c r="D499" t="s">
        <v>15</v>
      </c>
      <c r="E499" t="s">
        <v>875</v>
      </c>
      <c r="F499" t="s">
        <v>319</v>
      </c>
      <c r="G499" t="s">
        <v>876</v>
      </c>
      <c r="H499" t="s">
        <v>19</v>
      </c>
      <c r="I499" t="s">
        <v>877</v>
      </c>
      <c r="J499" t="s">
        <v>21</v>
      </c>
      <c r="K499" t="s">
        <v>232</v>
      </c>
      <c r="L499">
        <v>7498</v>
      </c>
      <c r="M499" t="s">
        <v>673</v>
      </c>
    </row>
    <row r="500" spans="1:13" x14ac:dyDescent="0.35">
      <c r="A500" t="s">
        <v>1480</v>
      </c>
      <c r="B500" t="s">
        <v>317</v>
      </c>
      <c r="C500">
        <v>393710</v>
      </c>
      <c r="D500" t="s">
        <v>15</v>
      </c>
      <c r="E500" t="s">
        <v>1481</v>
      </c>
      <c r="F500" t="s">
        <v>319</v>
      </c>
      <c r="G500" t="s">
        <v>885</v>
      </c>
      <c r="H500" t="s">
        <v>19</v>
      </c>
      <c r="I500" t="s">
        <v>988</v>
      </c>
      <c r="J500" t="s">
        <v>21</v>
      </c>
      <c r="K500" t="s">
        <v>232</v>
      </c>
      <c r="L500">
        <v>8062</v>
      </c>
      <c r="M500" t="s">
        <v>673</v>
      </c>
    </row>
    <row r="501" spans="1:13" x14ac:dyDescent="0.35">
      <c r="A501" t="s">
        <v>1482</v>
      </c>
      <c r="B501" t="s">
        <v>317</v>
      </c>
      <c r="C501">
        <v>393711</v>
      </c>
      <c r="D501" t="s">
        <v>15</v>
      </c>
      <c r="E501" t="s">
        <v>1483</v>
      </c>
      <c r="F501" t="s">
        <v>319</v>
      </c>
      <c r="G501" t="s">
        <v>840</v>
      </c>
      <c r="H501" t="s">
        <v>19</v>
      </c>
      <c r="I501" t="s">
        <v>1305</v>
      </c>
      <c r="J501" t="s">
        <v>21</v>
      </c>
      <c r="K501" t="s">
        <v>232</v>
      </c>
      <c r="L501">
        <v>3373</v>
      </c>
      <c r="M501" t="s">
        <v>673</v>
      </c>
    </row>
    <row r="502" spans="1:13" x14ac:dyDescent="0.35">
      <c r="A502">
        <v>0</v>
      </c>
      <c r="B502" t="s">
        <v>317</v>
      </c>
      <c r="C502">
        <v>397217</v>
      </c>
      <c r="D502" t="s">
        <v>15</v>
      </c>
      <c r="E502" t="s">
        <v>1537</v>
      </c>
      <c r="F502" t="s">
        <v>319</v>
      </c>
      <c r="G502" t="s">
        <v>1422</v>
      </c>
      <c r="H502" t="s">
        <v>19</v>
      </c>
      <c r="I502" t="s">
        <v>1423</v>
      </c>
      <c r="J502" t="s">
        <v>21</v>
      </c>
      <c r="K502" t="s">
        <v>232</v>
      </c>
      <c r="L502">
        <v>7101</v>
      </c>
      <c r="M502" t="s">
        <v>673</v>
      </c>
    </row>
    <row r="503" spans="1:13" x14ac:dyDescent="0.35">
      <c r="A503">
        <v>0</v>
      </c>
      <c r="B503" t="s">
        <v>317</v>
      </c>
      <c r="C503">
        <v>411218</v>
      </c>
      <c r="D503" t="s">
        <v>15</v>
      </c>
      <c r="E503" t="s">
        <v>1869</v>
      </c>
      <c r="F503" t="s">
        <v>319</v>
      </c>
      <c r="G503" t="s">
        <v>840</v>
      </c>
      <c r="H503" t="s">
        <v>19</v>
      </c>
      <c r="I503" t="s">
        <v>1305</v>
      </c>
      <c r="J503" t="s">
        <v>21</v>
      </c>
      <c r="K503" t="s">
        <v>232</v>
      </c>
      <c r="L503">
        <v>3373</v>
      </c>
      <c r="M503" t="s">
        <v>673</v>
      </c>
    </row>
    <row r="504" spans="1:13" x14ac:dyDescent="0.35">
      <c r="A504" t="s">
        <v>83</v>
      </c>
      <c r="B504" t="s">
        <v>14</v>
      </c>
      <c r="C504">
        <v>328415</v>
      </c>
      <c r="D504" t="s">
        <v>15</v>
      </c>
      <c r="E504" t="s">
        <v>84</v>
      </c>
      <c r="F504" t="s">
        <v>17</v>
      </c>
      <c r="G504" t="s">
        <v>85</v>
      </c>
      <c r="H504" t="s">
        <v>19</v>
      </c>
      <c r="I504" t="s">
        <v>86</v>
      </c>
      <c r="J504" t="s">
        <v>21</v>
      </c>
      <c r="K504" t="s">
        <v>87</v>
      </c>
      <c r="L504">
        <v>7186</v>
      </c>
      <c r="M504" t="s">
        <v>23</v>
      </c>
    </row>
    <row r="505" spans="1:13" x14ac:dyDescent="0.35">
      <c r="A505" t="s">
        <v>88</v>
      </c>
      <c r="B505" t="s">
        <v>14</v>
      </c>
      <c r="C505">
        <v>328421</v>
      </c>
      <c r="D505" t="s">
        <v>15</v>
      </c>
      <c r="E505" t="s">
        <v>89</v>
      </c>
      <c r="F505" t="s">
        <v>17</v>
      </c>
      <c r="G505" t="s">
        <v>90</v>
      </c>
      <c r="H505" t="s">
        <v>19</v>
      </c>
      <c r="I505" t="s">
        <v>91</v>
      </c>
      <c r="J505" t="s">
        <v>21</v>
      </c>
      <c r="K505" t="s">
        <v>87</v>
      </c>
      <c r="L505">
        <v>5787</v>
      </c>
      <c r="M505" t="s">
        <v>23</v>
      </c>
    </row>
    <row r="506" spans="1:13" x14ac:dyDescent="0.35">
      <c r="A506" t="s">
        <v>260</v>
      </c>
      <c r="B506" t="s">
        <v>14</v>
      </c>
      <c r="C506">
        <v>338217</v>
      </c>
      <c r="D506" t="s">
        <v>15</v>
      </c>
      <c r="E506" t="s">
        <v>261</v>
      </c>
      <c r="F506" t="s">
        <v>17</v>
      </c>
      <c r="G506" t="s">
        <v>262</v>
      </c>
      <c r="H506" t="s">
        <v>19</v>
      </c>
      <c r="I506" t="s">
        <v>263</v>
      </c>
      <c r="J506" t="s">
        <v>21</v>
      </c>
      <c r="K506" t="s">
        <v>87</v>
      </c>
      <c r="L506">
        <v>3558</v>
      </c>
      <c r="M506" t="s">
        <v>23</v>
      </c>
    </row>
    <row r="507" spans="1:13" x14ac:dyDescent="0.35">
      <c r="A507" t="s">
        <v>365</v>
      </c>
      <c r="B507" t="s">
        <v>14</v>
      </c>
      <c r="C507">
        <v>346693</v>
      </c>
      <c r="D507" t="s">
        <v>15</v>
      </c>
      <c r="E507" t="s">
        <v>366</v>
      </c>
      <c r="F507" t="s">
        <v>17</v>
      </c>
      <c r="G507" t="s">
        <v>367</v>
      </c>
      <c r="H507" t="s">
        <v>19</v>
      </c>
      <c r="I507" t="s">
        <v>368</v>
      </c>
      <c r="J507" t="s">
        <v>21</v>
      </c>
      <c r="K507" t="s">
        <v>87</v>
      </c>
      <c r="L507">
        <v>5784</v>
      </c>
      <c r="M507" t="s">
        <v>23</v>
      </c>
    </row>
    <row r="508" spans="1:13" x14ac:dyDescent="0.35">
      <c r="A508" t="s">
        <v>585</v>
      </c>
      <c r="B508" t="s">
        <v>14</v>
      </c>
      <c r="C508">
        <v>365122</v>
      </c>
      <c r="D508" t="s">
        <v>15</v>
      </c>
      <c r="E508" t="s">
        <v>586</v>
      </c>
      <c r="F508" t="s">
        <v>17</v>
      </c>
      <c r="G508" t="s">
        <v>90</v>
      </c>
      <c r="H508" t="s">
        <v>19</v>
      </c>
      <c r="I508" t="s">
        <v>91</v>
      </c>
      <c r="J508" t="s">
        <v>21</v>
      </c>
      <c r="K508" t="s">
        <v>87</v>
      </c>
      <c r="L508">
        <v>5787</v>
      </c>
      <c r="M508" t="s">
        <v>23</v>
      </c>
    </row>
    <row r="509" spans="1:13" x14ac:dyDescent="0.35">
      <c r="A509" t="s">
        <v>587</v>
      </c>
      <c r="B509" t="s">
        <v>14</v>
      </c>
      <c r="C509">
        <v>365125</v>
      </c>
      <c r="D509" t="s">
        <v>15</v>
      </c>
      <c r="E509" t="s">
        <v>588</v>
      </c>
      <c r="F509" t="s">
        <v>17</v>
      </c>
      <c r="G509" t="s">
        <v>85</v>
      </c>
      <c r="H509" t="s">
        <v>19</v>
      </c>
      <c r="I509" t="s">
        <v>86</v>
      </c>
      <c r="J509" t="s">
        <v>21</v>
      </c>
      <c r="K509" t="s">
        <v>87</v>
      </c>
      <c r="L509">
        <v>7186</v>
      </c>
      <c r="M509" t="s">
        <v>23</v>
      </c>
    </row>
    <row r="510" spans="1:13" x14ac:dyDescent="0.35">
      <c r="A510" t="s">
        <v>704</v>
      </c>
      <c r="B510" t="s">
        <v>14</v>
      </c>
      <c r="C510">
        <v>373059</v>
      </c>
      <c r="D510" t="s">
        <v>15</v>
      </c>
      <c r="E510" t="s">
        <v>705</v>
      </c>
      <c r="F510" t="s">
        <v>17</v>
      </c>
      <c r="G510" t="s">
        <v>706</v>
      </c>
      <c r="H510" t="s">
        <v>19</v>
      </c>
      <c r="I510" t="s">
        <v>707</v>
      </c>
      <c r="J510" t="s">
        <v>21</v>
      </c>
      <c r="K510" t="s">
        <v>87</v>
      </c>
      <c r="L510">
        <v>5782</v>
      </c>
      <c r="M510" t="s">
        <v>23</v>
      </c>
    </row>
    <row r="511" spans="1:13" x14ac:dyDescent="0.35">
      <c r="A511" t="s">
        <v>708</v>
      </c>
      <c r="B511" t="s">
        <v>14</v>
      </c>
      <c r="C511">
        <v>373062</v>
      </c>
      <c r="D511" t="s">
        <v>15</v>
      </c>
      <c r="E511" t="s">
        <v>709</v>
      </c>
      <c r="F511" t="s">
        <v>17</v>
      </c>
      <c r="G511" t="s">
        <v>710</v>
      </c>
      <c r="H511" t="s">
        <v>19</v>
      </c>
      <c r="I511" t="s">
        <v>711</v>
      </c>
      <c r="J511" t="s">
        <v>21</v>
      </c>
      <c r="K511" t="s">
        <v>87</v>
      </c>
      <c r="L511">
        <v>5786</v>
      </c>
      <c r="M511" t="s">
        <v>23</v>
      </c>
    </row>
    <row r="512" spans="1:13" x14ac:dyDescent="0.35">
      <c r="A512" t="s">
        <v>728</v>
      </c>
      <c r="B512" t="s">
        <v>14</v>
      </c>
      <c r="C512">
        <v>373695</v>
      </c>
      <c r="D512" t="s">
        <v>15</v>
      </c>
      <c r="E512" t="s">
        <v>729</v>
      </c>
      <c r="F512" t="s">
        <v>17</v>
      </c>
      <c r="G512" t="s">
        <v>730</v>
      </c>
      <c r="H512" t="s">
        <v>19</v>
      </c>
      <c r="I512" t="s">
        <v>731</v>
      </c>
      <c r="J512" t="s">
        <v>21</v>
      </c>
      <c r="K512" t="s">
        <v>87</v>
      </c>
      <c r="L512">
        <v>7196</v>
      </c>
      <c r="M512" t="s">
        <v>23</v>
      </c>
    </row>
    <row r="513" spans="1:13" x14ac:dyDescent="0.35">
      <c r="A513" t="s">
        <v>778</v>
      </c>
      <c r="B513" t="s">
        <v>14</v>
      </c>
      <c r="C513">
        <v>374297</v>
      </c>
      <c r="D513" t="s">
        <v>15</v>
      </c>
      <c r="E513" t="s">
        <v>779</v>
      </c>
      <c r="F513" t="s">
        <v>17</v>
      </c>
      <c r="G513" t="s">
        <v>780</v>
      </c>
      <c r="H513" t="s">
        <v>19</v>
      </c>
      <c r="I513" t="s">
        <v>781</v>
      </c>
      <c r="J513" t="s">
        <v>21</v>
      </c>
      <c r="K513" t="s">
        <v>87</v>
      </c>
      <c r="L513">
        <v>7454</v>
      </c>
      <c r="M513" t="s">
        <v>23</v>
      </c>
    </row>
    <row r="514" spans="1:13" x14ac:dyDescent="0.35">
      <c r="A514" t="s">
        <v>933</v>
      </c>
      <c r="B514" t="s">
        <v>14</v>
      </c>
      <c r="C514">
        <v>378182</v>
      </c>
      <c r="D514" t="s">
        <v>15</v>
      </c>
      <c r="E514" t="s">
        <v>934</v>
      </c>
      <c r="F514" t="s">
        <v>17</v>
      </c>
      <c r="G514" t="s">
        <v>935</v>
      </c>
      <c r="H514" t="s">
        <v>19</v>
      </c>
      <c r="I514" t="s">
        <v>936</v>
      </c>
      <c r="J514" t="s">
        <v>21</v>
      </c>
      <c r="K514" t="s">
        <v>87</v>
      </c>
      <c r="L514">
        <v>5783</v>
      </c>
      <c r="M514" t="s">
        <v>23</v>
      </c>
    </row>
    <row r="515" spans="1:13" x14ac:dyDescent="0.35">
      <c r="A515" t="s">
        <v>1324</v>
      </c>
      <c r="B515" t="s">
        <v>14</v>
      </c>
      <c r="C515">
        <v>390407</v>
      </c>
      <c r="D515" t="s">
        <v>15</v>
      </c>
      <c r="E515" t="s">
        <v>1325</v>
      </c>
      <c r="F515" t="s">
        <v>17</v>
      </c>
      <c r="G515" t="s">
        <v>1326</v>
      </c>
      <c r="H515" t="s">
        <v>19</v>
      </c>
      <c r="I515" t="s">
        <v>1327</v>
      </c>
      <c r="J515" t="s">
        <v>21</v>
      </c>
      <c r="K515" t="s">
        <v>87</v>
      </c>
      <c r="L515">
        <v>5785</v>
      </c>
      <c r="M515" t="s">
        <v>23</v>
      </c>
    </row>
    <row r="516" spans="1:13" x14ac:dyDescent="0.35">
      <c r="A516" t="s">
        <v>1375</v>
      </c>
      <c r="B516" t="s">
        <v>14</v>
      </c>
      <c r="C516">
        <v>392399</v>
      </c>
      <c r="D516" t="s">
        <v>15</v>
      </c>
      <c r="E516" t="s">
        <v>1376</v>
      </c>
      <c r="F516" t="s">
        <v>17</v>
      </c>
      <c r="G516" t="s">
        <v>935</v>
      </c>
      <c r="H516" t="s">
        <v>19</v>
      </c>
      <c r="I516" t="s">
        <v>936</v>
      </c>
      <c r="J516" t="s">
        <v>21</v>
      </c>
      <c r="K516" t="s">
        <v>87</v>
      </c>
      <c r="L516">
        <v>5783</v>
      </c>
      <c r="M516" t="s">
        <v>23</v>
      </c>
    </row>
    <row r="517" spans="1:13" x14ac:dyDescent="0.35">
      <c r="A517">
        <v>0</v>
      </c>
      <c r="B517" t="s">
        <v>14</v>
      </c>
      <c r="C517">
        <v>399652</v>
      </c>
      <c r="D517" t="s">
        <v>15</v>
      </c>
      <c r="E517" t="s">
        <v>1560</v>
      </c>
      <c r="F517" t="s">
        <v>17</v>
      </c>
      <c r="G517" t="s">
        <v>262</v>
      </c>
      <c r="H517" t="s">
        <v>19</v>
      </c>
      <c r="I517" t="s">
        <v>263</v>
      </c>
      <c r="J517" t="s">
        <v>21</v>
      </c>
      <c r="K517" t="s">
        <v>87</v>
      </c>
      <c r="L517">
        <v>3558</v>
      </c>
      <c r="M517" t="s">
        <v>23</v>
      </c>
    </row>
    <row r="518" spans="1:13" x14ac:dyDescent="0.35">
      <c r="A518" t="s">
        <v>1515</v>
      </c>
      <c r="B518" t="s">
        <v>14</v>
      </c>
      <c r="C518">
        <v>405867</v>
      </c>
      <c r="D518" t="s">
        <v>15</v>
      </c>
      <c r="E518" t="s">
        <v>1749</v>
      </c>
      <c r="F518" t="s">
        <v>17</v>
      </c>
      <c r="G518" t="s">
        <v>780</v>
      </c>
      <c r="H518" t="s">
        <v>19</v>
      </c>
      <c r="I518" t="s">
        <v>781</v>
      </c>
      <c r="J518" t="s">
        <v>21</v>
      </c>
      <c r="K518" t="s">
        <v>87</v>
      </c>
      <c r="L518">
        <v>7454</v>
      </c>
      <c r="M518" t="s">
        <v>23</v>
      </c>
    </row>
    <row r="519" spans="1:13" x14ac:dyDescent="0.35">
      <c r="A519" t="s">
        <v>1515</v>
      </c>
      <c r="B519" t="s">
        <v>14</v>
      </c>
      <c r="C519">
        <v>407983</v>
      </c>
      <c r="D519" t="s">
        <v>15</v>
      </c>
      <c r="E519" t="s">
        <v>1794</v>
      </c>
      <c r="F519" t="s">
        <v>17</v>
      </c>
      <c r="G519" t="s">
        <v>1060</v>
      </c>
      <c r="H519" t="s">
        <v>19</v>
      </c>
      <c r="I519" t="s">
        <v>1061</v>
      </c>
      <c r="J519" t="s">
        <v>21</v>
      </c>
      <c r="K519" t="s">
        <v>87</v>
      </c>
      <c r="L519">
        <v>7671</v>
      </c>
      <c r="M519" t="s">
        <v>23</v>
      </c>
    </row>
    <row r="520" spans="1:13" x14ac:dyDescent="0.35">
      <c r="A520" t="s">
        <v>1515</v>
      </c>
      <c r="B520" t="s">
        <v>14</v>
      </c>
      <c r="C520">
        <v>407984</v>
      </c>
      <c r="D520" t="s">
        <v>15</v>
      </c>
      <c r="E520" t="s">
        <v>1795</v>
      </c>
      <c r="F520" t="s">
        <v>17</v>
      </c>
      <c r="G520" t="s">
        <v>1326</v>
      </c>
      <c r="H520" t="s">
        <v>19</v>
      </c>
      <c r="I520" t="s">
        <v>1327</v>
      </c>
      <c r="J520" t="s">
        <v>21</v>
      </c>
      <c r="K520" t="s">
        <v>87</v>
      </c>
      <c r="L520">
        <v>5785</v>
      </c>
      <c r="M520" t="s">
        <v>23</v>
      </c>
    </row>
    <row r="521" spans="1:13" x14ac:dyDescent="0.35">
      <c r="A521" t="s">
        <v>1515</v>
      </c>
      <c r="B521" t="s">
        <v>14</v>
      </c>
      <c r="C521">
        <v>408562</v>
      </c>
      <c r="D521" t="s">
        <v>15</v>
      </c>
      <c r="E521" t="s">
        <v>1804</v>
      </c>
      <c r="F521" t="s">
        <v>17</v>
      </c>
      <c r="G521" t="s">
        <v>706</v>
      </c>
      <c r="H521" t="s">
        <v>19</v>
      </c>
      <c r="I521" t="s">
        <v>707</v>
      </c>
      <c r="J521" t="s">
        <v>21</v>
      </c>
      <c r="K521" t="s">
        <v>87</v>
      </c>
      <c r="L521">
        <v>5782</v>
      </c>
      <c r="M521" t="s">
        <v>23</v>
      </c>
    </row>
    <row r="522" spans="1:13" x14ac:dyDescent="0.35">
      <c r="A522" t="s">
        <v>1515</v>
      </c>
      <c r="B522" t="s">
        <v>14</v>
      </c>
      <c r="C522">
        <v>408563</v>
      </c>
      <c r="D522" t="s">
        <v>15</v>
      </c>
      <c r="E522" t="s">
        <v>1805</v>
      </c>
      <c r="F522" t="s">
        <v>17</v>
      </c>
      <c r="G522" t="s">
        <v>367</v>
      </c>
      <c r="H522" t="s">
        <v>19</v>
      </c>
      <c r="I522" t="s">
        <v>368</v>
      </c>
      <c r="J522" t="s">
        <v>21</v>
      </c>
      <c r="K522" t="s">
        <v>87</v>
      </c>
      <c r="L522">
        <v>5784</v>
      </c>
      <c r="M522" t="s">
        <v>23</v>
      </c>
    </row>
    <row r="523" spans="1:13" x14ac:dyDescent="0.35">
      <c r="A523" t="s">
        <v>1515</v>
      </c>
      <c r="B523" t="s">
        <v>14</v>
      </c>
      <c r="C523">
        <v>410415</v>
      </c>
      <c r="D523" t="s">
        <v>15</v>
      </c>
      <c r="E523" t="s">
        <v>1856</v>
      </c>
      <c r="F523" t="s">
        <v>17</v>
      </c>
      <c r="G523" t="s">
        <v>1711</v>
      </c>
      <c r="H523" t="s">
        <v>19</v>
      </c>
      <c r="I523" t="s">
        <v>1712</v>
      </c>
      <c r="J523" t="s">
        <v>21</v>
      </c>
      <c r="K523" t="s">
        <v>87</v>
      </c>
      <c r="L523">
        <v>7219</v>
      </c>
      <c r="M523" t="s">
        <v>23</v>
      </c>
    </row>
    <row r="524" spans="1:13" x14ac:dyDescent="0.35">
      <c r="A524" t="s">
        <v>931</v>
      </c>
      <c r="B524" t="s">
        <v>317</v>
      </c>
      <c r="C524">
        <v>378115</v>
      </c>
      <c r="D524" t="s">
        <v>15</v>
      </c>
      <c r="E524" t="s">
        <v>932</v>
      </c>
      <c r="F524" t="s">
        <v>319</v>
      </c>
      <c r="G524" t="s">
        <v>85</v>
      </c>
      <c r="H524" t="s">
        <v>19</v>
      </c>
      <c r="I524" t="s">
        <v>86</v>
      </c>
      <c r="J524" t="s">
        <v>21</v>
      </c>
      <c r="K524" t="s">
        <v>87</v>
      </c>
      <c r="L524">
        <v>7186</v>
      </c>
      <c r="M524" t="s">
        <v>673</v>
      </c>
    </row>
    <row r="525" spans="1:13" x14ac:dyDescent="0.35">
      <c r="A525" t="s">
        <v>1058</v>
      </c>
      <c r="B525" t="s">
        <v>317</v>
      </c>
      <c r="C525">
        <v>381526</v>
      </c>
      <c r="D525" t="s">
        <v>15</v>
      </c>
      <c r="E525" t="s">
        <v>1059</v>
      </c>
      <c r="F525" t="s">
        <v>319</v>
      </c>
      <c r="G525" t="s">
        <v>1060</v>
      </c>
      <c r="H525" t="s">
        <v>19</v>
      </c>
      <c r="I525" t="s">
        <v>1061</v>
      </c>
      <c r="J525" t="s">
        <v>21</v>
      </c>
      <c r="K525" t="s">
        <v>87</v>
      </c>
      <c r="L525">
        <v>7671</v>
      </c>
      <c r="M525" t="s">
        <v>673</v>
      </c>
    </row>
    <row r="526" spans="1:13" x14ac:dyDescent="0.35">
      <c r="A526" t="s">
        <v>1328</v>
      </c>
      <c r="B526" t="s">
        <v>317</v>
      </c>
      <c r="C526">
        <v>390408</v>
      </c>
      <c r="D526" t="s">
        <v>15</v>
      </c>
      <c r="E526" t="s">
        <v>1329</v>
      </c>
      <c r="F526" t="s">
        <v>319</v>
      </c>
      <c r="G526" t="s">
        <v>730</v>
      </c>
      <c r="H526" t="s">
        <v>19</v>
      </c>
      <c r="I526" t="s">
        <v>731</v>
      </c>
      <c r="J526" t="s">
        <v>21</v>
      </c>
      <c r="K526" t="s">
        <v>87</v>
      </c>
      <c r="L526">
        <v>7196</v>
      </c>
      <c r="M526" t="s">
        <v>673</v>
      </c>
    </row>
    <row r="527" spans="1:13" x14ac:dyDescent="0.35">
      <c r="A527">
        <v>0</v>
      </c>
      <c r="B527" t="s">
        <v>317</v>
      </c>
      <c r="C527">
        <v>399667</v>
      </c>
      <c r="D527" t="s">
        <v>15</v>
      </c>
      <c r="E527" t="s">
        <v>1563</v>
      </c>
      <c r="F527" t="s">
        <v>319</v>
      </c>
      <c r="G527" t="s">
        <v>935</v>
      </c>
      <c r="H527" t="s">
        <v>19</v>
      </c>
      <c r="I527" t="s">
        <v>936</v>
      </c>
      <c r="J527" t="s">
        <v>21</v>
      </c>
      <c r="K527" t="s">
        <v>87</v>
      </c>
      <c r="L527">
        <v>5783</v>
      </c>
      <c r="M527" t="s">
        <v>673</v>
      </c>
    </row>
    <row r="528" spans="1:13" x14ac:dyDescent="0.35">
      <c r="A528">
        <v>0</v>
      </c>
      <c r="B528" t="s">
        <v>317</v>
      </c>
      <c r="C528">
        <v>399668</v>
      </c>
      <c r="D528" t="s">
        <v>15</v>
      </c>
      <c r="E528" t="s">
        <v>1564</v>
      </c>
      <c r="F528" t="s">
        <v>319</v>
      </c>
      <c r="G528" t="s">
        <v>367</v>
      </c>
      <c r="H528" t="s">
        <v>19</v>
      </c>
      <c r="I528" t="s">
        <v>368</v>
      </c>
      <c r="J528" t="s">
        <v>21</v>
      </c>
      <c r="K528" t="s">
        <v>87</v>
      </c>
      <c r="L528">
        <v>5784</v>
      </c>
      <c r="M528" t="s">
        <v>673</v>
      </c>
    </row>
    <row r="529" spans="1:13" x14ac:dyDescent="0.35">
      <c r="A529">
        <v>0</v>
      </c>
      <c r="B529" t="s">
        <v>317</v>
      </c>
      <c r="C529">
        <v>399933</v>
      </c>
      <c r="D529" t="s">
        <v>15</v>
      </c>
      <c r="E529" t="s">
        <v>1567</v>
      </c>
      <c r="F529" t="s">
        <v>319</v>
      </c>
      <c r="G529" t="s">
        <v>706</v>
      </c>
      <c r="H529" t="s">
        <v>19</v>
      </c>
      <c r="I529" t="s">
        <v>707</v>
      </c>
      <c r="J529" t="s">
        <v>21</v>
      </c>
      <c r="K529" t="s">
        <v>87</v>
      </c>
      <c r="L529">
        <v>5782</v>
      </c>
      <c r="M529" t="s">
        <v>673</v>
      </c>
    </row>
    <row r="530" spans="1:13" x14ac:dyDescent="0.35">
      <c r="A530">
        <v>0</v>
      </c>
      <c r="B530" t="s">
        <v>317</v>
      </c>
      <c r="C530">
        <v>400916</v>
      </c>
      <c r="D530" t="s">
        <v>15</v>
      </c>
      <c r="E530" t="s">
        <v>1609</v>
      </c>
      <c r="F530" t="s">
        <v>319</v>
      </c>
      <c r="G530" t="s">
        <v>90</v>
      </c>
      <c r="H530" t="s">
        <v>19</v>
      </c>
      <c r="I530" t="s">
        <v>91</v>
      </c>
      <c r="J530" t="s">
        <v>21</v>
      </c>
      <c r="K530" t="s">
        <v>87</v>
      </c>
      <c r="L530">
        <v>5787</v>
      </c>
      <c r="M530" t="s">
        <v>673</v>
      </c>
    </row>
    <row r="531" spans="1:13" x14ac:dyDescent="0.35">
      <c r="A531">
        <v>0</v>
      </c>
      <c r="B531" t="s">
        <v>317</v>
      </c>
      <c r="C531">
        <v>400918</v>
      </c>
      <c r="D531" t="s">
        <v>15</v>
      </c>
      <c r="E531" t="s">
        <v>1611</v>
      </c>
      <c r="F531" t="s">
        <v>319</v>
      </c>
      <c r="G531" t="s">
        <v>262</v>
      </c>
      <c r="H531" t="s">
        <v>19</v>
      </c>
      <c r="I531" t="s">
        <v>263</v>
      </c>
      <c r="J531" t="s">
        <v>21</v>
      </c>
      <c r="K531" t="s">
        <v>87</v>
      </c>
      <c r="L531">
        <v>3558</v>
      </c>
      <c r="M531" t="s">
        <v>673</v>
      </c>
    </row>
    <row r="532" spans="1:13" x14ac:dyDescent="0.35">
      <c r="A532">
        <v>0</v>
      </c>
      <c r="B532" t="s">
        <v>317</v>
      </c>
      <c r="C532">
        <v>404634</v>
      </c>
      <c r="D532" t="s">
        <v>15</v>
      </c>
      <c r="E532" t="s">
        <v>1705</v>
      </c>
      <c r="F532" t="s">
        <v>319</v>
      </c>
      <c r="G532" t="s">
        <v>780</v>
      </c>
      <c r="H532" t="s">
        <v>19</v>
      </c>
      <c r="I532" t="s">
        <v>781</v>
      </c>
      <c r="J532" t="s">
        <v>21</v>
      </c>
      <c r="K532" t="s">
        <v>87</v>
      </c>
      <c r="L532">
        <v>7454</v>
      </c>
      <c r="M532" t="s">
        <v>673</v>
      </c>
    </row>
    <row r="533" spans="1:13" x14ac:dyDescent="0.35">
      <c r="A533">
        <v>0</v>
      </c>
      <c r="B533" t="s">
        <v>317</v>
      </c>
      <c r="C533">
        <v>404671</v>
      </c>
      <c r="D533" t="s">
        <v>15</v>
      </c>
      <c r="E533" t="s">
        <v>1710</v>
      </c>
      <c r="F533" t="s">
        <v>319</v>
      </c>
      <c r="G533" t="s">
        <v>1711</v>
      </c>
      <c r="H533" t="s">
        <v>19</v>
      </c>
      <c r="I533" t="s">
        <v>1712</v>
      </c>
      <c r="J533" t="s">
        <v>21</v>
      </c>
      <c r="K533" t="s">
        <v>87</v>
      </c>
      <c r="L533">
        <v>7219</v>
      </c>
      <c r="M533" t="s">
        <v>673</v>
      </c>
    </row>
    <row r="534" spans="1:13" x14ac:dyDescent="0.35">
      <c r="A534">
        <v>0</v>
      </c>
      <c r="B534" t="s">
        <v>317</v>
      </c>
      <c r="C534">
        <v>407217</v>
      </c>
      <c r="D534" t="s">
        <v>15</v>
      </c>
      <c r="E534" t="s">
        <v>1779</v>
      </c>
      <c r="F534" t="s">
        <v>319</v>
      </c>
      <c r="G534" t="s">
        <v>710</v>
      </c>
      <c r="H534" t="s">
        <v>19</v>
      </c>
      <c r="I534" t="s">
        <v>711</v>
      </c>
      <c r="J534" t="s">
        <v>21</v>
      </c>
      <c r="K534" t="s">
        <v>87</v>
      </c>
      <c r="L534">
        <v>5786</v>
      </c>
      <c r="M534" t="s">
        <v>673</v>
      </c>
    </row>
    <row r="535" spans="1:13" x14ac:dyDescent="0.35">
      <c r="A535">
        <v>0</v>
      </c>
      <c r="B535" t="s">
        <v>317</v>
      </c>
      <c r="C535">
        <v>407331</v>
      </c>
      <c r="D535" t="s">
        <v>15</v>
      </c>
      <c r="E535" t="s">
        <v>1781</v>
      </c>
      <c r="F535" t="s">
        <v>319</v>
      </c>
      <c r="G535" t="s">
        <v>367</v>
      </c>
      <c r="H535" t="s">
        <v>19</v>
      </c>
      <c r="I535" t="s">
        <v>368</v>
      </c>
      <c r="J535" t="s">
        <v>21</v>
      </c>
      <c r="K535" t="s">
        <v>87</v>
      </c>
      <c r="L535">
        <v>5784</v>
      </c>
      <c r="M535" t="s">
        <v>673</v>
      </c>
    </row>
    <row r="536" spans="1:13" x14ac:dyDescent="0.35">
      <c r="A536">
        <v>0</v>
      </c>
      <c r="B536" t="s">
        <v>317</v>
      </c>
      <c r="C536">
        <v>408112</v>
      </c>
      <c r="D536" t="s">
        <v>15</v>
      </c>
      <c r="E536" t="s">
        <v>1796</v>
      </c>
      <c r="F536" t="s">
        <v>319</v>
      </c>
      <c r="G536" t="s">
        <v>706</v>
      </c>
      <c r="H536" t="s">
        <v>19</v>
      </c>
      <c r="I536" t="s">
        <v>707</v>
      </c>
      <c r="J536" t="s">
        <v>21</v>
      </c>
      <c r="K536" t="s">
        <v>87</v>
      </c>
      <c r="L536">
        <v>5782</v>
      </c>
      <c r="M536" t="s">
        <v>673</v>
      </c>
    </row>
    <row r="537" spans="1:13" x14ac:dyDescent="0.35">
      <c r="A537">
        <v>0</v>
      </c>
      <c r="B537" t="s">
        <v>317</v>
      </c>
      <c r="C537">
        <v>408113</v>
      </c>
      <c r="D537" t="s">
        <v>15</v>
      </c>
      <c r="E537" t="s">
        <v>1797</v>
      </c>
      <c r="F537" t="s">
        <v>319</v>
      </c>
      <c r="G537" t="s">
        <v>262</v>
      </c>
      <c r="H537" t="s">
        <v>19</v>
      </c>
      <c r="I537" t="s">
        <v>263</v>
      </c>
      <c r="J537" t="s">
        <v>21</v>
      </c>
      <c r="K537" t="s">
        <v>87</v>
      </c>
      <c r="L537">
        <v>3558</v>
      </c>
      <c r="M537" t="s">
        <v>673</v>
      </c>
    </row>
    <row r="538" spans="1:13" x14ac:dyDescent="0.35">
      <c r="A538">
        <v>0</v>
      </c>
      <c r="B538" t="s">
        <v>317</v>
      </c>
      <c r="C538">
        <v>409565</v>
      </c>
      <c r="D538" t="s">
        <v>15</v>
      </c>
      <c r="E538" t="s">
        <v>1843</v>
      </c>
      <c r="F538" t="s">
        <v>319</v>
      </c>
      <c r="G538" t="s">
        <v>935</v>
      </c>
      <c r="H538" t="s">
        <v>19</v>
      </c>
      <c r="I538" t="s">
        <v>936</v>
      </c>
      <c r="J538" t="s">
        <v>21</v>
      </c>
      <c r="K538" t="s">
        <v>87</v>
      </c>
      <c r="L538">
        <v>5783</v>
      </c>
      <c r="M538" t="s">
        <v>673</v>
      </c>
    </row>
    <row r="539" spans="1:13" x14ac:dyDescent="0.35">
      <c r="A539">
        <v>0</v>
      </c>
      <c r="B539" t="s">
        <v>317</v>
      </c>
      <c r="C539">
        <v>410699</v>
      </c>
      <c r="D539" t="s">
        <v>15</v>
      </c>
      <c r="E539" t="s">
        <v>1864</v>
      </c>
      <c r="F539" t="s">
        <v>319</v>
      </c>
      <c r="G539" t="s">
        <v>1326</v>
      </c>
      <c r="H539" t="s">
        <v>19</v>
      </c>
      <c r="I539" t="s">
        <v>1327</v>
      </c>
      <c r="J539" t="s">
        <v>21</v>
      </c>
      <c r="K539" t="s">
        <v>87</v>
      </c>
      <c r="L539">
        <v>5785</v>
      </c>
      <c r="M539" t="s">
        <v>673</v>
      </c>
    </row>
    <row r="540" spans="1:13" x14ac:dyDescent="0.35">
      <c r="A540" t="s">
        <v>47</v>
      </c>
      <c r="B540" t="s">
        <v>14</v>
      </c>
      <c r="C540">
        <v>328370</v>
      </c>
      <c r="D540" t="s">
        <v>15</v>
      </c>
      <c r="E540" t="s">
        <v>48</v>
      </c>
      <c r="F540" t="s">
        <v>17</v>
      </c>
      <c r="G540" t="s">
        <v>49</v>
      </c>
      <c r="H540" t="s">
        <v>19</v>
      </c>
      <c r="I540" t="s">
        <v>50</v>
      </c>
      <c r="J540" t="s">
        <v>21</v>
      </c>
      <c r="K540" t="s">
        <v>51</v>
      </c>
      <c r="L540">
        <v>5791</v>
      </c>
      <c r="M540" t="s">
        <v>23</v>
      </c>
    </row>
    <row r="541" spans="1:13" x14ac:dyDescent="0.35">
      <c r="A541" t="s">
        <v>202</v>
      </c>
      <c r="B541" t="s">
        <v>14</v>
      </c>
      <c r="C541">
        <v>335504</v>
      </c>
      <c r="D541" t="s">
        <v>15</v>
      </c>
      <c r="E541" t="s">
        <v>203</v>
      </c>
      <c r="F541" t="s">
        <v>17</v>
      </c>
      <c r="G541" t="s">
        <v>204</v>
      </c>
      <c r="H541" t="s">
        <v>19</v>
      </c>
      <c r="I541" t="s">
        <v>205</v>
      </c>
      <c r="J541" t="s">
        <v>21</v>
      </c>
      <c r="K541" t="s">
        <v>51</v>
      </c>
      <c r="L541">
        <v>5789</v>
      </c>
      <c r="M541" t="s">
        <v>23</v>
      </c>
    </row>
    <row r="542" spans="1:13" x14ac:dyDescent="0.35">
      <c r="A542" t="s">
        <v>212</v>
      </c>
      <c r="B542" t="s">
        <v>14</v>
      </c>
      <c r="C542">
        <v>335537</v>
      </c>
      <c r="D542" t="s">
        <v>15</v>
      </c>
      <c r="E542" t="s">
        <v>213</v>
      </c>
      <c r="F542" t="s">
        <v>17</v>
      </c>
      <c r="G542" t="s">
        <v>214</v>
      </c>
      <c r="H542" t="s">
        <v>19</v>
      </c>
      <c r="I542" t="s">
        <v>215</v>
      </c>
      <c r="J542" t="s">
        <v>21</v>
      </c>
      <c r="K542" t="s">
        <v>51</v>
      </c>
      <c r="L542">
        <v>7889</v>
      </c>
      <c r="M542" t="s">
        <v>23</v>
      </c>
    </row>
    <row r="543" spans="1:13" x14ac:dyDescent="0.35">
      <c r="A543" t="s">
        <v>236</v>
      </c>
      <c r="B543" t="s">
        <v>14</v>
      </c>
      <c r="C543">
        <v>336810</v>
      </c>
      <c r="D543" t="s">
        <v>15</v>
      </c>
      <c r="E543" t="s">
        <v>237</v>
      </c>
      <c r="F543" t="s">
        <v>17</v>
      </c>
      <c r="G543" t="s">
        <v>238</v>
      </c>
      <c r="H543" t="s">
        <v>19</v>
      </c>
      <c r="I543" t="s">
        <v>239</v>
      </c>
      <c r="J543" t="s">
        <v>21</v>
      </c>
      <c r="K543" t="s">
        <v>51</v>
      </c>
      <c r="L543">
        <v>5793</v>
      </c>
      <c r="M543" t="s">
        <v>23</v>
      </c>
    </row>
    <row r="544" spans="1:13" x14ac:dyDescent="0.35">
      <c r="A544" t="s">
        <v>338</v>
      </c>
      <c r="B544" t="s">
        <v>14</v>
      </c>
      <c r="C544">
        <v>344643</v>
      </c>
      <c r="D544" t="s">
        <v>15</v>
      </c>
      <c r="E544" t="s">
        <v>339</v>
      </c>
      <c r="F544" t="s">
        <v>17</v>
      </c>
      <c r="G544" t="s">
        <v>340</v>
      </c>
      <c r="H544" t="s">
        <v>19</v>
      </c>
      <c r="I544" t="s">
        <v>341</v>
      </c>
      <c r="J544" t="s">
        <v>21</v>
      </c>
      <c r="K544" t="s">
        <v>51</v>
      </c>
      <c r="L544">
        <v>7050</v>
      </c>
      <c r="M544" t="s">
        <v>23</v>
      </c>
    </row>
    <row r="545" spans="1:13" x14ac:dyDescent="0.35">
      <c r="A545" t="s">
        <v>372</v>
      </c>
      <c r="B545" t="s">
        <v>14</v>
      </c>
      <c r="C545">
        <v>346718</v>
      </c>
      <c r="D545" t="s">
        <v>15</v>
      </c>
      <c r="E545" t="s">
        <v>373</v>
      </c>
      <c r="F545" t="s">
        <v>17</v>
      </c>
      <c r="G545" t="s">
        <v>374</v>
      </c>
      <c r="H545" t="s">
        <v>19</v>
      </c>
      <c r="I545" t="s">
        <v>375</v>
      </c>
      <c r="J545" t="s">
        <v>21</v>
      </c>
      <c r="K545" t="s">
        <v>51</v>
      </c>
      <c r="L545">
        <v>7051</v>
      </c>
      <c r="M545" t="s">
        <v>23</v>
      </c>
    </row>
    <row r="546" spans="1:13" x14ac:dyDescent="0.35">
      <c r="A546" t="s">
        <v>436</v>
      </c>
      <c r="B546" t="s">
        <v>14</v>
      </c>
      <c r="C546">
        <v>350765</v>
      </c>
      <c r="D546" t="s">
        <v>15</v>
      </c>
      <c r="E546" t="s">
        <v>437</v>
      </c>
      <c r="F546" t="s">
        <v>17</v>
      </c>
      <c r="G546" t="s">
        <v>438</v>
      </c>
      <c r="H546" t="s">
        <v>19</v>
      </c>
      <c r="I546" t="s">
        <v>439</v>
      </c>
      <c r="J546" t="s">
        <v>21</v>
      </c>
      <c r="K546" t="s">
        <v>51</v>
      </c>
      <c r="L546">
        <v>5792</v>
      </c>
      <c r="M546" t="s">
        <v>23</v>
      </c>
    </row>
    <row r="547" spans="1:13" x14ac:dyDescent="0.35">
      <c r="A547" t="s">
        <v>472</v>
      </c>
      <c r="B547" t="s">
        <v>14</v>
      </c>
      <c r="C547">
        <v>355511</v>
      </c>
      <c r="D547" t="s">
        <v>15</v>
      </c>
      <c r="E547" t="s">
        <v>473</v>
      </c>
      <c r="F547" t="s">
        <v>17</v>
      </c>
      <c r="G547" t="s">
        <v>474</v>
      </c>
      <c r="H547" t="s">
        <v>19</v>
      </c>
      <c r="I547" t="s">
        <v>475</v>
      </c>
      <c r="J547" t="s">
        <v>21</v>
      </c>
      <c r="K547" t="s">
        <v>51</v>
      </c>
      <c r="L547">
        <v>3555</v>
      </c>
      <c r="M547" t="s">
        <v>23</v>
      </c>
    </row>
    <row r="548" spans="1:13" x14ac:dyDescent="0.35">
      <c r="A548" t="s">
        <v>485</v>
      </c>
      <c r="B548" t="s">
        <v>14</v>
      </c>
      <c r="C548">
        <v>356470</v>
      </c>
      <c r="D548" t="s">
        <v>15</v>
      </c>
      <c r="E548" t="s">
        <v>486</v>
      </c>
      <c r="F548" t="s">
        <v>17</v>
      </c>
      <c r="G548" t="s">
        <v>487</v>
      </c>
      <c r="H548" t="s">
        <v>19</v>
      </c>
      <c r="I548" t="s">
        <v>488</v>
      </c>
      <c r="J548" t="s">
        <v>21</v>
      </c>
      <c r="K548" t="s">
        <v>51</v>
      </c>
      <c r="L548">
        <v>8100</v>
      </c>
      <c r="M548" t="s">
        <v>23</v>
      </c>
    </row>
    <row r="549" spans="1:13" x14ac:dyDescent="0.35">
      <c r="A549" t="s">
        <v>692</v>
      </c>
      <c r="B549" t="s">
        <v>14</v>
      </c>
      <c r="C549">
        <v>372518</v>
      </c>
      <c r="D549" t="s">
        <v>15</v>
      </c>
      <c r="E549" t="s">
        <v>693</v>
      </c>
      <c r="F549" t="s">
        <v>17</v>
      </c>
      <c r="G549" t="s">
        <v>694</v>
      </c>
      <c r="H549" t="s">
        <v>19</v>
      </c>
      <c r="I549" t="s">
        <v>695</v>
      </c>
      <c r="J549" t="s">
        <v>21</v>
      </c>
      <c r="K549" t="s">
        <v>51</v>
      </c>
      <c r="L549">
        <v>7139</v>
      </c>
      <c r="M549" t="s">
        <v>23</v>
      </c>
    </row>
    <row r="550" spans="1:13" x14ac:dyDescent="0.35">
      <c r="A550" t="s">
        <v>1030</v>
      </c>
      <c r="B550" t="s">
        <v>14</v>
      </c>
      <c r="C550">
        <v>381180</v>
      </c>
      <c r="D550" t="s">
        <v>15</v>
      </c>
      <c r="E550" t="s">
        <v>1031</v>
      </c>
      <c r="F550" t="s">
        <v>17</v>
      </c>
      <c r="G550" t="s">
        <v>340</v>
      </c>
      <c r="H550" t="s">
        <v>19</v>
      </c>
      <c r="I550" t="s">
        <v>341</v>
      </c>
      <c r="J550" t="s">
        <v>21</v>
      </c>
      <c r="K550" t="s">
        <v>51</v>
      </c>
      <c r="L550">
        <v>7050</v>
      </c>
      <c r="M550" t="s">
        <v>23</v>
      </c>
    </row>
    <row r="551" spans="1:13" x14ac:dyDescent="0.35">
      <c r="A551" t="s">
        <v>1140</v>
      </c>
      <c r="B551" t="s">
        <v>14</v>
      </c>
      <c r="C551">
        <v>385047</v>
      </c>
      <c r="D551" t="s">
        <v>15</v>
      </c>
      <c r="E551" t="s">
        <v>1141</v>
      </c>
      <c r="F551" t="s">
        <v>17</v>
      </c>
      <c r="G551" t="s">
        <v>238</v>
      </c>
      <c r="H551" t="s">
        <v>19</v>
      </c>
      <c r="I551" t="s">
        <v>239</v>
      </c>
      <c r="J551" t="s">
        <v>21</v>
      </c>
      <c r="K551" t="s">
        <v>51</v>
      </c>
      <c r="L551">
        <v>5793</v>
      </c>
      <c r="M551" t="s">
        <v>23</v>
      </c>
    </row>
    <row r="552" spans="1:13" x14ac:dyDescent="0.35">
      <c r="A552" t="s">
        <v>1144</v>
      </c>
      <c r="B552" t="s">
        <v>14</v>
      </c>
      <c r="C552">
        <v>385201</v>
      </c>
      <c r="D552" t="s">
        <v>15</v>
      </c>
      <c r="E552" t="s">
        <v>1145</v>
      </c>
      <c r="F552" t="s">
        <v>17</v>
      </c>
      <c r="G552" t="s">
        <v>1146</v>
      </c>
      <c r="H552" t="s">
        <v>19</v>
      </c>
      <c r="I552" t="s">
        <v>1147</v>
      </c>
      <c r="J552" t="s">
        <v>21</v>
      </c>
      <c r="K552" t="s">
        <v>51</v>
      </c>
      <c r="L552">
        <v>7052</v>
      </c>
      <c r="M552" t="s">
        <v>23</v>
      </c>
    </row>
    <row r="553" spans="1:13" x14ac:dyDescent="0.35">
      <c r="A553" t="s">
        <v>1203</v>
      </c>
      <c r="B553" t="s">
        <v>14</v>
      </c>
      <c r="C553">
        <v>386858</v>
      </c>
      <c r="D553" t="s">
        <v>15</v>
      </c>
      <c r="E553" t="s">
        <v>1204</v>
      </c>
      <c r="F553" t="s">
        <v>17</v>
      </c>
      <c r="G553" t="s">
        <v>1205</v>
      </c>
      <c r="H553" t="s">
        <v>19</v>
      </c>
      <c r="I553" t="s">
        <v>1206</v>
      </c>
      <c r="J553" t="s">
        <v>21</v>
      </c>
      <c r="K553" t="s">
        <v>51</v>
      </c>
      <c r="L553">
        <v>7527</v>
      </c>
      <c r="M553" t="s">
        <v>23</v>
      </c>
    </row>
    <row r="554" spans="1:13" x14ac:dyDescent="0.35">
      <c r="A554" t="s">
        <v>1207</v>
      </c>
      <c r="B554" t="s">
        <v>14</v>
      </c>
      <c r="C554">
        <v>386859</v>
      </c>
      <c r="D554" t="s">
        <v>15</v>
      </c>
      <c r="E554" t="s">
        <v>1208</v>
      </c>
      <c r="F554" t="s">
        <v>17</v>
      </c>
      <c r="G554" t="s">
        <v>1209</v>
      </c>
      <c r="H554" t="s">
        <v>19</v>
      </c>
      <c r="I554" t="s">
        <v>1210</v>
      </c>
      <c r="J554" t="s">
        <v>21</v>
      </c>
      <c r="K554" t="s">
        <v>51</v>
      </c>
      <c r="L554">
        <v>5790</v>
      </c>
      <c r="M554" t="s">
        <v>23</v>
      </c>
    </row>
    <row r="555" spans="1:13" x14ac:dyDescent="0.35">
      <c r="A555" t="s">
        <v>1211</v>
      </c>
      <c r="B555" t="s">
        <v>14</v>
      </c>
      <c r="C555">
        <v>386860</v>
      </c>
      <c r="D555" t="s">
        <v>15</v>
      </c>
      <c r="E555" t="s">
        <v>1212</v>
      </c>
      <c r="F555" t="s">
        <v>17</v>
      </c>
      <c r="G555" t="s">
        <v>49</v>
      </c>
      <c r="H555" t="s">
        <v>19</v>
      </c>
      <c r="I555" t="s">
        <v>50</v>
      </c>
      <c r="J555" t="s">
        <v>21</v>
      </c>
      <c r="K555" t="s">
        <v>51</v>
      </c>
      <c r="L555">
        <v>5791</v>
      </c>
      <c r="M555" t="s">
        <v>23</v>
      </c>
    </row>
    <row r="556" spans="1:13" x14ac:dyDescent="0.35">
      <c r="A556" t="s">
        <v>1213</v>
      </c>
      <c r="B556" t="s">
        <v>14</v>
      </c>
      <c r="C556">
        <v>386861</v>
      </c>
      <c r="D556" t="s">
        <v>15</v>
      </c>
      <c r="E556" t="s">
        <v>1214</v>
      </c>
      <c r="F556" t="s">
        <v>17</v>
      </c>
      <c r="G556" t="s">
        <v>1215</v>
      </c>
      <c r="H556" t="s">
        <v>19</v>
      </c>
      <c r="I556" t="s">
        <v>1216</v>
      </c>
      <c r="J556" t="s">
        <v>21</v>
      </c>
      <c r="K556" t="s">
        <v>51</v>
      </c>
      <c r="L556">
        <v>3559</v>
      </c>
      <c r="M556" t="s">
        <v>23</v>
      </c>
    </row>
    <row r="557" spans="1:13" x14ac:dyDescent="0.35">
      <c r="A557" t="s">
        <v>1515</v>
      </c>
      <c r="B557" t="s">
        <v>14</v>
      </c>
      <c r="C557">
        <v>408561</v>
      </c>
      <c r="D557" t="s">
        <v>15</v>
      </c>
      <c r="E557" t="s">
        <v>1803</v>
      </c>
      <c r="F557" t="s">
        <v>17</v>
      </c>
      <c r="G557" t="s">
        <v>1215</v>
      </c>
      <c r="H557" t="s">
        <v>19</v>
      </c>
      <c r="I557" t="s">
        <v>1216</v>
      </c>
      <c r="J557" t="s">
        <v>21</v>
      </c>
      <c r="K557" t="s">
        <v>51</v>
      </c>
      <c r="L557">
        <v>3559</v>
      </c>
      <c r="M557" t="s">
        <v>23</v>
      </c>
    </row>
    <row r="558" spans="1:13" x14ac:dyDescent="0.35">
      <c r="A558" t="s">
        <v>1201</v>
      </c>
      <c r="B558" t="s">
        <v>317</v>
      </c>
      <c r="C558">
        <v>386838</v>
      </c>
      <c r="D558" t="s">
        <v>15</v>
      </c>
      <c r="E558" t="s">
        <v>1202</v>
      </c>
      <c r="F558" t="s">
        <v>319</v>
      </c>
      <c r="G558" t="s">
        <v>438</v>
      </c>
      <c r="H558" t="s">
        <v>19</v>
      </c>
      <c r="I558" t="s">
        <v>439</v>
      </c>
      <c r="J558" t="s">
        <v>21</v>
      </c>
      <c r="K558" t="s">
        <v>51</v>
      </c>
      <c r="L558">
        <v>5792</v>
      </c>
      <c r="M558" t="s">
        <v>673</v>
      </c>
    </row>
    <row r="559" spans="1:13" x14ac:dyDescent="0.35">
      <c r="A559" t="s">
        <v>1217</v>
      </c>
      <c r="B559" t="s">
        <v>317</v>
      </c>
      <c r="C559">
        <v>386863</v>
      </c>
      <c r="D559" t="s">
        <v>15</v>
      </c>
      <c r="E559" t="s">
        <v>1218</v>
      </c>
      <c r="F559" t="s">
        <v>319</v>
      </c>
      <c r="G559" t="s">
        <v>694</v>
      </c>
      <c r="H559" t="s">
        <v>19</v>
      </c>
      <c r="I559" t="s">
        <v>695</v>
      </c>
      <c r="J559" t="s">
        <v>21</v>
      </c>
      <c r="K559" t="s">
        <v>51</v>
      </c>
      <c r="L559">
        <v>7139</v>
      </c>
      <c r="M559" t="s">
        <v>673</v>
      </c>
    </row>
    <row r="560" spans="1:13" x14ac:dyDescent="0.35">
      <c r="A560" t="s">
        <v>1306</v>
      </c>
      <c r="B560" t="s">
        <v>317</v>
      </c>
      <c r="C560">
        <v>389694</v>
      </c>
      <c r="D560" t="s">
        <v>15</v>
      </c>
      <c r="E560" t="s">
        <v>1307</v>
      </c>
      <c r="F560" t="s">
        <v>319</v>
      </c>
      <c r="G560" t="s">
        <v>49</v>
      </c>
      <c r="H560" t="s">
        <v>19</v>
      </c>
      <c r="I560" t="s">
        <v>50</v>
      </c>
      <c r="J560" t="s">
        <v>21</v>
      </c>
      <c r="K560" t="s">
        <v>51</v>
      </c>
      <c r="L560">
        <v>5791</v>
      </c>
      <c r="M560" t="s">
        <v>673</v>
      </c>
    </row>
    <row r="561" spans="1:13" x14ac:dyDescent="0.35">
      <c r="A561" t="s">
        <v>1308</v>
      </c>
      <c r="B561" t="s">
        <v>317</v>
      </c>
      <c r="C561">
        <v>389695</v>
      </c>
      <c r="D561" t="s">
        <v>15</v>
      </c>
      <c r="E561" t="s">
        <v>1309</v>
      </c>
      <c r="F561" t="s">
        <v>319</v>
      </c>
      <c r="G561" t="s">
        <v>487</v>
      </c>
      <c r="H561" t="s">
        <v>19</v>
      </c>
      <c r="I561" t="s">
        <v>488</v>
      </c>
      <c r="J561" t="s">
        <v>21</v>
      </c>
      <c r="K561" t="s">
        <v>51</v>
      </c>
      <c r="L561">
        <v>8100</v>
      </c>
      <c r="M561" t="s">
        <v>673</v>
      </c>
    </row>
    <row r="562" spans="1:13" x14ac:dyDescent="0.35">
      <c r="A562" t="s">
        <v>1428</v>
      </c>
      <c r="B562" t="s">
        <v>317</v>
      </c>
      <c r="C562">
        <v>392520</v>
      </c>
      <c r="D562" t="s">
        <v>15</v>
      </c>
      <c r="E562" t="s">
        <v>1429</v>
      </c>
      <c r="F562" t="s">
        <v>319</v>
      </c>
      <c r="G562" t="s">
        <v>1146</v>
      </c>
      <c r="H562" t="s">
        <v>19</v>
      </c>
      <c r="I562" t="s">
        <v>1147</v>
      </c>
      <c r="J562" t="s">
        <v>21</v>
      </c>
      <c r="K562" t="s">
        <v>51</v>
      </c>
      <c r="L562">
        <v>7052</v>
      </c>
      <c r="M562" t="s">
        <v>673</v>
      </c>
    </row>
    <row r="563" spans="1:13" x14ac:dyDescent="0.35">
      <c r="A563" t="s">
        <v>1507</v>
      </c>
      <c r="B563" t="s">
        <v>317</v>
      </c>
      <c r="C563">
        <v>394688</v>
      </c>
      <c r="D563" t="s">
        <v>15</v>
      </c>
      <c r="E563" t="s">
        <v>1508</v>
      </c>
      <c r="F563" t="s">
        <v>319</v>
      </c>
      <c r="G563" t="s">
        <v>238</v>
      </c>
      <c r="H563" t="s">
        <v>19</v>
      </c>
      <c r="I563" t="s">
        <v>239</v>
      </c>
      <c r="J563" t="s">
        <v>21</v>
      </c>
      <c r="K563" t="s">
        <v>51</v>
      </c>
      <c r="L563">
        <v>5793</v>
      </c>
      <c r="M563" t="s">
        <v>23</v>
      </c>
    </row>
    <row r="564" spans="1:13" x14ac:dyDescent="0.35">
      <c r="A564">
        <v>0</v>
      </c>
      <c r="B564" t="s">
        <v>317</v>
      </c>
      <c r="C564">
        <v>397873</v>
      </c>
      <c r="D564" t="s">
        <v>15</v>
      </c>
      <c r="E564" t="s">
        <v>1541</v>
      </c>
      <c r="F564" t="s">
        <v>319</v>
      </c>
      <c r="G564" t="s">
        <v>1209</v>
      </c>
      <c r="H564" t="s">
        <v>19</v>
      </c>
      <c r="I564" t="s">
        <v>1210</v>
      </c>
      <c r="J564" t="s">
        <v>21</v>
      </c>
      <c r="K564" t="s">
        <v>51</v>
      </c>
      <c r="L564">
        <v>5790</v>
      </c>
      <c r="M564" t="s">
        <v>673</v>
      </c>
    </row>
    <row r="565" spans="1:13" x14ac:dyDescent="0.35">
      <c r="A565">
        <v>0</v>
      </c>
      <c r="B565" t="s">
        <v>317</v>
      </c>
      <c r="C565">
        <v>399625</v>
      </c>
      <c r="D565" t="s">
        <v>15</v>
      </c>
      <c r="E565" t="s">
        <v>1559</v>
      </c>
      <c r="F565" t="s">
        <v>319</v>
      </c>
      <c r="G565" t="s">
        <v>340</v>
      </c>
      <c r="H565" t="s">
        <v>19</v>
      </c>
      <c r="I565" t="s">
        <v>341</v>
      </c>
      <c r="J565" t="s">
        <v>21</v>
      </c>
      <c r="K565" t="s">
        <v>51</v>
      </c>
      <c r="L565">
        <v>7050</v>
      </c>
      <c r="M565" t="s">
        <v>673</v>
      </c>
    </row>
    <row r="566" spans="1:13" x14ac:dyDescent="0.35">
      <c r="A566">
        <v>0</v>
      </c>
      <c r="B566" t="s">
        <v>317</v>
      </c>
      <c r="C566">
        <v>400942</v>
      </c>
      <c r="D566" t="s">
        <v>15</v>
      </c>
      <c r="E566" t="s">
        <v>1612</v>
      </c>
      <c r="F566" t="s">
        <v>319</v>
      </c>
      <c r="G566" t="s">
        <v>204</v>
      </c>
      <c r="H566" t="s">
        <v>19</v>
      </c>
      <c r="I566" t="s">
        <v>205</v>
      </c>
      <c r="J566" t="s">
        <v>21</v>
      </c>
      <c r="K566" t="s">
        <v>51</v>
      </c>
      <c r="L566">
        <v>5789</v>
      </c>
      <c r="M566" t="s">
        <v>673</v>
      </c>
    </row>
    <row r="567" spans="1:13" x14ac:dyDescent="0.35">
      <c r="A567" t="s">
        <v>1515</v>
      </c>
      <c r="B567" t="s">
        <v>317</v>
      </c>
      <c r="C567">
        <v>402587</v>
      </c>
      <c r="D567" t="s">
        <v>15</v>
      </c>
      <c r="E567" t="s">
        <v>1653</v>
      </c>
      <c r="F567" t="s">
        <v>319</v>
      </c>
      <c r="G567" t="s">
        <v>1215</v>
      </c>
      <c r="H567" t="s">
        <v>19</v>
      </c>
      <c r="I567" t="s">
        <v>1216</v>
      </c>
      <c r="J567" t="s">
        <v>21</v>
      </c>
      <c r="K567" t="s">
        <v>51</v>
      </c>
      <c r="L567">
        <v>3559</v>
      </c>
      <c r="M567" t="s">
        <v>23</v>
      </c>
    </row>
    <row r="568" spans="1:13" x14ac:dyDescent="0.35">
      <c r="A568" t="s">
        <v>1515</v>
      </c>
      <c r="B568" t="s">
        <v>317</v>
      </c>
      <c r="C568">
        <v>402588</v>
      </c>
      <c r="D568" t="s">
        <v>15</v>
      </c>
      <c r="E568" t="s">
        <v>1654</v>
      </c>
      <c r="F568" t="s">
        <v>319</v>
      </c>
      <c r="G568" t="s">
        <v>214</v>
      </c>
      <c r="H568" t="s">
        <v>19</v>
      </c>
      <c r="I568" t="s">
        <v>215</v>
      </c>
      <c r="J568" t="s">
        <v>21</v>
      </c>
      <c r="K568" t="s">
        <v>51</v>
      </c>
      <c r="L568">
        <v>7889</v>
      </c>
      <c r="M568" t="s">
        <v>23</v>
      </c>
    </row>
    <row r="569" spans="1:13" x14ac:dyDescent="0.35">
      <c r="A569">
        <v>0</v>
      </c>
      <c r="B569" t="s">
        <v>317</v>
      </c>
      <c r="C569">
        <v>403776</v>
      </c>
      <c r="D569" t="s">
        <v>15</v>
      </c>
      <c r="E569" t="s">
        <v>1673</v>
      </c>
      <c r="F569" t="s">
        <v>319</v>
      </c>
      <c r="G569" t="s">
        <v>1205</v>
      </c>
      <c r="H569" t="s">
        <v>19</v>
      </c>
      <c r="I569" t="s">
        <v>1206</v>
      </c>
      <c r="J569" t="s">
        <v>21</v>
      </c>
      <c r="K569" t="s">
        <v>51</v>
      </c>
      <c r="L569">
        <v>7527</v>
      </c>
      <c r="M569" t="s">
        <v>673</v>
      </c>
    </row>
    <row r="570" spans="1:13" x14ac:dyDescent="0.35">
      <c r="A570" t="s">
        <v>1515</v>
      </c>
      <c r="B570" t="s">
        <v>317</v>
      </c>
      <c r="C570">
        <v>410381</v>
      </c>
      <c r="D570" t="s">
        <v>15</v>
      </c>
      <c r="E570" t="s">
        <v>1855</v>
      </c>
      <c r="F570" t="s">
        <v>319</v>
      </c>
      <c r="G570" t="s">
        <v>474</v>
      </c>
      <c r="H570" t="s">
        <v>19</v>
      </c>
      <c r="I570" t="s">
        <v>475</v>
      </c>
      <c r="J570" t="s">
        <v>21</v>
      </c>
      <c r="K570" t="s">
        <v>51</v>
      </c>
      <c r="L570">
        <v>3555</v>
      </c>
      <c r="M570" t="s">
        <v>23</v>
      </c>
    </row>
    <row r="571" spans="1:13" x14ac:dyDescent="0.35">
      <c r="A571">
        <v>0</v>
      </c>
      <c r="B571" t="s">
        <v>317</v>
      </c>
      <c r="C571">
        <v>410691</v>
      </c>
      <c r="D571" t="s">
        <v>15</v>
      </c>
      <c r="E571" t="s">
        <v>1861</v>
      </c>
      <c r="F571" t="s">
        <v>319</v>
      </c>
      <c r="G571" t="s">
        <v>374</v>
      </c>
      <c r="H571" t="s">
        <v>19</v>
      </c>
      <c r="I571" t="s">
        <v>375</v>
      </c>
      <c r="J571" t="s">
        <v>21</v>
      </c>
      <c r="K571" t="s">
        <v>51</v>
      </c>
      <c r="L571">
        <v>7051</v>
      </c>
      <c r="M571" t="s">
        <v>673</v>
      </c>
    </row>
    <row r="572" spans="1:13" x14ac:dyDescent="0.35">
      <c r="A572" t="s">
        <v>124</v>
      </c>
      <c r="B572" t="s">
        <v>14</v>
      </c>
      <c r="C572">
        <v>328646</v>
      </c>
      <c r="D572" t="s">
        <v>15</v>
      </c>
      <c r="E572" t="s">
        <v>125</v>
      </c>
      <c r="F572" t="s">
        <v>17</v>
      </c>
      <c r="G572" t="s">
        <v>126</v>
      </c>
      <c r="H572" t="s">
        <v>19</v>
      </c>
      <c r="I572" t="s">
        <v>127</v>
      </c>
      <c r="J572" t="s">
        <v>21</v>
      </c>
      <c r="K572" t="s">
        <v>128</v>
      </c>
      <c r="L572">
        <v>3560</v>
      </c>
      <c r="M572" t="s">
        <v>23</v>
      </c>
    </row>
    <row r="573" spans="1:13" x14ac:dyDescent="0.35">
      <c r="A573" t="s">
        <v>133</v>
      </c>
      <c r="B573" t="s">
        <v>14</v>
      </c>
      <c r="C573">
        <v>328651</v>
      </c>
      <c r="D573" t="s">
        <v>15</v>
      </c>
      <c r="E573" t="s">
        <v>134</v>
      </c>
      <c r="F573" t="s">
        <v>17</v>
      </c>
      <c r="G573" t="s">
        <v>135</v>
      </c>
      <c r="H573" t="s">
        <v>19</v>
      </c>
      <c r="I573" t="s">
        <v>136</v>
      </c>
      <c r="J573" t="s">
        <v>21</v>
      </c>
      <c r="K573" t="s">
        <v>128</v>
      </c>
      <c r="L573">
        <v>5805</v>
      </c>
      <c r="M573" t="s">
        <v>23</v>
      </c>
    </row>
    <row r="574" spans="1:13" x14ac:dyDescent="0.35">
      <c r="A574" t="s">
        <v>226</v>
      </c>
      <c r="B574" t="s">
        <v>14</v>
      </c>
      <c r="C574">
        <v>335635</v>
      </c>
      <c r="D574" t="s">
        <v>15</v>
      </c>
      <c r="E574" t="s">
        <v>227</v>
      </c>
      <c r="F574" t="s">
        <v>17</v>
      </c>
      <c r="G574" t="s">
        <v>228</v>
      </c>
      <c r="H574" t="s">
        <v>19</v>
      </c>
      <c r="I574" t="s">
        <v>229</v>
      </c>
      <c r="J574" t="s">
        <v>21</v>
      </c>
      <c r="K574" t="s">
        <v>128</v>
      </c>
      <c r="L574">
        <v>7520</v>
      </c>
      <c r="M574" t="s">
        <v>23</v>
      </c>
    </row>
    <row r="575" spans="1:13" x14ac:dyDescent="0.35">
      <c r="A575" t="s">
        <v>279</v>
      </c>
      <c r="B575" t="s">
        <v>14</v>
      </c>
      <c r="C575">
        <v>339991</v>
      </c>
      <c r="D575" t="s">
        <v>15</v>
      </c>
      <c r="E575" t="s">
        <v>280</v>
      </c>
      <c r="F575" t="s">
        <v>17</v>
      </c>
      <c r="G575" t="s">
        <v>281</v>
      </c>
      <c r="H575" t="s">
        <v>19</v>
      </c>
      <c r="I575" t="s">
        <v>282</v>
      </c>
      <c r="J575" t="s">
        <v>21</v>
      </c>
      <c r="K575" t="s">
        <v>128</v>
      </c>
      <c r="L575">
        <v>5803</v>
      </c>
      <c r="M575" t="s">
        <v>23</v>
      </c>
    </row>
    <row r="576" spans="1:13" x14ac:dyDescent="0.35">
      <c r="A576" t="s">
        <v>389</v>
      </c>
      <c r="B576" t="s">
        <v>14</v>
      </c>
      <c r="C576">
        <v>349663</v>
      </c>
      <c r="D576" t="s">
        <v>15</v>
      </c>
      <c r="E576" t="s">
        <v>390</v>
      </c>
      <c r="F576" t="s">
        <v>17</v>
      </c>
      <c r="G576" t="s">
        <v>391</v>
      </c>
      <c r="H576" t="s">
        <v>19</v>
      </c>
      <c r="I576" t="s">
        <v>392</v>
      </c>
      <c r="J576" t="s">
        <v>21</v>
      </c>
      <c r="K576" t="s">
        <v>128</v>
      </c>
      <c r="L576">
        <v>5804</v>
      </c>
      <c r="M576" t="s">
        <v>23</v>
      </c>
    </row>
    <row r="577" spans="1:13" x14ac:dyDescent="0.35">
      <c r="A577" t="s">
        <v>786</v>
      </c>
      <c r="B577" t="s">
        <v>14</v>
      </c>
      <c r="C577">
        <v>374463</v>
      </c>
      <c r="D577" t="s">
        <v>15</v>
      </c>
      <c r="E577" t="s">
        <v>787</v>
      </c>
      <c r="F577" t="s">
        <v>17</v>
      </c>
      <c r="G577" t="s">
        <v>788</v>
      </c>
      <c r="H577" t="s">
        <v>19</v>
      </c>
      <c r="I577" t="s">
        <v>789</v>
      </c>
      <c r="J577" t="s">
        <v>21</v>
      </c>
      <c r="K577" t="s">
        <v>128</v>
      </c>
      <c r="L577">
        <v>7140</v>
      </c>
      <c r="M577" t="s">
        <v>23</v>
      </c>
    </row>
    <row r="578" spans="1:13" x14ac:dyDescent="0.35">
      <c r="A578" t="s">
        <v>850</v>
      </c>
      <c r="B578" t="s">
        <v>14</v>
      </c>
      <c r="C578">
        <v>376083</v>
      </c>
      <c r="D578" t="s">
        <v>15</v>
      </c>
      <c r="E578" t="s">
        <v>851</v>
      </c>
      <c r="F578" t="s">
        <v>17</v>
      </c>
      <c r="G578" t="s">
        <v>852</v>
      </c>
      <c r="H578" t="s">
        <v>19</v>
      </c>
      <c r="I578" t="s">
        <v>853</v>
      </c>
      <c r="J578" t="s">
        <v>21</v>
      </c>
      <c r="K578" t="s">
        <v>128</v>
      </c>
      <c r="L578">
        <v>7916</v>
      </c>
      <c r="M578" t="s">
        <v>23</v>
      </c>
    </row>
    <row r="579" spans="1:13" x14ac:dyDescent="0.35">
      <c r="A579" t="s">
        <v>1032</v>
      </c>
      <c r="B579" t="s">
        <v>14</v>
      </c>
      <c r="C579">
        <v>381181</v>
      </c>
      <c r="D579" t="s">
        <v>15</v>
      </c>
      <c r="E579" t="s">
        <v>1033</v>
      </c>
      <c r="F579" t="s">
        <v>17</v>
      </c>
      <c r="G579" t="s">
        <v>135</v>
      </c>
      <c r="H579" t="s">
        <v>19</v>
      </c>
      <c r="I579" t="s">
        <v>136</v>
      </c>
      <c r="J579" t="s">
        <v>21</v>
      </c>
      <c r="K579" t="s">
        <v>128</v>
      </c>
      <c r="L579">
        <v>5805</v>
      </c>
      <c r="M579" t="s">
        <v>23</v>
      </c>
    </row>
    <row r="580" spans="1:13" x14ac:dyDescent="0.35">
      <c r="A580" t="s">
        <v>1224</v>
      </c>
      <c r="B580" t="s">
        <v>14</v>
      </c>
      <c r="C580">
        <v>387016</v>
      </c>
      <c r="D580" t="s">
        <v>15</v>
      </c>
      <c r="E580" t="s">
        <v>180</v>
      </c>
      <c r="F580" t="s">
        <v>17</v>
      </c>
      <c r="G580" t="s">
        <v>784</v>
      </c>
      <c r="H580" t="s">
        <v>19</v>
      </c>
      <c r="I580" t="s">
        <v>785</v>
      </c>
      <c r="J580" t="s">
        <v>21</v>
      </c>
      <c r="K580" t="s">
        <v>128</v>
      </c>
      <c r="L580">
        <v>5806</v>
      </c>
      <c r="M580" t="s">
        <v>23</v>
      </c>
    </row>
    <row r="581" spans="1:13" x14ac:dyDescent="0.35">
      <c r="A581" t="s">
        <v>1229</v>
      </c>
      <c r="B581" t="s">
        <v>14</v>
      </c>
      <c r="C581">
        <v>387042</v>
      </c>
      <c r="D581" t="s">
        <v>15</v>
      </c>
      <c r="E581" t="s">
        <v>1230</v>
      </c>
      <c r="F581" t="s">
        <v>17</v>
      </c>
      <c r="G581" t="s">
        <v>784</v>
      </c>
      <c r="H581" t="s">
        <v>19</v>
      </c>
      <c r="I581" t="s">
        <v>785</v>
      </c>
      <c r="J581" t="s">
        <v>21</v>
      </c>
      <c r="K581" t="s">
        <v>128</v>
      </c>
      <c r="L581">
        <v>5806</v>
      </c>
      <c r="M581" t="s">
        <v>23</v>
      </c>
    </row>
    <row r="582" spans="1:13" x14ac:dyDescent="0.35">
      <c r="A582" t="s">
        <v>1301</v>
      </c>
      <c r="B582" t="s">
        <v>14</v>
      </c>
      <c r="C582">
        <v>389659</v>
      </c>
      <c r="D582" t="s">
        <v>15</v>
      </c>
      <c r="E582" t="s">
        <v>1302</v>
      </c>
      <c r="F582" t="s">
        <v>17</v>
      </c>
      <c r="G582" t="s">
        <v>794</v>
      </c>
      <c r="H582" t="s">
        <v>19</v>
      </c>
      <c r="I582" t="s">
        <v>795</v>
      </c>
      <c r="J582" t="s">
        <v>21</v>
      </c>
      <c r="K582" t="s">
        <v>128</v>
      </c>
      <c r="L582">
        <v>8061</v>
      </c>
      <c r="M582" t="s">
        <v>23</v>
      </c>
    </row>
    <row r="583" spans="1:13" x14ac:dyDescent="0.35">
      <c r="A583" t="s">
        <v>634</v>
      </c>
      <c r="B583" t="s">
        <v>317</v>
      </c>
      <c r="C583">
        <v>369890</v>
      </c>
      <c r="D583" t="s">
        <v>15</v>
      </c>
      <c r="E583" t="s">
        <v>635</v>
      </c>
      <c r="F583" t="s">
        <v>319</v>
      </c>
      <c r="G583" t="s">
        <v>281</v>
      </c>
      <c r="H583" t="s">
        <v>19</v>
      </c>
      <c r="I583" t="s">
        <v>282</v>
      </c>
      <c r="J583" t="s">
        <v>21</v>
      </c>
      <c r="K583" t="s">
        <v>128</v>
      </c>
      <c r="L583">
        <v>5803</v>
      </c>
      <c r="M583" t="s">
        <v>23</v>
      </c>
    </row>
    <row r="584" spans="1:13" x14ac:dyDescent="0.35">
      <c r="A584" t="s">
        <v>782</v>
      </c>
      <c r="B584" t="s">
        <v>317</v>
      </c>
      <c r="C584">
        <v>374318</v>
      </c>
      <c r="D584" t="s">
        <v>15</v>
      </c>
      <c r="E584" t="s">
        <v>783</v>
      </c>
      <c r="F584" t="s">
        <v>319</v>
      </c>
      <c r="G584" t="s">
        <v>784</v>
      </c>
      <c r="H584" t="s">
        <v>19</v>
      </c>
      <c r="I584" t="s">
        <v>785</v>
      </c>
      <c r="J584" t="s">
        <v>21</v>
      </c>
      <c r="K584" t="s">
        <v>128</v>
      </c>
      <c r="L584">
        <v>5806</v>
      </c>
      <c r="M584" t="s">
        <v>673</v>
      </c>
    </row>
    <row r="585" spans="1:13" x14ac:dyDescent="0.35">
      <c r="A585" t="s">
        <v>790</v>
      </c>
      <c r="B585" t="s">
        <v>317</v>
      </c>
      <c r="C585">
        <v>374742</v>
      </c>
      <c r="D585" t="s">
        <v>15</v>
      </c>
      <c r="E585" t="s">
        <v>791</v>
      </c>
      <c r="F585" t="s">
        <v>319</v>
      </c>
      <c r="G585" t="s">
        <v>391</v>
      </c>
      <c r="H585" t="s">
        <v>19</v>
      </c>
      <c r="I585" t="s">
        <v>392</v>
      </c>
      <c r="J585" t="s">
        <v>21</v>
      </c>
      <c r="K585" t="s">
        <v>128</v>
      </c>
      <c r="L585">
        <v>5804</v>
      </c>
      <c r="M585" t="s">
        <v>673</v>
      </c>
    </row>
    <row r="586" spans="1:13" x14ac:dyDescent="0.35">
      <c r="A586" t="s">
        <v>792</v>
      </c>
      <c r="B586" t="s">
        <v>317</v>
      </c>
      <c r="C586">
        <v>374750</v>
      </c>
      <c r="D586" t="s">
        <v>15</v>
      </c>
      <c r="E586" t="s">
        <v>793</v>
      </c>
      <c r="F586" t="s">
        <v>319</v>
      </c>
      <c r="G586" t="s">
        <v>794</v>
      </c>
      <c r="H586" t="s">
        <v>19</v>
      </c>
      <c r="I586" t="s">
        <v>795</v>
      </c>
      <c r="J586" t="s">
        <v>21</v>
      </c>
      <c r="K586" t="s">
        <v>128</v>
      </c>
      <c r="L586">
        <v>8061</v>
      </c>
      <c r="M586" t="s">
        <v>673</v>
      </c>
    </row>
    <row r="587" spans="1:13" x14ac:dyDescent="0.35">
      <c r="A587" t="s">
        <v>945</v>
      </c>
      <c r="B587" t="s">
        <v>317</v>
      </c>
      <c r="C587">
        <v>378443</v>
      </c>
      <c r="D587" t="s">
        <v>15</v>
      </c>
      <c r="E587" t="s">
        <v>946</v>
      </c>
      <c r="F587" t="s">
        <v>319</v>
      </c>
      <c r="G587" t="s">
        <v>852</v>
      </c>
      <c r="H587" t="s">
        <v>19</v>
      </c>
      <c r="I587" t="s">
        <v>853</v>
      </c>
      <c r="J587" t="s">
        <v>21</v>
      </c>
      <c r="K587" t="s">
        <v>128</v>
      </c>
      <c r="L587">
        <v>7916</v>
      </c>
      <c r="M587" t="s">
        <v>673</v>
      </c>
    </row>
    <row r="588" spans="1:13" x14ac:dyDescent="0.35">
      <c r="A588" t="s">
        <v>1238</v>
      </c>
      <c r="B588" t="s">
        <v>317</v>
      </c>
      <c r="C588">
        <v>387870</v>
      </c>
      <c r="D588" t="s">
        <v>15</v>
      </c>
      <c r="E588" t="s">
        <v>1239</v>
      </c>
      <c r="F588" t="s">
        <v>319</v>
      </c>
      <c r="G588" t="s">
        <v>228</v>
      </c>
      <c r="H588" t="s">
        <v>19</v>
      </c>
      <c r="I588" t="s">
        <v>229</v>
      </c>
      <c r="J588" t="s">
        <v>21</v>
      </c>
      <c r="K588" t="s">
        <v>128</v>
      </c>
      <c r="L588">
        <v>7520</v>
      </c>
      <c r="M588" t="s">
        <v>673</v>
      </c>
    </row>
    <row r="589" spans="1:13" x14ac:dyDescent="0.35">
      <c r="A589" t="s">
        <v>1515</v>
      </c>
      <c r="B589" t="s">
        <v>317</v>
      </c>
      <c r="C589">
        <v>400719</v>
      </c>
      <c r="D589" t="s">
        <v>15</v>
      </c>
      <c r="E589" t="s">
        <v>1596</v>
      </c>
      <c r="F589" t="s">
        <v>319</v>
      </c>
      <c r="G589" t="s">
        <v>126</v>
      </c>
      <c r="H589" t="s">
        <v>19</v>
      </c>
      <c r="I589" t="s">
        <v>127</v>
      </c>
      <c r="J589" t="s">
        <v>21</v>
      </c>
      <c r="K589" t="s">
        <v>128</v>
      </c>
      <c r="L589">
        <v>3560</v>
      </c>
      <c r="M589" t="s">
        <v>23</v>
      </c>
    </row>
    <row r="590" spans="1:13" x14ac:dyDescent="0.35">
      <c r="A590">
        <v>0</v>
      </c>
      <c r="B590" t="s">
        <v>317</v>
      </c>
      <c r="C590">
        <v>400900</v>
      </c>
      <c r="D590" t="s">
        <v>15</v>
      </c>
      <c r="E590" t="s">
        <v>1604</v>
      </c>
      <c r="F590" t="s">
        <v>319</v>
      </c>
      <c r="G590" t="s">
        <v>135</v>
      </c>
      <c r="H590" t="s">
        <v>19</v>
      </c>
      <c r="I590" t="s">
        <v>136</v>
      </c>
      <c r="J590" t="s">
        <v>21</v>
      </c>
      <c r="K590" t="s">
        <v>128</v>
      </c>
      <c r="L590">
        <v>5805</v>
      </c>
      <c r="M590" t="s">
        <v>673</v>
      </c>
    </row>
    <row r="591" spans="1:13" x14ac:dyDescent="0.35">
      <c r="A591">
        <v>0</v>
      </c>
      <c r="B591" t="s">
        <v>317</v>
      </c>
      <c r="C591">
        <v>403327</v>
      </c>
      <c r="D591" t="s">
        <v>15</v>
      </c>
      <c r="E591" t="s">
        <v>1664</v>
      </c>
      <c r="F591" t="s">
        <v>319</v>
      </c>
      <c r="G591" t="s">
        <v>788</v>
      </c>
      <c r="H591" t="s">
        <v>19</v>
      </c>
      <c r="I591" t="s">
        <v>789</v>
      </c>
      <c r="J591" t="s">
        <v>21</v>
      </c>
      <c r="K591" t="s">
        <v>128</v>
      </c>
      <c r="L591">
        <v>7140</v>
      </c>
      <c r="M591" t="s">
        <v>673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D2BA7-B2E6-4110-9B43-8CBC0EC51E44}">
  <dimension ref="A3:E35"/>
  <sheetViews>
    <sheetView topLeftCell="A15" workbookViewId="0">
      <selection activeCell="A21" sqref="A21:E21"/>
      <pivotSelection pane="bottomRight" showHeader="1" extendable="1" axis="axisRow" start="16" max="31" activeRow="20" previousRow="20" click="1" r:id="rId1">
        <pivotArea dataOnly="0" fieldPosition="0">
          <references count="1">
            <reference field="11" count="1">
              <x v="16"/>
            </reference>
          </references>
        </pivotArea>
      </pivotSelection>
    </sheetView>
  </sheetViews>
  <sheetFormatPr defaultRowHeight="14.5" x14ac:dyDescent="0.35"/>
  <cols>
    <col min="1" max="1" width="16" bestFit="1" customWidth="1"/>
    <col min="2" max="2" width="17.7265625" bestFit="1" customWidth="1"/>
    <col min="3" max="3" width="6.54296875" bestFit="1" customWidth="1"/>
    <col min="4" max="4" width="6.7265625" bestFit="1" customWidth="1"/>
    <col min="5" max="5" width="10.7265625" bestFit="1" customWidth="1"/>
  </cols>
  <sheetData>
    <row r="3" spans="1:5" x14ac:dyDescent="0.35">
      <c r="A3" s="20" t="s">
        <v>2215</v>
      </c>
      <c r="B3" s="20" t="s">
        <v>2216</v>
      </c>
    </row>
    <row r="4" spans="1:5" x14ac:dyDescent="0.35">
      <c r="A4" s="20" t="s">
        <v>2212</v>
      </c>
      <c r="B4" t="s">
        <v>14</v>
      </c>
      <c r="C4" t="s">
        <v>317</v>
      </c>
      <c r="D4" t="s">
        <v>2213</v>
      </c>
      <c r="E4" t="s">
        <v>2214</v>
      </c>
    </row>
    <row r="5" spans="1:5" x14ac:dyDescent="0.35">
      <c r="A5" s="21">
        <v>3286</v>
      </c>
      <c r="B5">
        <v>1</v>
      </c>
      <c r="C5">
        <v>1</v>
      </c>
      <c r="E5">
        <v>2</v>
      </c>
    </row>
    <row r="6" spans="1:5" x14ac:dyDescent="0.35">
      <c r="A6" s="21">
        <v>3373</v>
      </c>
      <c r="B6">
        <v>1</v>
      </c>
      <c r="C6">
        <v>1</v>
      </c>
      <c r="E6">
        <v>2</v>
      </c>
    </row>
    <row r="7" spans="1:5" x14ac:dyDescent="0.35">
      <c r="A7" s="21">
        <v>3388</v>
      </c>
      <c r="B7">
        <v>1</v>
      </c>
      <c r="C7">
        <v>1</v>
      </c>
      <c r="E7">
        <v>2</v>
      </c>
    </row>
    <row r="8" spans="1:5" x14ac:dyDescent="0.35">
      <c r="A8" s="21">
        <v>3393</v>
      </c>
      <c r="B8">
        <v>1</v>
      </c>
      <c r="C8">
        <v>1</v>
      </c>
      <c r="E8">
        <v>2</v>
      </c>
    </row>
    <row r="9" spans="1:5" x14ac:dyDescent="0.35">
      <c r="A9" s="21">
        <v>3395</v>
      </c>
      <c r="B9">
        <v>1</v>
      </c>
      <c r="C9">
        <v>1</v>
      </c>
      <c r="E9">
        <v>2</v>
      </c>
    </row>
    <row r="10" spans="1:5" x14ac:dyDescent="0.35">
      <c r="A10" s="21">
        <v>3397</v>
      </c>
      <c r="B10">
        <v>1</v>
      </c>
      <c r="C10">
        <v>1</v>
      </c>
      <c r="E10">
        <v>2</v>
      </c>
    </row>
    <row r="11" spans="1:5" x14ac:dyDescent="0.35">
      <c r="A11" s="21">
        <v>3550</v>
      </c>
      <c r="B11">
        <v>1</v>
      </c>
      <c r="C11">
        <v>1</v>
      </c>
      <c r="E11">
        <v>2</v>
      </c>
    </row>
    <row r="12" spans="1:5" x14ac:dyDescent="0.35">
      <c r="A12" s="21">
        <v>3554</v>
      </c>
      <c r="B12">
        <v>1</v>
      </c>
      <c r="C12">
        <v>1</v>
      </c>
      <c r="E12">
        <v>2</v>
      </c>
    </row>
    <row r="13" spans="1:5" x14ac:dyDescent="0.35">
      <c r="A13" s="21">
        <v>5604</v>
      </c>
      <c r="B13">
        <v>1</v>
      </c>
      <c r="C13">
        <v>1</v>
      </c>
      <c r="E13">
        <v>2</v>
      </c>
    </row>
    <row r="14" spans="1:5" x14ac:dyDescent="0.35">
      <c r="A14" s="21">
        <v>5605</v>
      </c>
      <c r="B14">
        <v>1</v>
      </c>
      <c r="C14">
        <v>1</v>
      </c>
      <c r="E14">
        <v>2</v>
      </c>
    </row>
    <row r="15" spans="1:5" x14ac:dyDescent="0.35">
      <c r="A15" s="21">
        <v>5609</v>
      </c>
      <c r="B15">
        <v>1</v>
      </c>
      <c r="C15">
        <v>1</v>
      </c>
      <c r="E15">
        <v>2</v>
      </c>
    </row>
    <row r="16" spans="1:5" x14ac:dyDescent="0.35">
      <c r="A16" s="21">
        <v>5611</v>
      </c>
      <c r="B16">
        <v>1</v>
      </c>
      <c r="C16">
        <v>1</v>
      </c>
      <c r="E16">
        <v>2</v>
      </c>
    </row>
    <row r="17" spans="1:5" x14ac:dyDescent="0.35">
      <c r="A17" s="21">
        <v>5628</v>
      </c>
      <c r="C17">
        <v>1</v>
      </c>
      <c r="E17">
        <v>1</v>
      </c>
    </row>
    <row r="18" spans="1:5" x14ac:dyDescent="0.35">
      <c r="A18" s="21">
        <v>5675</v>
      </c>
      <c r="C18">
        <v>1</v>
      </c>
      <c r="E18">
        <v>1</v>
      </c>
    </row>
    <row r="19" spans="1:5" x14ac:dyDescent="0.35">
      <c r="A19" s="21">
        <v>5725</v>
      </c>
      <c r="B19">
        <v>1</v>
      </c>
      <c r="C19">
        <v>1</v>
      </c>
      <c r="E19">
        <v>2</v>
      </c>
    </row>
    <row r="20" spans="1:5" x14ac:dyDescent="0.35">
      <c r="A20" s="21">
        <v>5727</v>
      </c>
      <c r="B20">
        <v>1</v>
      </c>
      <c r="C20">
        <v>1</v>
      </c>
      <c r="E20">
        <v>2</v>
      </c>
    </row>
    <row r="21" spans="1:5" x14ac:dyDescent="0.35">
      <c r="A21" s="21">
        <v>5728</v>
      </c>
      <c r="B21">
        <v>1</v>
      </c>
      <c r="C21">
        <v>1</v>
      </c>
      <c r="E21">
        <v>2</v>
      </c>
    </row>
    <row r="22" spans="1:5" x14ac:dyDescent="0.35">
      <c r="A22" s="21">
        <v>5729</v>
      </c>
      <c r="B22">
        <v>1</v>
      </c>
      <c r="C22">
        <v>1</v>
      </c>
      <c r="E22">
        <v>2</v>
      </c>
    </row>
    <row r="23" spans="1:5" x14ac:dyDescent="0.35">
      <c r="A23" s="21">
        <v>5730</v>
      </c>
      <c r="B23">
        <v>2</v>
      </c>
      <c r="C23">
        <v>2</v>
      </c>
      <c r="E23">
        <v>4</v>
      </c>
    </row>
    <row r="24" spans="1:5" x14ac:dyDescent="0.35">
      <c r="A24" s="21">
        <v>5732</v>
      </c>
      <c r="B24">
        <v>1</v>
      </c>
      <c r="C24">
        <v>1</v>
      </c>
      <c r="E24">
        <v>2</v>
      </c>
    </row>
    <row r="25" spans="1:5" x14ac:dyDescent="0.35">
      <c r="A25" s="21">
        <v>5736</v>
      </c>
      <c r="B25">
        <v>1</v>
      </c>
      <c r="C25">
        <v>1</v>
      </c>
      <c r="E25">
        <v>2</v>
      </c>
    </row>
    <row r="26" spans="1:5" x14ac:dyDescent="0.35">
      <c r="A26" s="21">
        <v>5739</v>
      </c>
      <c r="B26">
        <v>1</v>
      </c>
      <c r="C26">
        <v>1</v>
      </c>
      <c r="E26">
        <v>2</v>
      </c>
    </row>
    <row r="27" spans="1:5" x14ac:dyDescent="0.35">
      <c r="A27" s="21">
        <v>5761</v>
      </c>
      <c r="B27">
        <v>1</v>
      </c>
      <c r="C27">
        <v>1</v>
      </c>
      <c r="E27">
        <v>2</v>
      </c>
    </row>
    <row r="28" spans="1:5" x14ac:dyDescent="0.35">
      <c r="A28" s="21">
        <v>5764</v>
      </c>
      <c r="B28">
        <v>1</v>
      </c>
      <c r="C28">
        <v>1</v>
      </c>
      <c r="E28">
        <v>2</v>
      </c>
    </row>
    <row r="29" spans="1:5" x14ac:dyDescent="0.35">
      <c r="A29" s="21">
        <v>5765</v>
      </c>
      <c r="B29">
        <v>1</v>
      </c>
      <c r="C29">
        <v>1</v>
      </c>
      <c r="E29">
        <v>2</v>
      </c>
    </row>
    <row r="30" spans="1:5" x14ac:dyDescent="0.35">
      <c r="A30" s="21">
        <v>5788</v>
      </c>
      <c r="B30">
        <v>1</v>
      </c>
      <c r="C30">
        <v>1</v>
      </c>
      <c r="E30">
        <v>2</v>
      </c>
    </row>
    <row r="31" spans="1:5" x14ac:dyDescent="0.35">
      <c r="A31" s="21">
        <v>5806</v>
      </c>
      <c r="B31">
        <v>1</v>
      </c>
      <c r="C31">
        <v>1</v>
      </c>
      <c r="E31">
        <v>2</v>
      </c>
    </row>
    <row r="32" spans="1:5" x14ac:dyDescent="0.35">
      <c r="A32" s="21">
        <v>7142</v>
      </c>
      <c r="B32">
        <v>1</v>
      </c>
      <c r="C32">
        <v>1</v>
      </c>
      <c r="E32">
        <v>2</v>
      </c>
    </row>
    <row r="33" spans="1:5" x14ac:dyDescent="0.35">
      <c r="A33" s="21">
        <v>8062</v>
      </c>
      <c r="B33">
        <v>1</v>
      </c>
      <c r="C33">
        <v>1</v>
      </c>
      <c r="E33">
        <v>2</v>
      </c>
    </row>
    <row r="34" spans="1:5" x14ac:dyDescent="0.35">
      <c r="A34" s="21" t="s">
        <v>2213</v>
      </c>
    </row>
    <row r="35" spans="1:5" x14ac:dyDescent="0.35">
      <c r="A35" s="21" t="s">
        <v>2214</v>
      </c>
      <c r="B35">
        <v>28</v>
      </c>
      <c r="C35">
        <v>30</v>
      </c>
      <c r="E35">
        <v>58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92C3B-406C-4D30-B901-A3ADBDCA4588}">
  <dimension ref="A1:M59"/>
  <sheetViews>
    <sheetView workbookViewId="0">
      <selection sqref="A1:XFD1048576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1515</v>
      </c>
      <c r="B2" t="s">
        <v>14</v>
      </c>
      <c r="C2">
        <v>400890</v>
      </c>
      <c r="D2" t="s">
        <v>15</v>
      </c>
      <c r="E2" t="s">
        <v>1600</v>
      </c>
      <c r="F2" t="s">
        <v>17</v>
      </c>
      <c r="G2" t="s">
        <v>836</v>
      </c>
      <c r="H2" t="s">
        <v>19</v>
      </c>
      <c r="I2" t="s">
        <v>1601</v>
      </c>
      <c r="J2" t="s">
        <v>21</v>
      </c>
      <c r="K2" t="s">
        <v>354</v>
      </c>
      <c r="L2">
        <v>3388</v>
      </c>
      <c r="M2" t="s">
        <v>23</v>
      </c>
    </row>
    <row r="3" spans="1:13" x14ac:dyDescent="0.35">
      <c r="A3">
        <v>0</v>
      </c>
      <c r="B3" t="s">
        <v>317</v>
      </c>
      <c r="C3">
        <v>406876</v>
      </c>
      <c r="D3" t="s">
        <v>15</v>
      </c>
      <c r="E3" t="s">
        <v>1767</v>
      </c>
      <c r="F3" t="s">
        <v>319</v>
      </c>
      <c r="G3" t="s">
        <v>836</v>
      </c>
      <c r="H3" t="s">
        <v>19</v>
      </c>
      <c r="I3" t="s">
        <v>1601</v>
      </c>
      <c r="J3" t="s">
        <v>21</v>
      </c>
      <c r="K3" t="s">
        <v>354</v>
      </c>
      <c r="L3">
        <v>3388</v>
      </c>
      <c r="M3" t="s">
        <v>673</v>
      </c>
    </row>
    <row r="4" spans="1:13" x14ac:dyDescent="0.35">
      <c r="A4" t="s">
        <v>79</v>
      </c>
      <c r="B4" t="s">
        <v>14</v>
      </c>
      <c r="C4">
        <v>328405</v>
      </c>
      <c r="D4" t="s">
        <v>15</v>
      </c>
      <c r="E4" t="s">
        <v>80</v>
      </c>
      <c r="F4" t="s">
        <v>17</v>
      </c>
      <c r="G4" t="s">
        <v>81</v>
      </c>
      <c r="H4" t="s">
        <v>19</v>
      </c>
      <c r="I4" t="s">
        <v>82</v>
      </c>
      <c r="J4" t="s">
        <v>21</v>
      </c>
      <c r="K4" t="s">
        <v>62</v>
      </c>
      <c r="L4">
        <v>3286</v>
      </c>
      <c r="M4" t="s">
        <v>23</v>
      </c>
    </row>
    <row r="5" spans="1:13" x14ac:dyDescent="0.35">
      <c r="A5" t="s">
        <v>650</v>
      </c>
      <c r="B5" t="s">
        <v>14</v>
      </c>
      <c r="C5">
        <v>370982</v>
      </c>
      <c r="D5" t="s">
        <v>15</v>
      </c>
      <c r="E5" t="s">
        <v>651</v>
      </c>
      <c r="F5" t="s">
        <v>17</v>
      </c>
      <c r="G5" t="s">
        <v>652</v>
      </c>
      <c r="H5" t="s">
        <v>19</v>
      </c>
      <c r="I5" t="s">
        <v>653</v>
      </c>
      <c r="J5" t="s">
        <v>21</v>
      </c>
      <c r="K5" t="s">
        <v>62</v>
      </c>
      <c r="L5">
        <v>5611</v>
      </c>
      <c r="M5" t="s">
        <v>23</v>
      </c>
    </row>
    <row r="6" spans="1:13" x14ac:dyDescent="0.35">
      <c r="A6" t="s">
        <v>1515</v>
      </c>
      <c r="B6" t="s">
        <v>14</v>
      </c>
      <c r="C6">
        <v>400891</v>
      </c>
      <c r="D6" t="s">
        <v>15</v>
      </c>
      <c r="E6" t="s">
        <v>1602</v>
      </c>
      <c r="F6" t="s">
        <v>17</v>
      </c>
      <c r="G6" t="s">
        <v>1369</v>
      </c>
      <c r="H6" t="s">
        <v>19</v>
      </c>
      <c r="I6" t="s">
        <v>1603</v>
      </c>
      <c r="J6" t="s">
        <v>21</v>
      </c>
      <c r="K6" t="s">
        <v>62</v>
      </c>
      <c r="L6">
        <v>5605</v>
      </c>
      <c r="M6" t="s">
        <v>23</v>
      </c>
    </row>
    <row r="7" spans="1:13" x14ac:dyDescent="0.35">
      <c r="A7" t="s">
        <v>1515</v>
      </c>
      <c r="B7" t="s">
        <v>14</v>
      </c>
      <c r="C7">
        <v>404720</v>
      </c>
      <c r="D7" t="s">
        <v>15</v>
      </c>
      <c r="E7" t="s">
        <v>1718</v>
      </c>
      <c r="F7" t="s">
        <v>17</v>
      </c>
      <c r="G7" t="s">
        <v>668</v>
      </c>
      <c r="H7" t="s">
        <v>19</v>
      </c>
      <c r="I7" t="s">
        <v>1717</v>
      </c>
      <c r="J7" t="s">
        <v>21</v>
      </c>
      <c r="K7" t="s">
        <v>62</v>
      </c>
      <c r="L7">
        <v>5609</v>
      </c>
      <c r="M7" t="s">
        <v>23</v>
      </c>
    </row>
    <row r="8" spans="1:13" x14ac:dyDescent="0.35">
      <c r="A8" t="s">
        <v>1424</v>
      </c>
      <c r="B8" t="s">
        <v>317</v>
      </c>
      <c r="C8">
        <v>392517</v>
      </c>
      <c r="D8" t="s">
        <v>15</v>
      </c>
      <c r="E8" t="s">
        <v>1425</v>
      </c>
      <c r="F8" t="s">
        <v>319</v>
      </c>
      <c r="G8" t="s">
        <v>81</v>
      </c>
      <c r="H8" t="s">
        <v>19</v>
      </c>
      <c r="I8" t="s">
        <v>82</v>
      </c>
      <c r="J8" t="s">
        <v>21</v>
      </c>
      <c r="K8" t="s">
        <v>62</v>
      </c>
      <c r="L8">
        <v>3286</v>
      </c>
      <c r="M8" t="s">
        <v>673</v>
      </c>
    </row>
    <row r="9" spans="1:13" x14ac:dyDescent="0.35">
      <c r="A9">
        <v>0</v>
      </c>
      <c r="B9" t="s">
        <v>317</v>
      </c>
      <c r="C9">
        <v>402020</v>
      </c>
      <c r="D9" t="s">
        <v>15</v>
      </c>
      <c r="E9" t="s">
        <v>1643</v>
      </c>
      <c r="F9" t="s">
        <v>319</v>
      </c>
      <c r="G9" t="s">
        <v>1369</v>
      </c>
      <c r="H9" t="s">
        <v>19</v>
      </c>
      <c r="I9" t="s">
        <v>1603</v>
      </c>
      <c r="J9" t="s">
        <v>21</v>
      </c>
      <c r="K9" t="s">
        <v>62</v>
      </c>
      <c r="L9">
        <v>5605</v>
      </c>
      <c r="M9" t="s">
        <v>673</v>
      </c>
    </row>
    <row r="10" spans="1:13" x14ac:dyDescent="0.35">
      <c r="A10">
        <v>0</v>
      </c>
      <c r="B10" t="s">
        <v>317</v>
      </c>
      <c r="C10">
        <v>404669</v>
      </c>
      <c r="D10" t="s">
        <v>15</v>
      </c>
      <c r="E10" t="s">
        <v>1706</v>
      </c>
      <c r="F10" t="s">
        <v>319</v>
      </c>
      <c r="G10" t="s">
        <v>652</v>
      </c>
      <c r="H10" t="s">
        <v>19</v>
      </c>
      <c r="I10" t="s">
        <v>653</v>
      </c>
      <c r="J10" t="s">
        <v>21</v>
      </c>
      <c r="K10" t="s">
        <v>62</v>
      </c>
      <c r="L10">
        <v>5611</v>
      </c>
      <c r="M10" t="s">
        <v>673</v>
      </c>
    </row>
    <row r="11" spans="1:13" x14ac:dyDescent="0.35">
      <c r="A11">
        <v>0</v>
      </c>
      <c r="B11" t="s">
        <v>317</v>
      </c>
      <c r="C11">
        <v>404675</v>
      </c>
      <c r="D11" t="s">
        <v>15</v>
      </c>
      <c r="E11" t="s">
        <v>1716</v>
      </c>
      <c r="F11" t="s">
        <v>319</v>
      </c>
      <c r="G11" t="s">
        <v>668</v>
      </c>
      <c r="H11" t="s">
        <v>19</v>
      </c>
      <c r="I11" t="s">
        <v>1717</v>
      </c>
      <c r="J11" t="s">
        <v>21</v>
      </c>
      <c r="K11" t="s">
        <v>62</v>
      </c>
      <c r="L11">
        <v>5609</v>
      </c>
      <c r="M11" t="s">
        <v>673</v>
      </c>
    </row>
    <row r="12" spans="1:13" x14ac:dyDescent="0.35">
      <c r="A12" t="s">
        <v>524</v>
      </c>
      <c r="B12" t="s">
        <v>317</v>
      </c>
      <c r="C12">
        <v>359085</v>
      </c>
      <c r="D12" t="s">
        <v>15</v>
      </c>
      <c r="E12" t="s">
        <v>525</v>
      </c>
      <c r="F12" t="s">
        <v>319</v>
      </c>
      <c r="G12" t="s">
        <v>526</v>
      </c>
      <c r="H12" t="s">
        <v>19</v>
      </c>
      <c r="I12" t="s">
        <v>527</v>
      </c>
      <c r="J12" t="s">
        <v>21</v>
      </c>
      <c r="K12" t="s">
        <v>235</v>
      </c>
      <c r="L12">
        <v>5628</v>
      </c>
      <c r="M12" t="s">
        <v>23</v>
      </c>
    </row>
    <row r="13" spans="1:13" x14ac:dyDescent="0.35">
      <c r="A13" t="s">
        <v>104</v>
      </c>
      <c r="B13" t="s">
        <v>14</v>
      </c>
      <c r="C13">
        <v>328548</v>
      </c>
      <c r="D13" t="s">
        <v>15</v>
      </c>
      <c r="E13" t="s">
        <v>105</v>
      </c>
      <c r="F13" t="s">
        <v>17</v>
      </c>
      <c r="G13" t="s">
        <v>106</v>
      </c>
      <c r="H13" t="s">
        <v>19</v>
      </c>
      <c r="I13" t="s">
        <v>107</v>
      </c>
      <c r="J13" t="s">
        <v>21</v>
      </c>
      <c r="K13" t="s">
        <v>78</v>
      </c>
      <c r="L13">
        <v>3550</v>
      </c>
      <c r="M13" t="s">
        <v>23</v>
      </c>
    </row>
    <row r="14" spans="1:13" x14ac:dyDescent="0.35">
      <c r="A14" t="s">
        <v>810</v>
      </c>
      <c r="B14" t="s">
        <v>14</v>
      </c>
      <c r="C14">
        <v>375499</v>
      </c>
      <c r="D14" t="s">
        <v>15</v>
      </c>
      <c r="E14" t="s">
        <v>811</v>
      </c>
      <c r="F14" t="s">
        <v>17</v>
      </c>
      <c r="G14" t="s">
        <v>812</v>
      </c>
      <c r="H14" t="s">
        <v>19</v>
      </c>
      <c r="I14" t="s">
        <v>813</v>
      </c>
      <c r="J14" t="s">
        <v>21</v>
      </c>
      <c r="K14" t="s">
        <v>78</v>
      </c>
      <c r="L14">
        <v>3393</v>
      </c>
      <c r="M14" t="s">
        <v>23</v>
      </c>
    </row>
    <row r="15" spans="1:13" x14ac:dyDescent="0.35">
      <c r="A15" t="s">
        <v>939</v>
      </c>
      <c r="B15" t="s">
        <v>317</v>
      </c>
      <c r="C15">
        <v>378197</v>
      </c>
      <c r="D15" t="s">
        <v>15</v>
      </c>
      <c r="E15" t="s">
        <v>940</v>
      </c>
      <c r="F15" t="s">
        <v>319</v>
      </c>
      <c r="G15" t="s">
        <v>98</v>
      </c>
      <c r="H15" t="s">
        <v>19</v>
      </c>
      <c r="I15" t="s">
        <v>941</v>
      </c>
      <c r="J15" t="s">
        <v>21</v>
      </c>
      <c r="K15" t="s">
        <v>78</v>
      </c>
      <c r="L15">
        <v>5675</v>
      </c>
      <c r="M15" t="s">
        <v>673</v>
      </c>
    </row>
    <row r="16" spans="1:13" x14ac:dyDescent="0.35">
      <c r="A16" t="s">
        <v>1267</v>
      </c>
      <c r="B16" t="s">
        <v>317</v>
      </c>
      <c r="C16">
        <v>388684</v>
      </c>
      <c r="D16" t="s">
        <v>15</v>
      </c>
      <c r="E16" t="s">
        <v>1268</v>
      </c>
      <c r="F16" t="s">
        <v>319</v>
      </c>
      <c r="G16" t="s">
        <v>106</v>
      </c>
      <c r="H16" t="s">
        <v>19</v>
      </c>
      <c r="I16" t="s">
        <v>107</v>
      </c>
      <c r="J16" t="s">
        <v>21</v>
      </c>
      <c r="K16" t="s">
        <v>78</v>
      </c>
      <c r="L16">
        <v>3550</v>
      </c>
      <c r="M16" t="s">
        <v>673</v>
      </c>
    </row>
    <row r="17" spans="1:13" x14ac:dyDescent="0.35">
      <c r="A17">
        <v>0</v>
      </c>
      <c r="B17" t="s">
        <v>317</v>
      </c>
      <c r="C17">
        <v>399624</v>
      </c>
      <c r="D17" t="s">
        <v>15</v>
      </c>
      <c r="E17" t="s">
        <v>1558</v>
      </c>
      <c r="F17" t="s">
        <v>319</v>
      </c>
      <c r="G17" t="s">
        <v>812</v>
      </c>
      <c r="H17" t="s">
        <v>19</v>
      </c>
      <c r="I17" t="s">
        <v>813</v>
      </c>
      <c r="J17" t="s">
        <v>21</v>
      </c>
      <c r="K17" t="s">
        <v>78</v>
      </c>
      <c r="L17">
        <v>3393</v>
      </c>
      <c r="M17" t="s">
        <v>673</v>
      </c>
    </row>
    <row r="18" spans="1:13" x14ac:dyDescent="0.35">
      <c r="A18" t="s">
        <v>613</v>
      </c>
      <c r="B18" t="s">
        <v>14</v>
      </c>
      <c r="C18">
        <v>367987</v>
      </c>
      <c r="D18" t="s">
        <v>15</v>
      </c>
      <c r="E18" t="s">
        <v>614</v>
      </c>
      <c r="F18" t="s">
        <v>17</v>
      </c>
      <c r="G18" t="s">
        <v>39</v>
      </c>
      <c r="H18" t="s">
        <v>19</v>
      </c>
      <c r="I18" t="s">
        <v>615</v>
      </c>
      <c r="J18" t="s">
        <v>21</v>
      </c>
      <c r="K18" t="s">
        <v>36</v>
      </c>
      <c r="L18">
        <v>5730</v>
      </c>
      <c r="M18" t="s">
        <v>23</v>
      </c>
    </row>
    <row r="19" spans="1:13" x14ac:dyDescent="0.35">
      <c r="A19" t="s">
        <v>753</v>
      </c>
      <c r="B19" t="s">
        <v>14</v>
      </c>
      <c r="C19">
        <v>373726</v>
      </c>
      <c r="D19" t="s">
        <v>15</v>
      </c>
      <c r="E19" t="s">
        <v>754</v>
      </c>
      <c r="F19" t="s">
        <v>17</v>
      </c>
      <c r="G19" t="s">
        <v>297</v>
      </c>
      <c r="H19" t="s">
        <v>19</v>
      </c>
      <c r="I19" t="s">
        <v>755</v>
      </c>
      <c r="J19" t="s">
        <v>21</v>
      </c>
      <c r="K19" t="s">
        <v>36</v>
      </c>
      <c r="L19">
        <v>5732</v>
      </c>
      <c r="M19" t="s">
        <v>23</v>
      </c>
    </row>
    <row r="20" spans="1:13" x14ac:dyDescent="0.35">
      <c r="A20" t="s">
        <v>1066</v>
      </c>
      <c r="B20" t="s">
        <v>14</v>
      </c>
      <c r="C20">
        <v>381903</v>
      </c>
      <c r="D20" t="s">
        <v>15</v>
      </c>
      <c r="E20" t="s">
        <v>1067</v>
      </c>
      <c r="F20" t="s">
        <v>17</v>
      </c>
      <c r="G20" t="s">
        <v>39</v>
      </c>
      <c r="H20" t="s">
        <v>19</v>
      </c>
      <c r="I20" t="s">
        <v>1068</v>
      </c>
      <c r="J20" t="s">
        <v>21</v>
      </c>
      <c r="K20" t="s">
        <v>36</v>
      </c>
      <c r="L20">
        <v>5730</v>
      </c>
      <c r="M20" t="s">
        <v>23</v>
      </c>
    </row>
    <row r="21" spans="1:13" x14ac:dyDescent="0.35">
      <c r="A21" t="s">
        <v>1110</v>
      </c>
      <c r="B21" t="s">
        <v>14</v>
      </c>
      <c r="C21">
        <v>384112</v>
      </c>
      <c r="D21" t="s">
        <v>15</v>
      </c>
      <c r="E21" t="s">
        <v>1111</v>
      </c>
      <c r="F21" t="s">
        <v>17</v>
      </c>
      <c r="G21" t="s">
        <v>1112</v>
      </c>
      <c r="H21" t="s">
        <v>19</v>
      </c>
      <c r="I21" t="s">
        <v>1113</v>
      </c>
      <c r="J21" t="s">
        <v>21</v>
      </c>
      <c r="K21" t="s">
        <v>36</v>
      </c>
      <c r="L21">
        <v>5729</v>
      </c>
      <c r="M21" t="s">
        <v>23</v>
      </c>
    </row>
    <row r="22" spans="1:13" x14ac:dyDescent="0.35">
      <c r="A22" t="s">
        <v>1247</v>
      </c>
      <c r="B22" t="s">
        <v>14</v>
      </c>
      <c r="C22">
        <v>388315</v>
      </c>
      <c r="D22" t="s">
        <v>15</v>
      </c>
      <c r="E22" t="s">
        <v>1248</v>
      </c>
      <c r="F22" t="s">
        <v>17</v>
      </c>
      <c r="G22" t="s">
        <v>1071</v>
      </c>
      <c r="H22" t="s">
        <v>19</v>
      </c>
      <c r="I22" t="s">
        <v>1249</v>
      </c>
      <c r="J22" t="s">
        <v>21</v>
      </c>
      <c r="K22" t="s">
        <v>36</v>
      </c>
      <c r="L22">
        <v>5728</v>
      </c>
      <c r="M22" t="s">
        <v>23</v>
      </c>
    </row>
    <row r="23" spans="1:13" x14ac:dyDescent="0.35">
      <c r="A23" t="s">
        <v>1515</v>
      </c>
      <c r="B23" t="s">
        <v>14</v>
      </c>
      <c r="C23">
        <v>413386</v>
      </c>
      <c r="D23" t="s">
        <v>15</v>
      </c>
      <c r="E23" t="s">
        <v>1899</v>
      </c>
      <c r="F23" t="s">
        <v>17</v>
      </c>
      <c r="G23" t="s">
        <v>482</v>
      </c>
      <c r="H23" t="s">
        <v>19</v>
      </c>
      <c r="I23" t="s">
        <v>915</v>
      </c>
      <c r="J23" t="s">
        <v>21</v>
      </c>
      <c r="K23" t="s">
        <v>36</v>
      </c>
      <c r="L23">
        <v>5727</v>
      </c>
      <c r="M23" t="s">
        <v>23</v>
      </c>
    </row>
    <row r="24" spans="1:13" x14ac:dyDescent="0.35">
      <c r="A24" t="s">
        <v>913</v>
      </c>
      <c r="B24" t="s">
        <v>317</v>
      </c>
      <c r="C24">
        <v>377302</v>
      </c>
      <c r="D24" t="s">
        <v>15</v>
      </c>
      <c r="E24" t="s">
        <v>914</v>
      </c>
      <c r="F24" t="s">
        <v>319</v>
      </c>
      <c r="G24" t="s">
        <v>482</v>
      </c>
      <c r="H24" t="s">
        <v>19</v>
      </c>
      <c r="I24" t="s">
        <v>915</v>
      </c>
      <c r="J24" t="s">
        <v>21</v>
      </c>
      <c r="K24" t="s">
        <v>36</v>
      </c>
      <c r="L24">
        <v>5727</v>
      </c>
      <c r="M24" t="s">
        <v>673</v>
      </c>
    </row>
    <row r="25" spans="1:13" x14ac:dyDescent="0.35">
      <c r="A25">
        <v>0</v>
      </c>
      <c r="B25" t="s">
        <v>317</v>
      </c>
      <c r="C25">
        <v>395380</v>
      </c>
      <c r="D25" t="s">
        <v>15</v>
      </c>
      <c r="E25" t="s">
        <v>1514</v>
      </c>
      <c r="F25" t="s">
        <v>319</v>
      </c>
      <c r="G25" t="s">
        <v>39</v>
      </c>
      <c r="H25" t="s">
        <v>19</v>
      </c>
      <c r="I25" t="s">
        <v>1068</v>
      </c>
      <c r="J25" t="s">
        <v>21</v>
      </c>
      <c r="K25" t="s">
        <v>36</v>
      </c>
      <c r="L25">
        <v>5730</v>
      </c>
      <c r="M25" t="s">
        <v>673</v>
      </c>
    </row>
    <row r="26" spans="1:13" x14ac:dyDescent="0.35">
      <c r="A26">
        <v>0</v>
      </c>
      <c r="B26" t="s">
        <v>317</v>
      </c>
      <c r="C26">
        <v>397090</v>
      </c>
      <c r="D26" t="s">
        <v>15</v>
      </c>
      <c r="E26" t="s">
        <v>1536</v>
      </c>
      <c r="F26" t="s">
        <v>319</v>
      </c>
      <c r="G26" t="s">
        <v>1071</v>
      </c>
      <c r="H26" t="s">
        <v>19</v>
      </c>
      <c r="I26" t="s">
        <v>1249</v>
      </c>
      <c r="J26" t="s">
        <v>21</v>
      </c>
      <c r="K26" t="s">
        <v>36</v>
      </c>
      <c r="L26">
        <v>5728</v>
      </c>
      <c r="M26" t="s">
        <v>673</v>
      </c>
    </row>
    <row r="27" spans="1:13" x14ac:dyDescent="0.35">
      <c r="A27">
        <v>0</v>
      </c>
      <c r="B27" t="s">
        <v>317</v>
      </c>
      <c r="C27">
        <v>397872</v>
      </c>
      <c r="D27" t="s">
        <v>15</v>
      </c>
      <c r="E27" t="s">
        <v>1540</v>
      </c>
      <c r="F27" t="s">
        <v>319</v>
      </c>
      <c r="G27" t="s">
        <v>1112</v>
      </c>
      <c r="H27" t="s">
        <v>19</v>
      </c>
      <c r="I27" t="s">
        <v>1113</v>
      </c>
      <c r="J27" t="s">
        <v>21</v>
      </c>
      <c r="K27" t="s">
        <v>36</v>
      </c>
      <c r="L27">
        <v>5729</v>
      </c>
      <c r="M27" t="s">
        <v>673</v>
      </c>
    </row>
    <row r="28" spans="1:13" x14ac:dyDescent="0.35">
      <c r="A28">
        <v>0</v>
      </c>
      <c r="B28" t="s">
        <v>317</v>
      </c>
      <c r="C28">
        <v>403331</v>
      </c>
      <c r="D28" t="s">
        <v>15</v>
      </c>
      <c r="E28" t="s">
        <v>1667</v>
      </c>
      <c r="F28" t="s">
        <v>319</v>
      </c>
      <c r="G28" t="s">
        <v>297</v>
      </c>
      <c r="H28" t="s">
        <v>19</v>
      </c>
      <c r="I28" t="s">
        <v>755</v>
      </c>
      <c r="J28" t="s">
        <v>21</v>
      </c>
      <c r="K28" t="s">
        <v>36</v>
      </c>
      <c r="L28">
        <v>5732</v>
      </c>
      <c r="M28" t="s">
        <v>673</v>
      </c>
    </row>
    <row r="29" spans="1:13" x14ac:dyDescent="0.35">
      <c r="A29">
        <v>0</v>
      </c>
      <c r="B29" t="s">
        <v>317</v>
      </c>
      <c r="C29">
        <v>403333</v>
      </c>
      <c r="D29" t="s">
        <v>15</v>
      </c>
      <c r="E29" t="s">
        <v>1668</v>
      </c>
      <c r="F29" t="s">
        <v>319</v>
      </c>
      <c r="G29" t="s">
        <v>39</v>
      </c>
      <c r="H29" t="s">
        <v>19</v>
      </c>
      <c r="I29" t="s">
        <v>615</v>
      </c>
      <c r="J29" t="s">
        <v>21</v>
      </c>
      <c r="K29" t="s">
        <v>36</v>
      </c>
      <c r="L29">
        <v>5730</v>
      </c>
      <c r="M29" t="s">
        <v>673</v>
      </c>
    </row>
    <row r="30" spans="1:13" x14ac:dyDescent="0.35">
      <c r="A30" t="s">
        <v>1515</v>
      </c>
      <c r="B30" t="s">
        <v>14</v>
      </c>
      <c r="C30">
        <v>398832</v>
      </c>
      <c r="D30" t="s">
        <v>15</v>
      </c>
      <c r="E30" t="s">
        <v>1555</v>
      </c>
      <c r="F30" t="s">
        <v>17</v>
      </c>
      <c r="G30" t="s">
        <v>313</v>
      </c>
      <c r="H30" t="s">
        <v>19</v>
      </c>
      <c r="I30" t="s">
        <v>1257</v>
      </c>
      <c r="J30" t="s">
        <v>21</v>
      </c>
      <c r="K30" t="s">
        <v>315</v>
      </c>
      <c r="L30">
        <v>5736</v>
      </c>
      <c r="M30" t="s">
        <v>23</v>
      </c>
    </row>
    <row r="31" spans="1:13" x14ac:dyDescent="0.35">
      <c r="A31" t="s">
        <v>1255</v>
      </c>
      <c r="B31" t="s">
        <v>317</v>
      </c>
      <c r="C31">
        <v>388349</v>
      </c>
      <c r="D31" t="s">
        <v>15</v>
      </c>
      <c r="E31" t="s">
        <v>1256</v>
      </c>
      <c r="F31" t="s">
        <v>319</v>
      </c>
      <c r="G31" t="s">
        <v>313</v>
      </c>
      <c r="H31" t="s">
        <v>19</v>
      </c>
      <c r="I31" t="s">
        <v>1257</v>
      </c>
      <c r="J31" t="s">
        <v>21</v>
      </c>
      <c r="K31" t="s">
        <v>315</v>
      </c>
      <c r="L31">
        <v>5736</v>
      </c>
      <c r="M31" t="s">
        <v>23</v>
      </c>
    </row>
    <row r="32" spans="1:13" x14ac:dyDescent="0.35">
      <c r="A32">
        <v>0</v>
      </c>
      <c r="B32" t="s">
        <v>14</v>
      </c>
      <c r="C32">
        <v>396865</v>
      </c>
      <c r="D32" t="s">
        <v>15</v>
      </c>
      <c r="E32" t="s">
        <v>1525</v>
      </c>
      <c r="F32" t="s">
        <v>17</v>
      </c>
      <c r="G32" t="s">
        <v>464</v>
      </c>
      <c r="H32" t="s">
        <v>19</v>
      </c>
      <c r="I32" t="s">
        <v>1526</v>
      </c>
      <c r="J32" t="s">
        <v>21</v>
      </c>
      <c r="K32" t="s">
        <v>57</v>
      </c>
      <c r="L32">
        <v>5739</v>
      </c>
      <c r="M32" t="s">
        <v>23</v>
      </c>
    </row>
    <row r="33" spans="1:13" x14ac:dyDescent="0.35">
      <c r="A33">
        <v>0</v>
      </c>
      <c r="B33" t="s">
        <v>14</v>
      </c>
      <c r="C33">
        <v>409373</v>
      </c>
      <c r="D33" t="s">
        <v>15</v>
      </c>
      <c r="E33" t="s">
        <v>1835</v>
      </c>
      <c r="F33" t="s">
        <v>17</v>
      </c>
      <c r="G33" t="s">
        <v>740</v>
      </c>
      <c r="H33" t="s">
        <v>19</v>
      </c>
      <c r="I33" t="s">
        <v>1836</v>
      </c>
      <c r="J33" t="s">
        <v>21</v>
      </c>
      <c r="K33" t="s">
        <v>57</v>
      </c>
      <c r="L33">
        <v>5788</v>
      </c>
      <c r="M33" t="s">
        <v>23</v>
      </c>
    </row>
    <row r="34" spans="1:13" x14ac:dyDescent="0.35">
      <c r="A34">
        <v>0</v>
      </c>
      <c r="B34" t="s">
        <v>14</v>
      </c>
      <c r="C34">
        <v>413519</v>
      </c>
      <c r="D34" t="s">
        <v>15</v>
      </c>
      <c r="E34" t="s">
        <v>1907</v>
      </c>
      <c r="F34" t="s">
        <v>17</v>
      </c>
      <c r="G34" t="s">
        <v>618</v>
      </c>
      <c r="H34" t="s">
        <v>19</v>
      </c>
      <c r="I34" t="s">
        <v>1840</v>
      </c>
      <c r="J34" t="s">
        <v>21</v>
      </c>
      <c r="K34" t="s">
        <v>57</v>
      </c>
      <c r="L34">
        <v>5761</v>
      </c>
      <c r="M34" t="s">
        <v>23</v>
      </c>
    </row>
    <row r="35" spans="1:13" x14ac:dyDescent="0.35">
      <c r="A35">
        <v>0</v>
      </c>
      <c r="B35" t="s">
        <v>317</v>
      </c>
      <c r="C35">
        <v>409384</v>
      </c>
      <c r="D35" t="s">
        <v>15</v>
      </c>
      <c r="E35" t="s">
        <v>1839</v>
      </c>
      <c r="F35" t="s">
        <v>319</v>
      </c>
      <c r="G35" t="s">
        <v>618</v>
      </c>
      <c r="H35" t="s">
        <v>19</v>
      </c>
      <c r="I35" t="s">
        <v>1840</v>
      </c>
      <c r="J35" t="s">
        <v>21</v>
      </c>
      <c r="K35" t="s">
        <v>57</v>
      </c>
      <c r="L35">
        <v>5761</v>
      </c>
      <c r="M35" t="s">
        <v>673</v>
      </c>
    </row>
    <row r="36" spans="1:13" x14ac:dyDescent="0.35">
      <c r="A36">
        <v>0</v>
      </c>
      <c r="B36" t="s">
        <v>317</v>
      </c>
      <c r="C36">
        <v>409385</v>
      </c>
      <c r="D36" t="s">
        <v>15</v>
      </c>
      <c r="E36" t="s">
        <v>1841</v>
      </c>
      <c r="F36" t="s">
        <v>319</v>
      </c>
      <c r="G36" t="s">
        <v>740</v>
      </c>
      <c r="H36" t="s">
        <v>19</v>
      </c>
      <c r="I36" t="s">
        <v>1836</v>
      </c>
      <c r="J36" t="s">
        <v>21</v>
      </c>
      <c r="K36" t="s">
        <v>57</v>
      </c>
      <c r="L36">
        <v>5788</v>
      </c>
      <c r="M36" t="s">
        <v>673</v>
      </c>
    </row>
    <row r="37" spans="1:13" x14ac:dyDescent="0.35">
      <c r="A37">
        <v>0</v>
      </c>
      <c r="B37" t="s">
        <v>317</v>
      </c>
      <c r="C37">
        <v>409386</v>
      </c>
      <c r="D37" t="s">
        <v>15</v>
      </c>
      <c r="E37" t="s">
        <v>1842</v>
      </c>
      <c r="F37" t="s">
        <v>319</v>
      </c>
      <c r="G37" t="s">
        <v>464</v>
      </c>
      <c r="H37" t="s">
        <v>19</v>
      </c>
      <c r="I37" t="s">
        <v>1526</v>
      </c>
      <c r="J37" t="s">
        <v>21</v>
      </c>
      <c r="K37" t="s">
        <v>57</v>
      </c>
      <c r="L37">
        <v>5739</v>
      </c>
      <c r="M37" t="s">
        <v>673</v>
      </c>
    </row>
    <row r="38" spans="1:13" x14ac:dyDescent="0.35">
      <c r="A38" t="s">
        <v>407</v>
      </c>
      <c r="B38" t="s">
        <v>14</v>
      </c>
      <c r="C38">
        <v>349687</v>
      </c>
      <c r="D38" t="s">
        <v>15</v>
      </c>
      <c r="E38" t="s">
        <v>408</v>
      </c>
      <c r="F38" t="s">
        <v>17</v>
      </c>
      <c r="G38" t="s">
        <v>409</v>
      </c>
      <c r="H38" t="s">
        <v>19</v>
      </c>
      <c r="I38" t="s">
        <v>410</v>
      </c>
      <c r="J38" t="s">
        <v>21</v>
      </c>
      <c r="K38" t="s">
        <v>246</v>
      </c>
      <c r="L38">
        <v>5765</v>
      </c>
      <c r="M38" t="s">
        <v>23</v>
      </c>
    </row>
    <row r="39" spans="1:13" x14ac:dyDescent="0.35">
      <c r="A39" t="s">
        <v>542</v>
      </c>
      <c r="B39" t="s">
        <v>14</v>
      </c>
      <c r="C39">
        <v>360731</v>
      </c>
      <c r="D39" t="s">
        <v>15</v>
      </c>
      <c r="E39" t="s">
        <v>543</v>
      </c>
      <c r="F39" t="s">
        <v>17</v>
      </c>
      <c r="G39" t="s">
        <v>544</v>
      </c>
      <c r="H39" t="s">
        <v>19</v>
      </c>
      <c r="I39" t="s">
        <v>545</v>
      </c>
      <c r="J39" t="s">
        <v>21</v>
      </c>
      <c r="K39" t="s">
        <v>246</v>
      </c>
      <c r="L39">
        <v>7142</v>
      </c>
      <c r="M39" t="s">
        <v>23</v>
      </c>
    </row>
    <row r="40" spans="1:13" x14ac:dyDescent="0.35">
      <c r="A40" t="s">
        <v>1515</v>
      </c>
      <c r="B40" t="s">
        <v>14</v>
      </c>
      <c r="C40">
        <v>413605</v>
      </c>
      <c r="D40" t="s">
        <v>15</v>
      </c>
      <c r="E40" t="s">
        <v>1910</v>
      </c>
      <c r="F40" t="s">
        <v>17</v>
      </c>
      <c r="G40" t="s">
        <v>602</v>
      </c>
      <c r="H40" t="s">
        <v>19</v>
      </c>
      <c r="I40" t="s">
        <v>1316</v>
      </c>
      <c r="J40" t="s">
        <v>21</v>
      </c>
      <c r="K40" t="s">
        <v>246</v>
      </c>
      <c r="L40">
        <v>5764</v>
      </c>
      <c r="M40" t="s">
        <v>23</v>
      </c>
    </row>
    <row r="41" spans="1:13" x14ac:dyDescent="0.35">
      <c r="A41" t="s">
        <v>1515</v>
      </c>
      <c r="B41" t="s">
        <v>14</v>
      </c>
      <c r="C41">
        <v>413711</v>
      </c>
      <c r="D41" t="s">
        <v>15</v>
      </c>
      <c r="E41" t="s">
        <v>1920</v>
      </c>
      <c r="F41" t="s">
        <v>17</v>
      </c>
      <c r="G41" t="s">
        <v>632</v>
      </c>
      <c r="H41" t="s">
        <v>19</v>
      </c>
      <c r="I41" t="s">
        <v>1468</v>
      </c>
      <c r="J41" t="s">
        <v>21</v>
      </c>
      <c r="K41" t="s">
        <v>246</v>
      </c>
      <c r="L41">
        <v>3397</v>
      </c>
      <c r="M41" t="s">
        <v>23</v>
      </c>
    </row>
    <row r="42" spans="1:13" x14ac:dyDescent="0.35">
      <c r="A42" t="s">
        <v>1314</v>
      </c>
      <c r="B42" t="s">
        <v>317</v>
      </c>
      <c r="C42">
        <v>389742</v>
      </c>
      <c r="D42" t="s">
        <v>15</v>
      </c>
      <c r="E42" t="s">
        <v>1315</v>
      </c>
      <c r="F42" t="s">
        <v>319</v>
      </c>
      <c r="G42" t="s">
        <v>602</v>
      </c>
      <c r="H42" t="s">
        <v>19</v>
      </c>
      <c r="I42" t="s">
        <v>1316</v>
      </c>
      <c r="J42" t="s">
        <v>21</v>
      </c>
      <c r="K42" t="s">
        <v>246</v>
      </c>
      <c r="L42">
        <v>5764</v>
      </c>
      <c r="M42" t="s">
        <v>673</v>
      </c>
    </row>
    <row r="43" spans="1:13" x14ac:dyDescent="0.35">
      <c r="A43" t="s">
        <v>1466</v>
      </c>
      <c r="B43" t="s">
        <v>317</v>
      </c>
      <c r="C43">
        <v>393373</v>
      </c>
      <c r="D43" t="s">
        <v>15</v>
      </c>
      <c r="E43" t="s">
        <v>1467</v>
      </c>
      <c r="F43" t="s">
        <v>319</v>
      </c>
      <c r="G43" t="s">
        <v>632</v>
      </c>
      <c r="H43" t="s">
        <v>19</v>
      </c>
      <c r="I43" t="s">
        <v>1468</v>
      </c>
      <c r="J43" t="s">
        <v>21</v>
      </c>
      <c r="K43" t="s">
        <v>246</v>
      </c>
      <c r="L43">
        <v>3397</v>
      </c>
      <c r="M43" t="s">
        <v>673</v>
      </c>
    </row>
    <row r="44" spans="1:13" x14ac:dyDescent="0.35">
      <c r="A44" t="s">
        <v>1498</v>
      </c>
      <c r="B44" t="s">
        <v>317</v>
      </c>
      <c r="C44">
        <v>394572</v>
      </c>
      <c r="D44" t="s">
        <v>15</v>
      </c>
      <c r="E44" t="s">
        <v>1499</v>
      </c>
      <c r="F44" t="s">
        <v>319</v>
      </c>
      <c r="G44" t="s">
        <v>544</v>
      </c>
      <c r="H44" t="s">
        <v>19</v>
      </c>
      <c r="I44" t="s">
        <v>545</v>
      </c>
      <c r="J44" t="s">
        <v>21</v>
      </c>
      <c r="K44" t="s">
        <v>246</v>
      </c>
      <c r="L44">
        <v>7142</v>
      </c>
      <c r="M44" t="s">
        <v>673</v>
      </c>
    </row>
    <row r="45" spans="1:13" x14ac:dyDescent="0.35">
      <c r="A45">
        <v>0</v>
      </c>
      <c r="B45" t="s">
        <v>317</v>
      </c>
      <c r="C45">
        <v>413688</v>
      </c>
      <c r="D45" t="s">
        <v>15</v>
      </c>
      <c r="E45" t="s">
        <v>1915</v>
      </c>
      <c r="F45" t="s">
        <v>319</v>
      </c>
      <c r="G45" t="s">
        <v>409</v>
      </c>
      <c r="H45" t="s">
        <v>19</v>
      </c>
      <c r="I45" t="s">
        <v>410</v>
      </c>
      <c r="J45" t="s">
        <v>21</v>
      </c>
      <c r="K45" t="s">
        <v>246</v>
      </c>
      <c r="L45">
        <v>5765</v>
      </c>
      <c r="M45" t="s">
        <v>673</v>
      </c>
    </row>
    <row r="46" spans="1:13" x14ac:dyDescent="0.35">
      <c r="A46" t="s">
        <v>158</v>
      </c>
      <c r="B46" t="s">
        <v>14</v>
      </c>
      <c r="C46">
        <v>328806</v>
      </c>
      <c r="D46" t="s">
        <v>15</v>
      </c>
      <c r="E46" t="s">
        <v>159</v>
      </c>
      <c r="F46" t="s">
        <v>17</v>
      </c>
      <c r="G46" t="s">
        <v>160</v>
      </c>
      <c r="H46" t="s">
        <v>19</v>
      </c>
      <c r="I46" t="s">
        <v>161</v>
      </c>
      <c r="J46" t="s">
        <v>21</v>
      </c>
      <c r="K46" t="s">
        <v>162</v>
      </c>
      <c r="L46">
        <v>3554</v>
      </c>
      <c r="M46" t="s">
        <v>23</v>
      </c>
    </row>
    <row r="47" spans="1:13" x14ac:dyDescent="0.35">
      <c r="A47" t="s">
        <v>1515</v>
      </c>
      <c r="B47" t="s">
        <v>14</v>
      </c>
      <c r="C47">
        <v>408922</v>
      </c>
      <c r="D47" t="s">
        <v>15</v>
      </c>
      <c r="E47" t="s">
        <v>1818</v>
      </c>
      <c r="F47" t="s">
        <v>17</v>
      </c>
      <c r="G47" t="s">
        <v>595</v>
      </c>
      <c r="H47" t="s">
        <v>19</v>
      </c>
      <c r="I47" t="s">
        <v>1048</v>
      </c>
      <c r="J47" t="s">
        <v>21</v>
      </c>
      <c r="K47" t="s">
        <v>162</v>
      </c>
      <c r="L47">
        <v>3395</v>
      </c>
      <c r="M47" t="s">
        <v>23</v>
      </c>
    </row>
    <row r="48" spans="1:13" x14ac:dyDescent="0.35">
      <c r="A48" t="s">
        <v>1515</v>
      </c>
      <c r="B48" t="s">
        <v>14</v>
      </c>
      <c r="C48">
        <v>410746</v>
      </c>
      <c r="D48" t="s">
        <v>15</v>
      </c>
      <c r="E48" t="s">
        <v>1866</v>
      </c>
      <c r="F48" t="s">
        <v>17</v>
      </c>
      <c r="G48" t="s">
        <v>336</v>
      </c>
      <c r="H48" t="s">
        <v>19</v>
      </c>
      <c r="I48" t="s">
        <v>1442</v>
      </c>
      <c r="J48" t="s">
        <v>21</v>
      </c>
      <c r="K48" t="s">
        <v>162</v>
      </c>
      <c r="L48">
        <v>5725</v>
      </c>
      <c r="M48" t="s">
        <v>23</v>
      </c>
    </row>
    <row r="49" spans="1:13" x14ac:dyDescent="0.35">
      <c r="A49" t="s">
        <v>1046</v>
      </c>
      <c r="B49" t="s">
        <v>317</v>
      </c>
      <c r="C49">
        <v>381397</v>
      </c>
      <c r="D49" t="s">
        <v>15</v>
      </c>
      <c r="E49" t="s">
        <v>1047</v>
      </c>
      <c r="F49" t="s">
        <v>319</v>
      </c>
      <c r="G49" t="s">
        <v>595</v>
      </c>
      <c r="H49" t="s">
        <v>19</v>
      </c>
      <c r="I49" t="s">
        <v>1048</v>
      </c>
      <c r="J49" t="s">
        <v>21</v>
      </c>
      <c r="K49" t="s">
        <v>162</v>
      </c>
      <c r="L49">
        <v>3395</v>
      </c>
      <c r="M49" t="s">
        <v>673</v>
      </c>
    </row>
    <row r="50" spans="1:13" x14ac:dyDescent="0.35">
      <c r="A50" t="s">
        <v>1440</v>
      </c>
      <c r="B50" t="s">
        <v>317</v>
      </c>
      <c r="C50">
        <v>392965</v>
      </c>
      <c r="D50" t="s">
        <v>15</v>
      </c>
      <c r="E50" t="s">
        <v>1441</v>
      </c>
      <c r="F50" t="s">
        <v>319</v>
      </c>
      <c r="G50" t="s">
        <v>336</v>
      </c>
      <c r="H50" t="s">
        <v>19</v>
      </c>
      <c r="I50" t="s">
        <v>1442</v>
      </c>
      <c r="J50" t="s">
        <v>21</v>
      </c>
      <c r="K50" t="s">
        <v>162</v>
      </c>
      <c r="L50">
        <v>5725</v>
      </c>
      <c r="M50" t="s">
        <v>673</v>
      </c>
    </row>
    <row r="51" spans="1:13" x14ac:dyDescent="0.35">
      <c r="A51">
        <v>0</v>
      </c>
      <c r="B51" t="s">
        <v>317</v>
      </c>
      <c r="C51">
        <v>410747</v>
      </c>
      <c r="D51" t="s">
        <v>15</v>
      </c>
      <c r="E51" t="s">
        <v>1867</v>
      </c>
      <c r="F51" t="s">
        <v>319</v>
      </c>
      <c r="G51" t="s">
        <v>160</v>
      </c>
      <c r="H51" t="s">
        <v>19</v>
      </c>
      <c r="I51" t="s">
        <v>161</v>
      </c>
      <c r="J51" t="s">
        <v>21</v>
      </c>
      <c r="K51" t="s">
        <v>162</v>
      </c>
      <c r="L51">
        <v>3554</v>
      </c>
      <c r="M51" t="s">
        <v>673</v>
      </c>
    </row>
    <row r="52" spans="1:13" x14ac:dyDescent="0.35">
      <c r="A52" t="s">
        <v>838</v>
      </c>
      <c r="B52" t="s">
        <v>14</v>
      </c>
      <c r="C52">
        <v>375919</v>
      </c>
      <c r="D52" t="s">
        <v>15</v>
      </c>
      <c r="E52" t="s">
        <v>839</v>
      </c>
      <c r="F52" t="s">
        <v>17</v>
      </c>
      <c r="G52" t="s">
        <v>840</v>
      </c>
      <c r="H52" t="s">
        <v>19</v>
      </c>
      <c r="I52" t="s">
        <v>841</v>
      </c>
      <c r="J52" t="s">
        <v>21</v>
      </c>
      <c r="K52" t="s">
        <v>232</v>
      </c>
      <c r="L52">
        <v>3373</v>
      </c>
      <c r="M52" t="s">
        <v>23</v>
      </c>
    </row>
    <row r="53" spans="1:13" x14ac:dyDescent="0.35">
      <c r="A53" t="s">
        <v>842</v>
      </c>
      <c r="B53" t="s">
        <v>14</v>
      </c>
      <c r="C53">
        <v>375921</v>
      </c>
      <c r="D53" t="s">
        <v>15</v>
      </c>
      <c r="E53" t="s">
        <v>843</v>
      </c>
      <c r="F53" t="s">
        <v>17</v>
      </c>
      <c r="G53" t="s">
        <v>772</v>
      </c>
      <c r="H53" t="s">
        <v>19</v>
      </c>
      <c r="I53" t="s">
        <v>844</v>
      </c>
      <c r="J53" t="s">
        <v>21</v>
      </c>
      <c r="K53" t="s">
        <v>232</v>
      </c>
      <c r="L53">
        <v>5604</v>
      </c>
      <c r="M53" t="s">
        <v>23</v>
      </c>
    </row>
    <row r="54" spans="1:13" x14ac:dyDescent="0.35">
      <c r="A54">
        <v>0</v>
      </c>
      <c r="B54" t="s">
        <v>14</v>
      </c>
      <c r="C54">
        <v>396869</v>
      </c>
      <c r="D54" t="s">
        <v>15</v>
      </c>
      <c r="E54" t="s">
        <v>1530</v>
      </c>
      <c r="F54" t="s">
        <v>17</v>
      </c>
      <c r="G54" t="s">
        <v>885</v>
      </c>
      <c r="H54" t="s">
        <v>19</v>
      </c>
      <c r="I54" t="s">
        <v>886</v>
      </c>
      <c r="J54" t="s">
        <v>21</v>
      </c>
      <c r="K54" t="s">
        <v>232</v>
      </c>
      <c r="L54">
        <v>8062</v>
      </c>
      <c r="M54" t="s">
        <v>23</v>
      </c>
    </row>
    <row r="55" spans="1:13" x14ac:dyDescent="0.35">
      <c r="A55" t="s">
        <v>883</v>
      </c>
      <c r="B55" t="s">
        <v>317</v>
      </c>
      <c r="C55">
        <v>376741</v>
      </c>
      <c r="D55" t="s">
        <v>15</v>
      </c>
      <c r="E55" t="s">
        <v>884</v>
      </c>
      <c r="F55" t="s">
        <v>319</v>
      </c>
      <c r="G55" t="s">
        <v>885</v>
      </c>
      <c r="H55" t="s">
        <v>19</v>
      </c>
      <c r="I55" t="s">
        <v>886</v>
      </c>
      <c r="J55" t="s">
        <v>21</v>
      </c>
      <c r="K55" t="s">
        <v>232</v>
      </c>
      <c r="L55">
        <v>8062</v>
      </c>
      <c r="M55" t="s">
        <v>673</v>
      </c>
    </row>
    <row r="56" spans="1:13" x14ac:dyDescent="0.35">
      <c r="A56" t="s">
        <v>1012</v>
      </c>
      <c r="B56" t="s">
        <v>317</v>
      </c>
      <c r="C56">
        <v>380784</v>
      </c>
      <c r="D56" t="s">
        <v>15</v>
      </c>
      <c r="E56" t="s">
        <v>1013</v>
      </c>
      <c r="F56" t="s">
        <v>319</v>
      </c>
      <c r="G56" t="s">
        <v>772</v>
      </c>
      <c r="H56" t="s">
        <v>19</v>
      </c>
      <c r="I56" t="s">
        <v>844</v>
      </c>
      <c r="J56" t="s">
        <v>21</v>
      </c>
      <c r="K56" t="s">
        <v>232</v>
      </c>
      <c r="L56">
        <v>5604</v>
      </c>
      <c r="M56" t="s">
        <v>673</v>
      </c>
    </row>
    <row r="57" spans="1:13" x14ac:dyDescent="0.35">
      <c r="A57" t="s">
        <v>1181</v>
      </c>
      <c r="B57" t="s">
        <v>317</v>
      </c>
      <c r="C57">
        <v>385410</v>
      </c>
      <c r="D57" t="s">
        <v>15</v>
      </c>
      <c r="E57" t="s">
        <v>1182</v>
      </c>
      <c r="F57" t="s">
        <v>319</v>
      </c>
      <c r="G57" t="s">
        <v>840</v>
      </c>
      <c r="H57" t="s">
        <v>19</v>
      </c>
      <c r="I57" t="s">
        <v>841</v>
      </c>
      <c r="J57" t="s">
        <v>21</v>
      </c>
      <c r="K57" t="s">
        <v>232</v>
      </c>
      <c r="L57">
        <v>3373</v>
      </c>
      <c r="M57" t="s">
        <v>673</v>
      </c>
    </row>
    <row r="58" spans="1:13" x14ac:dyDescent="0.35">
      <c r="A58" t="s">
        <v>1515</v>
      </c>
      <c r="B58" t="s">
        <v>14</v>
      </c>
      <c r="C58">
        <v>400751</v>
      </c>
      <c r="D58" t="s">
        <v>15</v>
      </c>
      <c r="E58" t="s">
        <v>1597</v>
      </c>
      <c r="F58" t="s">
        <v>17</v>
      </c>
      <c r="G58" t="s">
        <v>784</v>
      </c>
      <c r="H58" t="s">
        <v>19</v>
      </c>
      <c r="I58" t="s">
        <v>1598</v>
      </c>
      <c r="J58" t="s">
        <v>21</v>
      </c>
      <c r="K58" t="s">
        <v>128</v>
      </c>
      <c r="L58">
        <v>5806</v>
      </c>
      <c r="M58" t="s">
        <v>23</v>
      </c>
    </row>
    <row r="59" spans="1:13" x14ac:dyDescent="0.35">
      <c r="A59">
        <v>0</v>
      </c>
      <c r="B59" t="s">
        <v>317</v>
      </c>
      <c r="C59">
        <v>403329</v>
      </c>
      <c r="D59" t="s">
        <v>15</v>
      </c>
      <c r="E59" t="s">
        <v>1665</v>
      </c>
      <c r="F59" t="s">
        <v>319</v>
      </c>
      <c r="G59" t="s">
        <v>784</v>
      </c>
      <c r="H59" t="s">
        <v>19</v>
      </c>
      <c r="I59" t="s">
        <v>1598</v>
      </c>
      <c r="J59" t="s">
        <v>21</v>
      </c>
      <c r="K59" t="s">
        <v>128</v>
      </c>
      <c r="L59">
        <v>5806</v>
      </c>
      <c r="M59" t="s">
        <v>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MD</vt:lpstr>
      <vt:lpstr>REKAP ALL</vt:lpstr>
      <vt:lpstr>F KANCA</vt:lpstr>
      <vt:lpstr>REKAP KCP</vt:lpstr>
      <vt:lpstr>F KCP</vt:lpstr>
      <vt:lpstr>REKAP Unit</vt:lpstr>
      <vt:lpstr>F UNIT</vt:lpstr>
      <vt:lpstr>REKAP KK</vt:lpstr>
      <vt:lpstr>F KK</vt:lpstr>
      <vt:lpstr>Sheet11</vt:lpstr>
      <vt:lpstr>KC</vt:lpstr>
      <vt:lpstr>Sheet12</vt:lpstr>
      <vt:lpstr>KCP</vt:lpstr>
      <vt:lpstr>Sheet17</vt:lpstr>
      <vt:lpstr>KK</vt:lpstr>
      <vt:lpstr>Sheet14</vt:lpstr>
      <vt:lpstr>Sheet16</vt:lpstr>
      <vt:lpstr>UNIT</vt:lpstr>
      <vt:lpstr>Sheet13</vt:lpstr>
      <vt:lpstr>TERAS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Setiawan</dc:creator>
  <cp:lastModifiedBy>Bayu Setiawan</cp:lastModifiedBy>
  <dcterms:created xsi:type="dcterms:W3CDTF">2026-09-22T08:29:28Z</dcterms:created>
  <dcterms:modified xsi:type="dcterms:W3CDTF">2026-09-28T02:13:24Z</dcterms:modified>
</cp:coreProperties>
</file>